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slicerCaches/slicerCache19.xml" ContentType="application/vnd.ms-excel.slicerCache+xml"/>
  <Override PartName="/xl/slicerCaches/slicerCache20.xml" ContentType="application/vnd.ms-excel.slicerCache+xml"/>
  <Override PartName="/xl/slicerCaches/slicerCache21.xml" ContentType="application/vnd.ms-excel.slicerCache+xml"/>
  <Override PartName="/xl/slicerCaches/slicerCache22.xml" ContentType="application/vnd.ms-excel.slicerCache+xml"/>
  <Override PartName="/xl/slicerCaches/slicerCache23.xml" ContentType="application/vnd.ms-excel.slicerCache+xml"/>
  <Override PartName="/xl/slicerCaches/slicerCache24.xml" ContentType="application/vnd.ms-excel.slicerCache+xml"/>
  <Override PartName="/xl/slicerCaches/slicerCache25.xml" ContentType="application/vnd.ms-excel.slicerCache+xml"/>
  <Override PartName="/xl/slicerCaches/slicerCache26.xml" ContentType="application/vnd.ms-excel.slicerCache+xml"/>
  <Override PartName="/xl/timelineCaches/timelineCache1.xml" ContentType="application/vnd.ms-excel.timelineCache+xml"/>
  <Override PartName="/xl/timelineCaches/timelineCache2.xml" ContentType="application/vnd.ms-excel.timelineCache+xml"/>
  <Override PartName="/xl/timelineCaches/timelineCache3.xml" ContentType="application/vnd.ms-excel.timelineCache+xml"/>
  <Override PartName="/xl/timelineCaches/timelineCache4.xml" ContentType="application/vnd.ms-excel.timelineCache+xml"/>
  <Override PartName="/xl/timelineCaches/timelineCache5.xml" ContentType="application/vnd.ms-excel.timelineCache+xml"/>
  <Override PartName="/xl/timelineCaches/timelineCache6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slicers/slicer2.xml" ContentType="application/vnd.ms-excel.slicer+xml"/>
  <Override PartName="/xl/timelines/timeline2.xml" ContentType="application/vnd.ms-excel.timelin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7.xml" ContentType="application/vnd.openxmlformats-officedocument.drawing+xml"/>
  <Override PartName="/xl/slicers/slicer3.xml" ContentType="application/vnd.ms-excel.slicer+xml"/>
  <Override PartName="/xl/timelines/timeline3.xml" ContentType="application/vnd.ms-excel.timelin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8.xml" ContentType="application/vnd.openxmlformats-officedocument.drawing+xml"/>
  <Override PartName="/xl/slicers/slicer4.xml" ContentType="application/vnd.ms-excel.slicer+xml"/>
  <Override PartName="/xl/timelines/timeline4.xml" ContentType="application/vnd.ms-excel.timeline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9.xml" ContentType="application/vnd.openxmlformats-officedocument.drawing+xml"/>
  <Override PartName="/xl/slicers/slicer5.xml" ContentType="application/vnd.ms-excel.slicer+xml"/>
  <Override PartName="/xl/pivotTables/pivotTable7.xml" ContentType="application/vnd.openxmlformats-officedocument.spreadsheetml.pivotTable+xml"/>
  <Override PartName="/xl/drawings/drawing10.xml" ContentType="application/vnd.openxmlformats-officedocument.drawing+xml"/>
  <Override PartName="/xl/slicers/slicer6.xml" ContentType="application/vnd.ms-excel.slicer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11.xml" ContentType="application/vnd.openxmlformats-officedocument.drawing+xml"/>
  <Override PartName="/xl/slicers/slicer7.xml" ContentType="application/vnd.ms-excel.slicer+xml"/>
  <Override PartName="/xl/timelines/timeline5.xml" ContentType="application/vnd.ms-excel.timelin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1.xml" ContentType="application/vnd.openxmlformats-officedocument.themeOverride+xml"/>
  <Override PartName="/xl/pivotTables/pivotTable9.xml" ContentType="application/vnd.openxmlformats-officedocument.spreadsheetml.pivotTable+xml"/>
  <Override PartName="/xl/drawings/drawing12.xml" ContentType="application/vnd.openxmlformats-officedocument.drawing+xml"/>
  <Override PartName="/xl/slicers/slicer8.xml" ContentType="application/vnd.ms-excel.slicer+xml"/>
  <Override PartName="/xl/timelines/timeline6.xml" ContentType="application/vnd.ms-excel.timeline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Users\Neto\Documents\PROCESSOS TJ - DUDU\"/>
    </mc:Choice>
  </mc:AlternateContent>
  <bookViews>
    <workbookView xWindow="0" yWindow="0" windowWidth="20490" windowHeight="7755" tabRatio="653" activeTab="4"/>
  </bookViews>
  <sheets>
    <sheet name="Dados (Fatores)" sheetId="1" r:id="rId1"/>
    <sheet name="Plan 2 OPÇÃO 2 casa 2" sheetId="3" state="hidden" r:id="rId2"/>
    <sheet name="Planilha1" sheetId="4" state="hidden" r:id="rId3"/>
    <sheet name="Plan 1 OPÇÃO 1 casa 1" sheetId="2" state="hidden" r:id="rId4"/>
    <sheet name="Dados (Tabela)" sheetId="6" r:id="rId5"/>
    <sheet name="Geral" sheetId="22" r:id="rId6"/>
    <sheet name="Comarcas" sheetId="19" r:id="rId7"/>
    <sheet name="Varas" sheetId="23" r:id="rId8"/>
    <sheet name="Peritos" sheetId="18" r:id="rId9"/>
    <sheet name="Especialidades" sheetId="20" r:id="rId10"/>
    <sheet name="Relatório C(Var)-Val - C" sheetId="14" state="hidden" r:id="rId11"/>
    <sheet name="Rel. Val-Com - C" sheetId="16" state="hidden" r:id="rId12"/>
    <sheet name="Rel. Val-UJ - C" sheetId="13" state="hidden" r:id="rId13"/>
    <sheet name="Relatório Val-Per - C" sheetId="8" state="hidden" r:id="rId14"/>
  </sheets>
  <definedNames>
    <definedName name="_xlnm._FilterDatabase" localSheetId="4" hidden="1">'Dados (Tabela)'!$A$3:$W$807</definedName>
    <definedName name="_xlnm._FilterDatabase" localSheetId="1" hidden="1">'Plan 2 OPÇÃO 2 casa 2'!$A$2:$AA$213</definedName>
    <definedName name="NativeTimeline_Data_da_Autorização_da_Despesa">#N/A</definedName>
    <definedName name="NativeTimeline_Data_da_Autorização_da_Despesa1">#N/A</definedName>
    <definedName name="NativeTimeline_Data_da_Autorização_da_Despesa2">#N/A</definedName>
    <definedName name="NativeTimeline_Data_da_Autorização_da_Despesa3">#N/A</definedName>
    <definedName name="NativeTimeline_DATA_DO_EMPENHO">#N/A</definedName>
    <definedName name="NativeTimeline_DATA_DO_EMPENHO1">#N/A</definedName>
    <definedName name="SegmentaçãodeDados_COMARCA">#N/A</definedName>
    <definedName name="SegmentaçãodeDados_COMARCA1">#N/A</definedName>
    <definedName name="SegmentaçãodeDados_COMARCA2">#N/A</definedName>
    <definedName name="SegmentaçãodeDados_COMARCA4">#N/A</definedName>
    <definedName name="SegmentaçãodeDados_COMARCA5">#N/A</definedName>
    <definedName name="SegmentaçãodeDados_COMARCA6">#N/A</definedName>
    <definedName name="SegmentaçãodeDados_ESPECIALIDADE">#N/A</definedName>
    <definedName name="SegmentaçãodeDados_ESPECIALIDADE1">#N/A</definedName>
    <definedName name="SegmentaçãodeDados_ESPECIALIDADE2">#N/A</definedName>
    <definedName name="SegmentaçãodeDados_ESPECIALIDADE3">#N/A</definedName>
    <definedName name="SegmentaçãodeDados_ESPECIALIDADE5">#N/A</definedName>
    <definedName name="SegmentaçãodeDados_ESPECIALIDADE6">#N/A</definedName>
    <definedName name="SegmentaçãodeDados_ESPECIALIDADE7">#N/A</definedName>
    <definedName name="SegmentaçãodeDados_JUÍZO">#N/A</definedName>
    <definedName name="SegmentaçãodeDados_JUÍZO1">#N/A</definedName>
    <definedName name="SegmentaçãodeDados_JUÍZO2">#N/A</definedName>
    <definedName name="SegmentaçãodeDados_JUÍZO3">#N/A</definedName>
    <definedName name="SegmentaçãodeDados_JUÍZO4">#N/A</definedName>
    <definedName name="SegmentaçãodeDados_JUÍZO5">#N/A</definedName>
    <definedName name="SegmentaçãodeDados_PERITO">#N/A</definedName>
    <definedName name="SegmentaçãodeDados_PERITO1">#N/A</definedName>
    <definedName name="SegmentaçãodeDados_PERITO2">#N/A</definedName>
    <definedName name="SegmentaçãodeDados_PERITO3">#N/A</definedName>
    <definedName name="SegmentaçãodeDados_PERITO5">#N/A</definedName>
    <definedName name="SegmentaçãodeDados_PERITO6">#N/A</definedName>
    <definedName name="SegmentaçãodeDados_PERITO7">#N/A</definedName>
  </definedNames>
  <calcPr calcId="152511"/>
  <pivotCaches>
    <pivotCache cacheId="0" r:id="rId15"/>
    <pivotCache cacheId="1" r:id="rId16"/>
  </pivotCaches>
  <extLs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  <x14:slicerCache r:id="rId28"/>
        <x14:slicerCache r:id="rId29"/>
        <x14:slicerCache r:id="rId30"/>
        <x14:slicerCache r:id="rId31"/>
        <x14:slicerCache r:id="rId32"/>
        <x14:slicerCache r:id="rId33"/>
        <x14:slicerCache r:id="rId34"/>
        <x14:slicerCache r:id="rId35"/>
        <x14:slicerCache r:id="rId36"/>
        <x14:slicerCache r:id="rId37"/>
        <x14:slicerCache r:id="rId38"/>
        <x14:slicerCache r:id="rId39"/>
        <x14:slicerCache r:id="rId40"/>
        <x14:slicerCache r:id="rId41"/>
        <x14:slicerCache r:id="rId4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3"/>
        <x15:timelineCacheRef r:id="rId44"/>
        <x15:timelineCacheRef r:id="rId45"/>
        <x15:timelineCacheRef r:id="rId46"/>
        <x15:timelineCacheRef r:id="rId47"/>
        <x15:timelineCacheRef r:id="rId48"/>
      </x15:timelineCacheRefs>
    </ext>
  </extLst>
</workbook>
</file>

<file path=xl/calcChain.xml><?xml version="1.0" encoding="utf-8"?>
<calcChain xmlns="http://schemas.openxmlformats.org/spreadsheetml/2006/main">
  <c r="N835" i="6" l="1"/>
  <c r="S835" i="6"/>
  <c r="T835" i="6"/>
  <c r="V835" i="6"/>
  <c r="W835" i="6"/>
  <c r="N836" i="6"/>
  <c r="S836" i="6"/>
  <c r="T836" i="6"/>
  <c r="V836" i="6"/>
  <c r="W836" i="6"/>
  <c r="N837" i="6"/>
  <c r="S837" i="6"/>
  <c r="T837" i="6" s="1"/>
  <c r="V837" i="6"/>
  <c r="W837" i="6"/>
  <c r="N838" i="6"/>
  <c r="S838" i="6"/>
  <c r="T838" i="6"/>
  <c r="V838" i="6"/>
  <c r="W838" i="6"/>
  <c r="N834" i="6" l="1"/>
  <c r="P834" i="6"/>
  <c r="S834" i="6"/>
  <c r="T834" i="6"/>
  <c r="V834" i="6"/>
  <c r="W834" i="6"/>
  <c r="N735" i="6"/>
  <c r="P735" i="6" s="1"/>
  <c r="S735" i="6"/>
  <c r="T735" i="6"/>
  <c r="V735" i="6"/>
  <c r="W735" i="6" s="1"/>
  <c r="N736" i="6"/>
  <c r="P736" i="6"/>
  <c r="S736" i="6"/>
  <c r="T736" i="6" s="1"/>
  <c r="V736" i="6"/>
  <c r="W736" i="6"/>
  <c r="N737" i="6"/>
  <c r="P737" i="6" s="1"/>
  <c r="S737" i="6"/>
  <c r="T737" i="6"/>
  <c r="V737" i="6"/>
  <c r="W737" i="6" s="1"/>
  <c r="N738" i="6"/>
  <c r="P738" i="6"/>
  <c r="S738" i="6"/>
  <c r="T738" i="6" s="1"/>
  <c r="V738" i="6"/>
  <c r="W738" i="6"/>
  <c r="V888" i="6" l="1"/>
  <c r="V887" i="6"/>
  <c r="V886" i="6"/>
  <c r="V885" i="6"/>
  <c r="V884" i="6"/>
  <c r="V883" i="6"/>
  <c r="V882" i="6"/>
  <c r="V875" i="6"/>
  <c r="W875" i="6" s="1"/>
  <c r="V876" i="6"/>
  <c r="V877" i="6"/>
  <c r="V878" i="6"/>
  <c r="V879" i="6"/>
  <c r="V880" i="6"/>
  <c r="V881" i="6"/>
  <c r="W882" i="6"/>
  <c r="W883" i="6"/>
  <c r="W884" i="6"/>
  <c r="W885" i="6"/>
  <c r="W886" i="6"/>
  <c r="W887" i="6"/>
  <c r="W888" i="6"/>
  <c r="W876" i="6"/>
  <c r="W877" i="6"/>
  <c r="W878" i="6"/>
  <c r="W879" i="6"/>
  <c r="W880" i="6"/>
  <c r="W881" i="6"/>
  <c r="V871" i="6"/>
  <c r="W871" i="6" s="1"/>
  <c r="V872" i="6"/>
  <c r="V873" i="6"/>
  <c r="W873" i="6" s="1"/>
  <c r="V874" i="6"/>
  <c r="W874" i="6" s="1"/>
  <c r="V866" i="6"/>
  <c r="W866" i="6" s="1"/>
  <c r="V867" i="6"/>
  <c r="V868" i="6"/>
  <c r="V869" i="6"/>
  <c r="W869" i="6" s="1"/>
  <c r="V870" i="6"/>
  <c r="W870" i="6" s="1"/>
  <c r="V862" i="6"/>
  <c r="V863" i="6"/>
  <c r="W863" i="6" s="1"/>
  <c r="V864" i="6"/>
  <c r="W864" i="6" s="1"/>
  <c r="V865" i="6"/>
  <c r="W865" i="6" s="1"/>
  <c r="W872" i="6"/>
  <c r="W862" i="6"/>
  <c r="W867" i="6"/>
  <c r="W868" i="6"/>
  <c r="W850" i="6"/>
  <c r="W851" i="6"/>
  <c r="W852" i="6"/>
  <c r="W855" i="6"/>
  <c r="W856" i="6"/>
  <c r="W843" i="6"/>
  <c r="W845" i="6"/>
  <c r="W840" i="6"/>
  <c r="W841" i="6"/>
  <c r="W831" i="6"/>
  <c r="W832" i="6"/>
  <c r="V859" i="6"/>
  <c r="W859" i="6" s="1"/>
  <c r="V860" i="6"/>
  <c r="W860" i="6" s="1"/>
  <c r="V861" i="6"/>
  <c r="W861" i="6" s="1"/>
  <c r="V854" i="6"/>
  <c r="W854" i="6" s="1"/>
  <c r="V855" i="6"/>
  <c r="V856" i="6"/>
  <c r="V857" i="6"/>
  <c r="W857" i="6" s="1"/>
  <c r="V858" i="6"/>
  <c r="W858" i="6" s="1"/>
  <c r="V846" i="6"/>
  <c r="W846" i="6" s="1"/>
  <c r="V847" i="6"/>
  <c r="W847" i="6" s="1"/>
  <c r="V848" i="6"/>
  <c r="W848" i="6" s="1"/>
  <c r="V849" i="6"/>
  <c r="W849" i="6" s="1"/>
  <c r="V850" i="6"/>
  <c r="V851" i="6"/>
  <c r="V852" i="6"/>
  <c r="V853" i="6"/>
  <c r="W853" i="6" s="1"/>
  <c r="V840" i="6"/>
  <c r="V841" i="6"/>
  <c r="V842" i="6"/>
  <c r="W842" i="6" s="1"/>
  <c r="V843" i="6"/>
  <c r="V844" i="6"/>
  <c r="W844" i="6" s="1"/>
  <c r="V845" i="6"/>
  <c r="V839" i="6"/>
  <c r="W839" i="6" s="1"/>
  <c r="V832" i="6"/>
  <c r="V833" i="6"/>
  <c r="W833" i="6" s="1"/>
  <c r="P611" i="6"/>
  <c r="P613" i="6"/>
  <c r="P614" i="6"/>
  <c r="P615" i="6"/>
  <c r="P616" i="6"/>
  <c r="P617" i="6"/>
  <c r="P619" i="6"/>
  <c r="P620" i="6"/>
  <c r="P621" i="6"/>
  <c r="P623" i="6"/>
  <c r="P625" i="6"/>
  <c r="P626" i="6"/>
  <c r="P627" i="6"/>
  <c r="P628" i="6"/>
  <c r="P630" i="6"/>
  <c r="P631" i="6"/>
  <c r="P633" i="6"/>
  <c r="P634" i="6"/>
  <c r="P635" i="6"/>
  <c r="P638" i="6"/>
  <c r="P645" i="6"/>
  <c r="P649" i="6"/>
  <c r="P650" i="6"/>
  <c r="P651" i="6"/>
  <c r="P652" i="6"/>
  <c r="P653" i="6"/>
  <c r="P654" i="6"/>
  <c r="P655" i="6"/>
  <c r="P656" i="6"/>
  <c r="P657" i="6"/>
  <c r="P673" i="6"/>
  <c r="P674" i="6"/>
  <c r="P676" i="6"/>
  <c r="P677" i="6"/>
  <c r="P712" i="6"/>
  <c r="P715" i="6"/>
  <c r="P716" i="6"/>
  <c r="P717" i="6"/>
  <c r="P718" i="6"/>
  <c r="P719" i="6"/>
  <c r="P720" i="6"/>
  <c r="P721" i="6"/>
  <c r="P722" i="6"/>
  <c r="P723" i="6"/>
  <c r="P724" i="6"/>
  <c r="P725" i="6"/>
  <c r="P726" i="6"/>
  <c r="P727" i="6"/>
  <c r="P728" i="6"/>
  <c r="P729" i="6"/>
  <c r="P730" i="6"/>
  <c r="P731" i="6"/>
  <c r="P732" i="6"/>
  <c r="P733" i="6"/>
  <c r="P734" i="6"/>
  <c r="P744" i="6"/>
  <c r="P745" i="6"/>
  <c r="P746" i="6"/>
  <c r="P749" i="6"/>
  <c r="P761" i="6"/>
  <c r="P762" i="6"/>
  <c r="P763" i="6"/>
  <c r="P764" i="6"/>
  <c r="P766" i="6"/>
  <c r="P767" i="6"/>
  <c r="P776" i="6"/>
  <c r="P781" i="6"/>
  <c r="P784" i="6"/>
  <c r="P785" i="6"/>
  <c r="P787" i="6"/>
  <c r="P790" i="6"/>
  <c r="P794" i="6"/>
  <c r="P795" i="6"/>
  <c r="P798" i="6"/>
  <c r="P800" i="6"/>
  <c r="P801" i="6"/>
  <c r="P803" i="6"/>
  <c r="P806" i="6"/>
  <c r="P808" i="6"/>
  <c r="P809" i="6"/>
  <c r="P811" i="6"/>
  <c r="P813" i="6"/>
  <c r="P817" i="6"/>
  <c r="P820" i="6"/>
  <c r="P823" i="6"/>
  <c r="P826" i="6"/>
  <c r="P828" i="6"/>
  <c r="P829" i="6"/>
  <c r="P831" i="6"/>
  <c r="P832" i="6"/>
  <c r="N815" i="6"/>
  <c r="P815" i="6" s="1"/>
  <c r="S815" i="6"/>
  <c r="T815" i="6" s="1"/>
  <c r="V815" i="6"/>
  <c r="W815" i="6"/>
  <c r="N816" i="6"/>
  <c r="P816" i="6" s="1"/>
  <c r="S816" i="6"/>
  <c r="T816" i="6" s="1"/>
  <c r="V816" i="6"/>
  <c r="W816" i="6"/>
  <c r="N817" i="6"/>
  <c r="S817" i="6"/>
  <c r="T817" i="6"/>
  <c r="V817" i="6"/>
  <c r="W817" i="6" s="1"/>
  <c r="N818" i="6"/>
  <c r="P818" i="6" s="1"/>
  <c r="S818" i="6"/>
  <c r="T818" i="6"/>
  <c r="V818" i="6"/>
  <c r="W818" i="6" s="1"/>
  <c r="N819" i="6"/>
  <c r="P819" i="6" s="1"/>
  <c r="S819" i="6"/>
  <c r="T819" i="6"/>
  <c r="V819" i="6"/>
  <c r="W819" i="6"/>
  <c r="N820" i="6"/>
  <c r="S820" i="6"/>
  <c r="T820" i="6"/>
  <c r="V820" i="6"/>
  <c r="W820" i="6" s="1"/>
  <c r="N821" i="6"/>
  <c r="P821" i="6" s="1"/>
  <c r="S821" i="6"/>
  <c r="T821" i="6"/>
  <c r="V821" i="6"/>
  <c r="W821" i="6"/>
  <c r="N822" i="6"/>
  <c r="P822" i="6" s="1"/>
  <c r="S822" i="6"/>
  <c r="T822" i="6" s="1"/>
  <c r="V822" i="6"/>
  <c r="W822" i="6"/>
  <c r="N823" i="6"/>
  <c r="S823" i="6"/>
  <c r="T823" i="6" s="1"/>
  <c r="V823" i="6"/>
  <c r="W823" i="6"/>
  <c r="N824" i="6"/>
  <c r="P824" i="6" s="1"/>
  <c r="S824" i="6"/>
  <c r="T824" i="6" s="1"/>
  <c r="V824" i="6"/>
  <c r="W824" i="6"/>
  <c r="N825" i="6"/>
  <c r="P825" i="6" s="1"/>
  <c r="S825" i="6"/>
  <c r="T825" i="6"/>
  <c r="V825" i="6"/>
  <c r="W825" i="6" s="1"/>
  <c r="N826" i="6"/>
  <c r="S826" i="6"/>
  <c r="T826" i="6"/>
  <c r="V826" i="6"/>
  <c r="W826" i="6" s="1"/>
  <c r="N827" i="6"/>
  <c r="P827" i="6" s="1"/>
  <c r="S827" i="6"/>
  <c r="T827" i="6"/>
  <c r="V827" i="6"/>
  <c r="W827" i="6" s="1"/>
  <c r="N828" i="6"/>
  <c r="S828" i="6"/>
  <c r="T828" i="6"/>
  <c r="V828" i="6"/>
  <c r="W828" i="6" s="1"/>
  <c r="N829" i="6"/>
  <c r="S829" i="6"/>
  <c r="T829" i="6" s="1"/>
  <c r="V829" i="6"/>
  <c r="W829" i="6"/>
  <c r="N830" i="6"/>
  <c r="P830" i="6" s="1"/>
  <c r="S830" i="6"/>
  <c r="T830" i="6" s="1"/>
  <c r="V830" i="6"/>
  <c r="W830" i="6"/>
  <c r="N831" i="6"/>
  <c r="S831" i="6"/>
  <c r="T831" i="6"/>
  <c r="V831" i="6"/>
  <c r="N832" i="6"/>
  <c r="S832" i="6"/>
  <c r="T832" i="6"/>
  <c r="N833" i="6"/>
  <c r="P833" i="6" s="1"/>
  <c r="S833" i="6"/>
  <c r="T833" i="6"/>
  <c r="S839" i="6"/>
  <c r="T839" i="6"/>
  <c r="S840" i="6"/>
  <c r="T840" i="6"/>
  <c r="S841" i="6"/>
  <c r="T841" i="6"/>
  <c r="S842" i="6"/>
  <c r="T842" i="6"/>
  <c r="S843" i="6"/>
  <c r="T843" i="6" s="1"/>
  <c r="S844" i="6"/>
  <c r="T844" i="6"/>
  <c r="S845" i="6"/>
  <c r="T845" i="6" s="1"/>
  <c r="S846" i="6"/>
  <c r="T846" i="6"/>
  <c r="S847" i="6"/>
  <c r="T847" i="6"/>
  <c r="S848" i="6"/>
  <c r="T848" i="6"/>
  <c r="S849" i="6"/>
  <c r="T849" i="6"/>
  <c r="S850" i="6"/>
  <c r="T850" i="6"/>
  <c r="S851" i="6"/>
  <c r="T851" i="6"/>
  <c r="S852" i="6"/>
  <c r="T852" i="6"/>
  <c r="S853" i="6"/>
  <c r="T853" i="6"/>
  <c r="S854" i="6"/>
  <c r="T854" i="6"/>
  <c r="S855" i="6"/>
  <c r="T855" i="6"/>
  <c r="S856" i="6"/>
  <c r="T856" i="6"/>
  <c r="S857" i="6"/>
  <c r="T857" i="6"/>
  <c r="S858" i="6"/>
  <c r="T858" i="6"/>
  <c r="S859" i="6"/>
  <c r="T859" i="6"/>
  <c r="S860" i="6"/>
  <c r="T860" i="6" s="1"/>
  <c r="S861" i="6"/>
  <c r="T861" i="6"/>
  <c r="S862" i="6"/>
  <c r="T862" i="6" s="1"/>
  <c r="S863" i="6"/>
  <c r="T863" i="6" s="1"/>
  <c r="S864" i="6"/>
  <c r="T864" i="6"/>
  <c r="S865" i="6"/>
  <c r="T865" i="6" s="1"/>
  <c r="S866" i="6"/>
  <c r="T866" i="6"/>
  <c r="S867" i="6"/>
  <c r="T867" i="6"/>
  <c r="S868" i="6"/>
  <c r="T868" i="6"/>
  <c r="S869" i="6"/>
  <c r="T869" i="6"/>
  <c r="S870" i="6"/>
  <c r="T870" i="6"/>
  <c r="S871" i="6"/>
  <c r="T871" i="6" s="1"/>
  <c r="S872" i="6"/>
  <c r="T872" i="6"/>
  <c r="S873" i="6"/>
  <c r="T873" i="6" s="1"/>
  <c r="S874" i="6"/>
  <c r="T874" i="6"/>
  <c r="N806" i="6"/>
  <c r="N807" i="6"/>
  <c r="P807" i="6" s="1"/>
  <c r="N808" i="6"/>
  <c r="N809" i="6"/>
  <c r="N810" i="6"/>
  <c r="P810" i="6" s="1"/>
  <c r="N811" i="6"/>
  <c r="N812" i="6"/>
  <c r="P812" i="6" s="1"/>
  <c r="N813" i="6"/>
  <c r="N799" i="6"/>
  <c r="P799" i="6" s="1"/>
  <c r="N800" i="6"/>
  <c r="N801" i="6"/>
  <c r="N802" i="6"/>
  <c r="P802" i="6" s="1"/>
  <c r="N803" i="6"/>
  <c r="N804" i="6"/>
  <c r="P804" i="6" s="1"/>
  <c r="N805" i="6"/>
  <c r="P805" i="6" s="1"/>
  <c r="N793" i="6"/>
  <c r="P793" i="6" s="1"/>
  <c r="N794" i="6"/>
  <c r="N795" i="6"/>
  <c r="N796" i="6"/>
  <c r="P796" i="6" s="1"/>
  <c r="N797" i="6"/>
  <c r="P797" i="6" s="1"/>
  <c r="N798" i="6"/>
  <c r="N783" i="6"/>
  <c r="P783" i="6" s="1"/>
  <c r="N784" i="6"/>
  <c r="N785" i="6"/>
  <c r="N786" i="6"/>
  <c r="P786" i="6" s="1"/>
  <c r="N787" i="6"/>
  <c r="N788" i="6"/>
  <c r="P788" i="6" s="1"/>
  <c r="N789" i="6"/>
  <c r="P789" i="6" s="1"/>
  <c r="N790" i="6"/>
  <c r="N776" i="6"/>
  <c r="N777" i="6"/>
  <c r="P777" i="6" s="1"/>
  <c r="N778" i="6"/>
  <c r="P778" i="6" s="1"/>
  <c r="N779" i="6"/>
  <c r="P779" i="6" s="1"/>
  <c r="N780" i="6"/>
  <c r="P780" i="6" s="1"/>
  <c r="N781" i="6"/>
  <c r="N768" i="6"/>
  <c r="P768" i="6" s="1"/>
  <c r="N769" i="6"/>
  <c r="P769" i="6" s="1"/>
  <c r="N770" i="6"/>
  <c r="P770" i="6" s="1"/>
  <c r="N771" i="6"/>
  <c r="P771" i="6" s="1"/>
  <c r="N772" i="6"/>
  <c r="P772" i="6" s="1"/>
  <c r="N773" i="6"/>
  <c r="P773" i="6" s="1"/>
  <c r="N774" i="6"/>
  <c r="P774" i="6" s="1"/>
  <c r="N775" i="6"/>
  <c r="P775" i="6" s="1"/>
  <c r="N761" i="6"/>
  <c r="N762" i="6"/>
  <c r="N763" i="6"/>
  <c r="N764" i="6"/>
  <c r="N765" i="6"/>
  <c r="P765" i="6" s="1"/>
  <c r="N766" i="6"/>
  <c r="N767" i="6"/>
  <c r="N755" i="6"/>
  <c r="P755" i="6" s="1"/>
  <c r="N756" i="6"/>
  <c r="P756" i="6" s="1"/>
  <c r="N757" i="6"/>
  <c r="P757" i="6" s="1"/>
  <c r="N758" i="6"/>
  <c r="P758" i="6" s="1"/>
  <c r="N759" i="6"/>
  <c r="P759" i="6" s="1"/>
  <c r="N760" i="6"/>
  <c r="P760" i="6" s="1"/>
  <c r="N749" i="6"/>
  <c r="N750" i="6"/>
  <c r="N751" i="6"/>
  <c r="P751" i="6" s="1"/>
  <c r="N752" i="6"/>
  <c r="P752" i="6" s="1"/>
  <c r="N753" i="6"/>
  <c r="P753" i="6" s="1"/>
  <c r="N754" i="6"/>
  <c r="P754" i="6" s="1"/>
  <c r="N743" i="6"/>
  <c r="P743" i="6" s="1"/>
  <c r="N744" i="6"/>
  <c r="N745" i="6"/>
  <c r="N746" i="6"/>
  <c r="N747" i="6"/>
  <c r="P747" i="6" s="1"/>
  <c r="N739" i="6"/>
  <c r="P739" i="6" s="1"/>
  <c r="N740" i="6"/>
  <c r="P740" i="6" s="1"/>
  <c r="N741" i="6"/>
  <c r="P741" i="6" s="1"/>
  <c r="O889" i="6" l="1"/>
  <c r="S814" i="6" l="1"/>
  <c r="T814" i="6" s="1"/>
  <c r="V814" i="6"/>
  <c r="W814" i="6" s="1"/>
  <c r="N814" i="6"/>
  <c r="P814" i="6" s="1"/>
  <c r="S813" i="6"/>
  <c r="T813" i="6" s="1"/>
  <c r="V813" i="6"/>
  <c r="W813" i="6" s="1"/>
  <c r="S812" i="6"/>
  <c r="T812" i="6" s="1"/>
  <c r="V812" i="6"/>
  <c r="W812" i="6" s="1"/>
  <c r="S811" i="6"/>
  <c r="T811" i="6" s="1"/>
  <c r="V811" i="6"/>
  <c r="W811" i="6" s="1"/>
  <c r="S810" i="6"/>
  <c r="T810" i="6" s="1"/>
  <c r="V810" i="6"/>
  <c r="W810" i="6" s="1"/>
  <c r="S809" i="6"/>
  <c r="T809" i="6" s="1"/>
  <c r="V809" i="6"/>
  <c r="W809" i="6" s="1"/>
  <c r="S808" i="6"/>
  <c r="T808" i="6" s="1"/>
  <c r="V808" i="6"/>
  <c r="W808" i="6" s="1"/>
  <c r="S807" i="6"/>
  <c r="T807" i="6" s="1"/>
  <c r="V807" i="6"/>
  <c r="W807" i="6" s="1"/>
  <c r="S806" i="6"/>
  <c r="T806" i="6" s="1"/>
  <c r="V806" i="6"/>
  <c r="W806" i="6" s="1"/>
  <c r="N729" i="6" l="1"/>
  <c r="V700" i="6"/>
  <c r="W700" i="6" s="1"/>
  <c r="V696" i="6"/>
  <c r="W696" i="6" s="1"/>
  <c r="V697" i="6"/>
  <c r="W697" i="6" s="1"/>
  <c r="V698" i="6"/>
  <c r="W698" i="6" s="1"/>
  <c r="V699" i="6"/>
  <c r="W699" i="6" s="1"/>
  <c r="V701" i="6"/>
  <c r="W701" i="6" s="1"/>
  <c r="V702" i="6"/>
  <c r="W702" i="6" s="1"/>
  <c r="S674" i="6"/>
  <c r="T674" i="6" s="1"/>
  <c r="V530" i="6"/>
  <c r="W530" i="6" s="1"/>
  <c r="N451" i="6"/>
  <c r="P451" i="6" s="1"/>
  <c r="S451" i="6"/>
  <c r="T451" i="6" s="1"/>
  <c r="V451" i="6"/>
  <c r="W451" i="6" s="1"/>
  <c r="N452" i="6"/>
  <c r="P452" i="6" s="1"/>
  <c r="S452" i="6"/>
  <c r="T452" i="6" s="1"/>
  <c r="V452" i="6"/>
  <c r="W452" i="6" s="1"/>
  <c r="N453" i="6"/>
  <c r="P453" i="6" s="1"/>
  <c r="S453" i="6"/>
  <c r="T453" i="6" s="1"/>
  <c r="V453" i="6"/>
  <c r="W453" i="6" s="1"/>
  <c r="N454" i="6"/>
  <c r="P454" i="6" s="1"/>
  <c r="S454" i="6"/>
  <c r="T454" i="6" s="1"/>
  <c r="V454" i="6"/>
  <c r="W454" i="6" s="1"/>
  <c r="N455" i="6"/>
  <c r="P455" i="6" s="1"/>
  <c r="S455" i="6"/>
  <c r="T455" i="6" s="1"/>
  <c r="V455" i="6"/>
  <c r="W455" i="6" s="1"/>
  <c r="N456" i="6"/>
  <c r="P456" i="6" s="1"/>
  <c r="S456" i="6"/>
  <c r="T456" i="6" s="1"/>
  <c r="V456" i="6"/>
  <c r="W456" i="6" s="1"/>
  <c r="V457" i="6"/>
  <c r="W457" i="6" s="1"/>
  <c r="V458" i="6"/>
  <c r="W458" i="6" s="1"/>
  <c r="V459" i="6"/>
  <c r="W459" i="6" s="1"/>
  <c r="V460" i="6"/>
  <c r="W460" i="6" s="1"/>
  <c r="V461" i="6"/>
  <c r="W461" i="6" s="1"/>
  <c r="V462" i="6"/>
  <c r="W462" i="6" s="1"/>
  <c r="V463" i="6"/>
  <c r="W463" i="6" s="1"/>
  <c r="V464" i="6"/>
  <c r="W464" i="6" s="1"/>
  <c r="V465" i="6"/>
  <c r="W465" i="6" s="1"/>
  <c r="V466" i="6"/>
  <c r="W466" i="6" s="1"/>
  <c r="V467" i="6"/>
  <c r="W467" i="6" s="1"/>
  <c r="N468" i="6"/>
  <c r="P468" i="6" s="1"/>
  <c r="S468" i="6"/>
  <c r="T468" i="6" s="1"/>
  <c r="V468" i="6"/>
  <c r="W468" i="6" s="1"/>
  <c r="V469" i="6"/>
  <c r="W469" i="6" s="1"/>
  <c r="N470" i="6"/>
  <c r="P470" i="6" s="1"/>
  <c r="S470" i="6"/>
  <c r="T470" i="6" s="1"/>
  <c r="V470" i="6"/>
  <c r="W470" i="6" s="1"/>
  <c r="N471" i="6"/>
  <c r="P471" i="6" s="1"/>
  <c r="S471" i="6"/>
  <c r="T471" i="6" s="1"/>
  <c r="V471" i="6"/>
  <c r="W471" i="6" s="1"/>
  <c r="N472" i="6"/>
  <c r="P472" i="6" s="1"/>
  <c r="S472" i="6"/>
  <c r="T472" i="6" s="1"/>
  <c r="V472" i="6"/>
  <c r="W472" i="6" s="1"/>
  <c r="N473" i="6"/>
  <c r="P473" i="6" s="1"/>
  <c r="S473" i="6"/>
  <c r="T473" i="6" s="1"/>
  <c r="V473" i="6"/>
  <c r="W473" i="6" s="1"/>
  <c r="N474" i="6"/>
  <c r="P474" i="6" s="1"/>
  <c r="S474" i="6"/>
  <c r="T474" i="6" s="1"/>
  <c r="V474" i="6"/>
  <c r="W474" i="6" s="1"/>
  <c r="N475" i="6"/>
  <c r="P475" i="6" s="1"/>
  <c r="S475" i="6"/>
  <c r="T475" i="6" s="1"/>
  <c r="V475" i="6"/>
  <c r="W475" i="6" s="1"/>
  <c r="N476" i="6"/>
  <c r="P476" i="6" s="1"/>
  <c r="S476" i="6"/>
  <c r="T476" i="6" s="1"/>
  <c r="V476" i="6"/>
  <c r="W476" i="6" s="1"/>
  <c r="V477" i="6"/>
  <c r="W477" i="6" s="1"/>
  <c r="V478" i="6"/>
  <c r="W478" i="6" s="1"/>
  <c r="V479" i="6"/>
  <c r="W479" i="6" s="1"/>
  <c r="N480" i="6"/>
  <c r="P480" i="6" s="1"/>
  <c r="S480" i="6"/>
  <c r="T480" i="6" s="1"/>
  <c r="V480" i="6"/>
  <c r="W480" i="6" s="1"/>
  <c r="V481" i="6"/>
  <c r="W481" i="6" s="1"/>
  <c r="V482" i="6"/>
  <c r="W482" i="6" s="1"/>
  <c r="V483" i="6"/>
  <c r="W483" i="6" s="1"/>
  <c r="V484" i="6"/>
  <c r="W484" i="6" s="1"/>
  <c r="N485" i="6"/>
  <c r="P485" i="6" s="1"/>
  <c r="S485" i="6"/>
  <c r="T485" i="6" s="1"/>
  <c r="V485" i="6"/>
  <c r="W485" i="6" s="1"/>
  <c r="V486" i="6"/>
  <c r="W486" i="6" s="1"/>
  <c r="N487" i="6"/>
  <c r="P487" i="6" s="1"/>
  <c r="S487" i="6"/>
  <c r="T487" i="6" s="1"/>
  <c r="V487" i="6"/>
  <c r="W487" i="6" s="1"/>
  <c r="N488" i="6"/>
  <c r="P488" i="6" s="1"/>
  <c r="S488" i="6"/>
  <c r="T488" i="6" s="1"/>
  <c r="V488" i="6"/>
  <c r="W488" i="6" s="1"/>
  <c r="N489" i="6"/>
  <c r="P489" i="6" s="1"/>
  <c r="S489" i="6"/>
  <c r="T489" i="6" s="1"/>
  <c r="V489" i="6"/>
  <c r="W489" i="6" s="1"/>
  <c r="N490" i="6"/>
  <c r="P490" i="6" s="1"/>
  <c r="S490" i="6"/>
  <c r="T490" i="6" s="1"/>
  <c r="V490" i="6"/>
  <c r="W490" i="6" s="1"/>
  <c r="N491" i="6"/>
  <c r="P491" i="6" s="1"/>
  <c r="S491" i="6"/>
  <c r="T491" i="6" s="1"/>
  <c r="V491" i="6"/>
  <c r="W491" i="6" s="1"/>
  <c r="V492" i="6"/>
  <c r="W492" i="6" s="1"/>
  <c r="N493" i="6"/>
  <c r="P493" i="6" s="1"/>
  <c r="S493" i="6"/>
  <c r="T493" i="6" s="1"/>
  <c r="V493" i="6"/>
  <c r="W493" i="6" s="1"/>
  <c r="N494" i="6"/>
  <c r="P494" i="6" s="1"/>
  <c r="S494" i="6"/>
  <c r="T494" i="6" s="1"/>
  <c r="V494" i="6"/>
  <c r="W494" i="6" s="1"/>
  <c r="V495" i="6"/>
  <c r="W495" i="6" s="1"/>
  <c r="N496" i="6"/>
  <c r="P496" i="6" s="1"/>
  <c r="S496" i="6"/>
  <c r="T496" i="6" s="1"/>
  <c r="V496" i="6"/>
  <c r="W496" i="6" s="1"/>
  <c r="V497" i="6"/>
  <c r="W497" i="6" s="1"/>
  <c r="N498" i="6"/>
  <c r="P498" i="6" s="1"/>
  <c r="S498" i="6"/>
  <c r="T498" i="6" s="1"/>
  <c r="V498" i="6"/>
  <c r="W498" i="6" s="1"/>
  <c r="N499" i="6"/>
  <c r="P499" i="6" s="1"/>
  <c r="S499" i="6"/>
  <c r="T499" i="6" s="1"/>
  <c r="V499" i="6"/>
  <c r="W499" i="6" s="1"/>
  <c r="V500" i="6"/>
  <c r="W500" i="6" s="1"/>
  <c r="N501" i="6"/>
  <c r="P501" i="6" s="1"/>
  <c r="S501" i="6"/>
  <c r="T501" i="6" s="1"/>
  <c r="V501" i="6"/>
  <c r="W501" i="6" s="1"/>
  <c r="N502" i="6"/>
  <c r="P502" i="6" s="1"/>
  <c r="S502" i="6"/>
  <c r="T502" i="6" s="1"/>
  <c r="V502" i="6"/>
  <c r="W502" i="6" s="1"/>
  <c r="V503" i="6"/>
  <c r="W503" i="6" s="1"/>
  <c r="V504" i="6"/>
  <c r="W504" i="6" s="1"/>
  <c r="V505" i="6"/>
  <c r="W505" i="6" s="1"/>
  <c r="V506" i="6"/>
  <c r="W506" i="6" s="1"/>
  <c r="N507" i="6"/>
  <c r="P507" i="6" s="1"/>
  <c r="S507" i="6"/>
  <c r="T507" i="6" s="1"/>
  <c r="V507" i="6"/>
  <c r="W507" i="6" s="1"/>
  <c r="P508" i="6"/>
  <c r="S508" i="6"/>
  <c r="T508" i="6" s="1"/>
  <c r="V508" i="6"/>
  <c r="W508" i="6" s="1"/>
  <c r="P509" i="6"/>
  <c r="S509" i="6"/>
  <c r="T509" i="6" s="1"/>
  <c r="V509" i="6"/>
  <c r="W509" i="6" s="1"/>
  <c r="P510" i="6"/>
  <c r="S510" i="6"/>
  <c r="T510" i="6" s="1"/>
  <c r="V510" i="6"/>
  <c r="W510" i="6" s="1"/>
  <c r="P511" i="6"/>
  <c r="S511" i="6"/>
  <c r="T511" i="6" s="1"/>
  <c r="V511" i="6"/>
  <c r="W511" i="6" s="1"/>
  <c r="N512" i="6"/>
  <c r="P512" i="6" s="1"/>
  <c r="S512" i="6"/>
  <c r="T512" i="6" s="1"/>
  <c r="V512" i="6"/>
  <c r="W512" i="6" s="1"/>
  <c r="P513" i="6"/>
  <c r="S513" i="6"/>
  <c r="T513" i="6" s="1"/>
  <c r="V513" i="6"/>
  <c r="W513" i="6" s="1"/>
  <c r="N514" i="6"/>
  <c r="P514" i="6" s="1"/>
  <c r="S514" i="6"/>
  <c r="T514" i="6" s="1"/>
  <c r="V514" i="6"/>
  <c r="W514" i="6" s="1"/>
  <c r="N515" i="6"/>
  <c r="P515" i="6" s="1"/>
  <c r="S515" i="6"/>
  <c r="T515" i="6" s="1"/>
  <c r="V515" i="6"/>
  <c r="W515" i="6" s="1"/>
  <c r="P516" i="6"/>
  <c r="S516" i="6"/>
  <c r="T516" i="6" s="1"/>
  <c r="V516" i="6"/>
  <c r="W516" i="6" s="1"/>
  <c r="N517" i="6"/>
  <c r="P517" i="6" s="1"/>
  <c r="S517" i="6"/>
  <c r="T517" i="6" s="1"/>
  <c r="V517" i="6"/>
  <c r="W517" i="6" s="1"/>
  <c r="P518" i="6"/>
  <c r="S518" i="6"/>
  <c r="T518" i="6" s="1"/>
  <c r="V518" i="6"/>
  <c r="W518" i="6" s="1"/>
  <c r="P519" i="6"/>
  <c r="S519" i="6"/>
  <c r="T519" i="6" s="1"/>
  <c r="V519" i="6"/>
  <c r="W519" i="6" s="1"/>
  <c r="N520" i="6"/>
  <c r="P520" i="6" s="1"/>
  <c r="S520" i="6"/>
  <c r="T520" i="6" s="1"/>
  <c r="V520" i="6"/>
  <c r="W520" i="6" s="1"/>
  <c r="P521" i="6"/>
  <c r="S521" i="6"/>
  <c r="T521" i="6" s="1"/>
  <c r="V521" i="6"/>
  <c r="W521" i="6" s="1"/>
  <c r="P522" i="6"/>
  <c r="S522" i="6"/>
  <c r="T522" i="6" s="1"/>
  <c r="V522" i="6"/>
  <c r="W522" i="6" s="1"/>
  <c r="P523" i="6"/>
  <c r="S523" i="6"/>
  <c r="T523" i="6" s="1"/>
  <c r="V523" i="6"/>
  <c r="W523" i="6" s="1"/>
  <c r="P524" i="6"/>
  <c r="S524" i="6"/>
  <c r="T524" i="6" s="1"/>
  <c r="V524" i="6"/>
  <c r="W524" i="6" s="1"/>
  <c r="N525" i="6"/>
  <c r="P525" i="6" s="1"/>
  <c r="S525" i="6"/>
  <c r="T525" i="6" s="1"/>
  <c r="V525" i="6"/>
  <c r="W525" i="6" s="1"/>
  <c r="P526" i="6"/>
  <c r="S526" i="6"/>
  <c r="T526" i="6" s="1"/>
  <c r="V526" i="6"/>
  <c r="W526" i="6" s="1"/>
  <c r="N527" i="6"/>
  <c r="P527" i="6" s="1"/>
  <c r="S527" i="6"/>
  <c r="T527" i="6" s="1"/>
  <c r="V527" i="6"/>
  <c r="W527" i="6" s="1"/>
  <c r="N528" i="6"/>
  <c r="P528" i="6" s="1"/>
  <c r="S528" i="6"/>
  <c r="T528" i="6" s="1"/>
  <c r="V528" i="6"/>
  <c r="W528" i="6" s="1"/>
  <c r="P529" i="6"/>
  <c r="S529" i="6"/>
  <c r="T529" i="6" s="1"/>
  <c r="V529" i="6"/>
  <c r="W529" i="6" s="1"/>
  <c r="P530" i="6"/>
  <c r="S530" i="6"/>
  <c r="T530" i="6" s="1"/>
  <c r="N531" i="6"/>
  <c r="P531" i="6" s="1"/>
  <c r="S531" i="6"/>
  <c r="T531" i="6" s="1"/>
  <c r="V531" i="6"/>
  <c r="W531" i="6" s="1"/>
  <c r="N532" i="6"/>
  <c r="P532" i="6" s="1"/>
  <c r="S532" i="6"/>
  <c r="T532" i="6" s="1"/>
  <c r="V532" i="6"/>
  <c r="W532" i="6" s="1"/>
  <c r="V533" i="6"/>
  <c r="W533" i="6" s="1"/>
  <c r="P534" i="6"/>
  <c r="S534" i="6"/>
  <c r="T534" i="6" s="1"/>
  <c r="V534" i="6"/>
  <c r="W534" i="6" s="1"/>
  <c r="P535" i="6"/>
  <c r="S535" i="6"/>
  <c r="T535" i="6" s="1"/>
  <c r="V535" i="6"/>
  <c r="W535" i="6" s="1"/>
  <c r="N536" i="6"/>
  <c r="P536" i="6"/>
  <c r="S536" i="6"/>
  <c r="T536" i="6" s="1"/>
  <c r="V536" i="6"/>
  <c r="W536" i="6"/>
  <c r="P538" i="6"/>
  <c r="S538" i="6"/>
  <c r="T538" i="6" s="1"/>
  <c r="V538" i="6"/>
  <c r="W538" i="6" s="1"/>
  <c r="N539" i="6"/>
  <c r="P539" i="6" s="1"/>
  <c r="S539" i="6"/>
  <c r="T539" i="6" s="1"/>
  <c r="V539" i="6"/>
  <c r="W539" i="6" s="1"/>
  <c r="N540" i="6"/>
  <c r="P540" i="6" s="1"/>
  <c r="S540" i="6"/>
  <c r="T540" i="6" s="1"/>
  <c r="V540" i="6"/>
  <c r="W540" i="6" s="1"/>
  <c r="N541" i="6"/>
  <c r="P541" i="6" s="1"/>
  <c r="S541" i="6"/>
  <c r="T541" i="6" s="1"/>
  <c r="V541" i="6"/>
  <c r="W541" i="6" s="1"/>
  <c r="P542" i="6"/>
  <c r="S542" i="6"/>
  <c r="T542" i="6" s="1"/>
  <c r="V542" i="6"/>
  <c r="W542" i="6" s="1"/>
  <c r="P543" i="6"/>
  <c r="S543" i="6"/>
  <c r="T543" i="6" s="1"/>
  <c r="V543" i="6"/>
  <c r="W543" i="6" s="1"/>
  <c r="V544" i="6"/>
  <c r="W544" i="6" s="1"/>
  <c r="V545" i="6"/>
  <c r="W545" i="6" s="1"/>
  <c r="P546" i="6"/>
  <c r="S546" i="6"/>
  <c r="T546" i="6" s="1"/>
  <c r="V546" i="6"/>
  <c r="W546" i="6" s="1"/>
  <c r="V547" i="6"/>
  <c r="W547" i="6" s="1"/>
  <c r="V548" i="6"/>
  <c r="W548" i="6" s="1"/>
  <c r="P549" i="6"/>
  <c r="S549" i="6"/>
  <c r="T549" i="6" s="1"/>
  <c r="V549" i="6"/>
  <c r="W549" i="6" s="1"/>
  <c r="N550" i="6"/>
  <c r="P550" i="6" s="1"/>
  <c r="S550" i="6"/>
  <c r="T550" i="6" s="1"/>
  <c r="V550" i="6"/>
  <c r="W550" i="6" s="1"/>
  <c r="P551" i="6"/>
  <c r="S551" i="6"/>
  <c r="T551" i="6" s="1"/>
  <c r="V551" i="6"/>
  <c r="W551" i="6" s="1"/>
  <c r="N552" i="6"/>
  <c r="P552" i="6" s="1"/>
  <c r="S552" i="6"/>
  <c r="T552" i="6" s="1"/>
  <c r="V552" i="6"/>
  <c r="W552" i="6" s="1"/>
  <c r="P553" i="6"/>
  <c r="S553" i="6"/>
  <c r="T553" i="6" s="1"/>
  <c r="V553" i="6"/>
  <c r="W553" i="6" s="1"/>
  <c r="N554" i="6"/>
  <c r="P554" i="6" s="1"/>
  <c r="S554" i="6"/>
  <c r="T554" i="6" s="1"/>
  <c r="V554" i="6"/>
  <c r="W554" i="6" s="1"/>
  <c r="N555" i="6"/>
  <c r="P555" i="6" s="1"/>
  <c r="S555" i="6"/>
  <c r="T555" i="6" s="1"/>
  <c r="V555" i="6"/>
  <c r="W555" i="6" s="1"/>
  <c r="P556" i="6"/>
  <c r="S556" i="6"/>
  <c r="T556" i="6" s="1"/>
  <c r="V556" i="6"/>
  <c r="W556" i="6" s="1"/>
  <c r="N557" i="6"/>
  <c r="P557" i="6" s="1"/>
  <c r="S557" i="6"/>
  <c r="T557" i="6" s="1"/>
  <c r="V557" i="6"/>
  <c r="W557" i="6" s="1"/>
  <c r="P558" i="6"/>
  <c r="S558" i="6"/>
  <c r="T558" i="6" s="1"/>
  <c r="V558" i="6"/>
  <c r="W558" i="6" s="1"/>
  <c r="P559" i="6"/>
  <c r="S559" i="6"/>
  <c r="T559" i="6" s="1"/>
  <c r="V559" i="6"/>
  <c r="W559" i="6" s="1"/>
  <c r="P560" i="6"/>
  <c r="S560" i="6"/>
  <c r="T560" i="6" s="1"/>
  <c r="V560" i="6"/>
  <c r="W560" i="6" s="1"/>
  <c r="V561" i="6"/>
  <c r="W561" i="6" s="1"/>
  <c r="N562" i="6"/>
  <c r="P562" i="6" s="1"/>
  <c r="S562" i="6"/>
  <c r="T562" i="6" s="1"/>
  <c r="V562" i="6"/>
  <c r="W562" i="6" s="1"/>
  <c r="N563" i="6"/>
  <c r="P563" i="6" s="1"/>
  <c r="S563" i="6"/>
  <c r="T563" i="6" s="1"/>
  <c r="V563" i="6"/>
  <c r="W563" i="6" s="1"/>
  <c r="P564" i="6"/>
  <c r="S564" i="6"/>
  <c r="T564" i="6" s="1"/>
  <c r="V564" i="6"/>
  <c r="W564" i="6" s="1"/>
  <c r="P565" i="6"/>
  <c r="S565" i="6"/>
  <c r="T565" i="6" s="1"/>
  <c r="V565" i="6"/>
  <c r="W565" i="6" s="1"/>
  <c r="P566" i="6"/>
  <c r="S566" i="6"/>
  <c r="T566" i="6" s="1"/>
  <c r="V566" i="6"/>
  <c r="W566" i="6" s="1"/>
  <c r="P567" i="6"/>
  <c r="S567" i="6"/>
  <c r="T567" i="6" s="1"/>
  <c r="V567" i="6"/>
  <c r="W567" i="6" s="1"/>
  <c r="P568" i="6"/>
  <c r="S568" i="6"/>
  <c r="T568" i="6" s="1"/>
  <c r="V568" i="6"/>
  <c r="W568" i="6" s="1"/>
  <c r="V569" i="6"/>
  <c r="W569" i="6" s="1"/>
  <c r="V570" i="6"/>
  <c r="W570" i="6" s="1"/>
  <c r="N571" i="6"/>
  <c r="P571" i="6" s="1"/>
  <c r="S571" i="6"/>
  <c r="T571" i="6" s="1"/>
  <c r="V571" i="6"/>
  <c r="W571" i="6" s="1"/>
  <c r="N572" i="6"/>
  <c r="P572" i="6" s="1"/>
  <c r="S572" i="6"/>
  <c r="T572" i="6" s="1"/>
  <c r="V572" i="6"/>
  <c r="W572" i="6" s="1"/>
  <c r="V573" i="6"/>
  <c r="W573" i="6" s="1"/>
  <c r="P574" i="6"/>
  <c r="S574" i="6"/>
  <c r="T574" i="6" s="1"/>
  <c r="V574" i="6"/>
  <c r="W574" i="6" s="1"/>
  <c r="P575" i="6"/>
  <c r="S575" i="6"/>
  <c r="T575" i="6" s="1"/>
  <c r="V575" i="6"/>
  <c r="W575" i="6" s="1"/>
  <c r="N576" i="6"/>
  <c r="P576" i="6" s="1"/>
  <c r="S576" i="6"/>
  <c r="T576" i="6" s="1"/>
  <c r="V576" i="6"/>
  <c r="W576" i="6" s="1"/>
  <c r="N577" i="6"/>
  <c r="P577" i="6" s="1"/>
  <c r="S577" i="6"/>
  <c r="T577" i="6" s="1"/>
  <c r="V577" i="6"/>
  <c r="W577" i="6" s="1"/>
  <c r="P578" i="6"/>
  <c r="S578" i="6"/>
  <c r="T578" i="6" s="1"/>
  <c r="V578" i="6"/>
  <c r="W578" i="6" s="1"/>
  <c r="P579" i="6"/>
  <c r="S579" i="6"/>
  <c r="T579" i="6" s="1"/>
  <c r="V579" i="6"/>
  <c r="W579" i="6" s="1"/>
  <c r="N580" i="6"/>
  <c r="P580" i="6" s="1"/>
  <c r="S580" i="6"/>
  <c r="T580" i="6" s="1"/>
  <c r="V580" i="6"/>
  <c r="W580" i="6" s="1"/>
  <c r="N581" i="6"/>
  <c r="P581" i="6" s="1"/>
  <c r="S581" i="6"/>
  <c r="T581" i="6" s="1"/>
  <c r="V581" i="6"/>
  <c r="W581" i="6" s="1"/>
  <c r="N582" i="6"/>
  <c r="P582" i="6" s="1"/>
  <c r="S582" i="6"/>
  <c r="T582" i="6" s="1"/>
  <c r="V582" i="6"/>
  <c r="W582" i="6" s="1"/>
  <c r="N583" i="6"/>
  <c r="P583" i="6" s="1"/>
  <c r="S583" i="6"/>
  <c r="T583" i="6" s="1"/>
  <c r="V583" i="6"/>
  <c r="W583" i="6" s="1"/>
  <c r="P584" i="6"/>
  <c r="S584" i="6"/>
  <c r="T584" i="6" s="1"/>
  <c r="V584" i="6"/>
  <c r="W584" i="6" s="1"/>
  <c r="N585" i="6"/>
  <c r="P585" i="6" s="1"/>
  <c r="S585" i="6"/>
  <c r="T585" i="6" s="1"/>
  <c r="V585" i="6"/>
  <c r="W585" i="6" s="1"/>
  <c r="V586" i="6"/>
  <c r="W586" i="6" s="1"/>
  <c r="P587" i="6"/>
  <c r="S587" i="6"/>
  <c r="T587" i="6" s="1"/>
  <c r="V587" i="6"/>
  <c r="W587" i="6" s="1"/>
  <c r="P588" i="6"/>
  <c r="S588" i="6"/>
  <c r="T588" i="6" s="1"/>
  <c r="V588" i="6"/>
  <c r="W588" i="6" s="1"/>
  <c r="P589" i="6"/>
  <c r="S589" i="6"/>
  <c r="T589" i="6" s="1"/>
  <c r="V589" i="6"/>
  <c r="W589" i="6" s="1"/>
  <c r="N590" i="6"/>
  <c r="P590" i="6" s="1"/>
  <c r="S590" i="6"/>
  <c r="T590" i="6" s="1"/>
  <c r="V590" i="6"/>
  <c r="W590" i="6" s="1"/>
  <c r="N591" i="6"/>
  <c r="P591" i="6" s="1"/>
  <c r="S591" i="6"/>
  <c r="T591" i="6" s="1"/>
  <c r="V591" i="6"/>
  <c r="W591" i="6" s="1"/>
  <c r="P592" i="6"/>
  <c r="S592" i="6"/>
  <c r="T592" i="6" s="1"/>
  <c r="V592" i="6"/>
  <c r="W592" i="6" s="1"/>
  <c r="P593" i="6"/>
  <c r="S593" i="6"/>
  <c r="T593" i="6" s="1"/>
  <c r="V593" i="6"/>
  <c r="W593" i="6" s="1"/>
  <c r="N594" i="6"/>
  <c r="P594" i="6" s="1"/>
  <c r="S594" i="6"/>
  <c r="T594" i="6" s="1"/>
  <c r="V594" i="6"/>
  <c r="W594" i="6" s="1"/>
  <c r="V595" i="6"/>
  <c r="W595" i="6" s="1"/>
  <c r="N596" i="6"/>
  <c r="P596" i="6" s="1"/>
  <c r="S596" i="6"/>
  <c r="T596" i="6" s="1"/>
  <c r="V596" i="6"/>
  <c r="W596" i="6" s="1"/>
  <c r="N597" i="6"/>
  <c r="P597" i="6" s="1"/>
  <c r="S597" i="6"/>
  <c r="T597" i="6" s="1"/>
  <c r="V597" i="6"/>
  <c r="W597" i="6" s="1"/>
  <c r="V598" i="6"/>
  <c r="W598" i="6" s="1"/>
  <c r="N599" i="6"/>
  <c r="P599" i="6" s="1"/>
  <c r="S599" i="6"/>
  <c r="T599" i="6" s="1"/>
  <c r="V599" i="6"/>
  <c r="W599" i="6" s="1"/>
  <c r="P600" i="6"/>
  <c r="S600" i="6"/>
  <c r="T600" i="6" s="1"/>
  <c r="V600" i="6"/>
  <c r="W600" i="6" s="1"/>
  <c r="P601" i="6"/>
  <c r="S601" i="6"/>
  <c r="T601" i="6" s="1"/>
  <c r="V601" i="6"/>
  <c r="W601" i="6" s="1"/>
  <c r="N602" i="6"/>
  <c r="P602" i="6" s="1"/>
  <c r="S602" i="6"/>
  <c r="T602" i="6" s="1"/>
  <c r="V602" i="6"/>
  <c r="W602" i="6" s="1"/>
  <c r="N603" i="6"/>
  <c r="P603" i="6" s="1"/>
  <c r="S603" i="6"/>
  <c r="T603" i="6" s="1"/>
  <c r="V603" i="6"/>
  <c r="W603" i="6" s="1"/>
  <c r="N604" i="6"/>
  <c r="P604" i="6" s="1"/>
  <c r="S604" i="6"/>
  <c r="T604" i="6" s="1"/>
  <c r="V604" i="6"/>
  <c r="W604" i="6" s="1"/>
  <c r="P605" i="6"/>
  <c r="S605" i="6"/>
  <c r="T605" i="6" s="1"/>
  <c r="V605" i="6"/>
  <c r="W605" i="6" s="1"/>
  <c r="P606" i="6"/>
  <c r="S606" i="6"/>
  <c r="T606" i="6" s="1"/>
  <c r="V606" i="6"/>
  <c r="W606" i="6" s="1"/>
  <c r="P607" i="6"/>
  <c r="S607" i="6"/>
  <c r="T607" i="6" s="1"/>
  <c r="V607" i="6"/>
  <c r="W607" i="6" s="1"/>
  <c r="N608" i="6"/>
  <c r="P608" i="6" s="1"/>
  <c r="S608" i="6"/>
  <c r="T608" i="6" s="1"/>
  <c r="V608" i="6"/>
  <c r="W608" i="6" s="1"/>
  <c r="P609" i="6"/>
  <c r="S609" i="6"/>
  <c r="T609" i="6" s="1"/>
  <c r="V609" i="6"/>
  <c r="W609" i="6" s="1"/>
  <c r="V610" i="6"/>
  <c r="W610" i="6" s="1"/>
  <c r="N611" i="6"/>
  <c r="S611" i="6"/>
  <c r="T611" i="6" s="1"/>
  <c r="V611" i="6"/>
  <c r="W611" i="6" s="1"/>
  <c r="V612" i="6"/>
  <c r="W612" i="6" s="1"/>
  <c r="N613" i="6"/>
  <c r="S613" i="6"/>
  <c r="T613" i="6" s="1"/>
  <c r="V613" i="6"/>
  <c r="W613" i="6" s="1"/>
  <c r="N614" i="6"/>
  <c r="S614" i="6"/>
  <c r="T614" i="6" s="1"/>
  <c r="V614" i="6"/>
  <c r="W614" i="6" s="1"/>
  <c r="N615" i="6"/>
  <c r="S615" i="6"/>
  <c r="T615" i="6" s="1"/>
  <c r="V615" i="6"/>
  <c r="W615" i="6" s="1"/>
  <c r="N616" i="6"/>
  <c r="S616" i="6"/>
  <c r="T616" i="6" s="1"/>
  <c r="V616" i="6"/>
  <c r="W616" i="6" s="1"/>
  <c r="N617" i="6"/>
  <c r="S617" i="6"/>
  <c r="T617" i="6" s="1"/>
  <c r="V617" i="6"/>
  <c r="W617" i="6" s="1"/>
  <c r="V618" i="6"/>
  <c r="W618" i="6" s="1"/>
  <c r="N619" i="6"/>
  <c r="S619" i="6"/>
  <c r="T619" i="6" s="1"/>
  <c r="V619" i="6"/>
  <c r="W619" i="6" s="1"/>
  <c r="S620" i="6"/>
  <c r="T620" i="6" s="1"/>
  <c r="V620" i="6"/>
  <c r="W620" i="6" s="1"/>
  <c r="S621" i="6"/>
  <c r="T621" i="6" s="1"/>
  <c r="V621" i="6"/>
  <c r="W621" i="6" s="1"/>
  <c r="V622" i="6"/>
  <c r="W622" i="6" s="1"/>
  <c r="S623" i="6"/>
  <c r="T623" i="6" s="1"/>
  <c r="V623" i="6"/>
  <c r="W623" i="6" s="1"/>
  <c r="V624" i="6"/>
  <c r="W624" i="6" s="1"/>
  <c r="S625" i="6"/>
  <c r="T625" i="6" s="1"/>
  <c r="V625" i="6"/>
  <c r="W625" i="6" s="1"/>
  <c r="S626" i="6"/>
  <c r="T626" i="6" s="1"/>
  <c r="V626" i="6"/>
  <c r="W626" i="6" s="1"/>
  <c r="S627" i="6"/>
  <c r="T627" i="6" s="1"/>
  <c r="V627" i="6"/>
  <c r="W627" i="6" s="1"/>
  <c r="S628" i="6"/>
  <c r="T628" i="6" s="1"/>
  <c r="V628" i="6"/>
  <c r="W628" i="6" s="1"/>
  <c r="V629" i="6"/>
  <c r="W629" i="6" s="1"/>
  <c r="N630" i="6"/>
  <c r="S630" i="6"/>
  <c r="T630" i="6" s="1"/>
  <c r="V630" i="6"/>
  <c r="W630" i="6" s="1"/>
  <c r="S631" i="6"/>
  <c r="T631" i="6" s="1"/>
  <c r="V631" i="6"/>
  <c r="W631" i="6" s="1"/>
  <c r="V632" i="6"/>
  <c r="W632" i="6" s="1"/>
  <c r="S633" i="6"/>
  <c r="T633" i="6" s="1"/>
  <c r="V633" i="6"/>
  <c r="W633" i="6" s="1"/>
  <c r="S634" i="6"/>
  <c r="T634" i="6" s="1"/>
  <c r="V634" i="6"/>
  <c r="W634" i="6" s="1"/>
  <c r="N635" i="6"/>
  <c r="S635" i="6"/>
  <c r="T635" i="6" s="1"/>
  <c r="V635" i="6"/>
  <c r="W635" i="6" s="1"/>
  <c r="V636" i="6"/>
  <c r="W636" i="6" s="1"/>
  <c r="V637" i="6"/>
  <c r="W637" i="6" s="1"/>
  <c r="S638" i="6"/>
  <c r="T638" i="6" s="1"/>
  <c r="V638" i="6"/>
  <c r="W638" i="6" s="1"/>
  <c r="S639" i="6"/>
  <c r="T639" i="6" s="1"/>
  <c r="V639" i="6"/>
  <c r="W639" i="6" s="1"/>
  <c r="V640" i="6"/>
  <c r="W640" i="6" s="1"/>
  <c r="V641" i="6"/>
  <c r="W641" i="6" s="1"/>
  <c r="V642" i="6"/>
  <c r="W642" i="6" s="1"/>
  <c r="V643" i="6"/>
  <c r="W643" i="6" s="1"/>
  <c r="V644" i="6"/>
  <c r="W644" i="6" s="1"/>
  <c r="N645" i="6"/>
  <c r="S645" i="6"/>
  <c r="T645" i="6" s="1"/>
  <c r="V645" i="6"/>
  <c r="W645" i="6" s="1"/>
  <c r="V646" i="6"/>
  <c r="W646" i="6" s="1"/>
  <c r="V647" i="6"/>
  <c r="W647" i="6" s="1"/>
  <c r="V648" i="6"/>
  <c r="W648" i="6" s="1"/>
  <c r="N649" i="6"/>
  <c r="S649" i="6"/>
  <c r="T649" i="6" s="1"/>
  <c r="V649" i="6"/>
  <c r="W649" i="6" s="1"/>
  <c r="N650" i="6"/>
  <c r="S650" i="6"/>
  <c r="T650" i="6" s="1"/>
  <c r="V650" i="6"/>
  <c r="W650" i="6" s="1"/>
  <c r="N651" i="6"/>
  <c r="S651" i="6"/>
  <c r="T651" i="6" s="1"/>
  <c r="V651" i="6"/>
  <c r="W651" i="6" s="1"/>
  <c r="N652" i="6"/>
  <c r="S652" i="6"/>
  <c r="T652" i="6" s="1"/>
  <c r="V652" i="6"/>
  <c r="W652" i="6" s="1"/>
  <c r="N653" i="6"/>
  <c r="S653" i="6"/>
  <c r="T653" i="6" s="1"/>
  <c r="V653" i="6"/>
  <c r="W653" i="6" s="1"/>
  <c r="N654" i="6"/>
  <c r="S654" i="6"/>
  <c r="T654" i="6" s="1"/>
  <c r="V654" i="6"/>
  <c r="W654" i="6" s="1"/>
  <c r="N655" i="6"/>
  <c r="S655" i="6"/>
  <c r="T655" i="6" s="1"/>
  <c r="V655" i="6"/>
  <c r="W655" i="6" s="1"/>
  <c r="S656" i="6"/>
  <c r="T656" i="6" s="1"/>
  <c r="V656" i="6"/>
  <c r="W656" i="6" s="1"/>
  <c r="S657" i="6"/>
  <c r="T657" i="6" s="1"/>
  <c r="V657" i="6"/>
  <c r="W657" i="6" s="1"/>
  <c r="V658" i="6"/>
  <c r="W658" i="6" s="1"/>
  <c r="V659" i="6"/>
  <c r="W659" i="6" s="1"/>
  <c r="V660" i="6"/>
  <c r="W660" i="6" s="1"/>
  <c r="V661" i="6"/>
  <c r="W661" i="6" s="1"/>
  <c r="V662" i="6"/>
  <c r="W662" i="6" s="1"/>
  <c r="V663" i="6"/>
  <c r="W663" i="6" s="1"/>
  <c r="V664" i="6"/>
  <c r="W664" i="6" s="1"/>
  <c r="V665" i="6"/>
  <c r="W665" i="6" s="1"/>
  <c r="V666" i="6"/>
  <c r="W666" i="6" s="1"/>
  <c r="V667" i="6"/>
  <c r="W667" i="6" s="1"/>
  <c r="V668" i="6"/>
  <c r="W668" i="6" s="1"/>
  <c r="V669" i="6"/>
  <c r="W669" i="6" s="1"/>
  <c r="W670" i="6"/>
  <c r="V671" i="6"/>
  <c r="W671" i="6" s="1"/>
  <c r="V672" i="6"/>
  <c r="W672" i="6" s="1"/>
  <c r="S673" i="6"/>
  <c r="T673" i="6" s="1"/>
  <c r="V673" i="6"/>
  <c r="W673" i="6" s="1"/>
  <c r="V674" i="6"/>
  <c r="W674" i="6" s="1"/>
  <c r="V675" i="6"/>
  <c r="W675" i="6" s="1"/>
  <c r="N676" i="6"/>
  <c r="S676" i="6"/>
  <c r="T676" i="6" s="1"/>
  <c r="V676" i="6"/>
  <c r="W676" i="6" s="1"/>
  <c r="N677" i="6"/>
  <c r="S677" i="6"/>
  <c r="T677" i="6" s="1"/>
  <c r="V677" i="6"/>
  <c r="W677" i="6" s="1"/>
  <c r="V678" i="6"/>
  <c r="W678" i="6" s="1"/>
  <c r="V679" i="6"/>
  <c r="W679" i="6" s="1"/>
  <c r="V680" i="6"/>
  <c r="W680" i="6" s="1"/>
  <c r="V681" i="6"/>
  <c r="W681" i="6" s="1"/>
  <c r="V682" i="6"/>
  <c r="W682" i="6" s="1"/>
  <c r="V683" i="6"/>
  <c r="W683" i="6" s="1"/>
  <c r="V684" i="6"/>
  <c r="W684" i="6" s="1"/>
  <c r="V685" i="6"/>
  <c r="W685" i="6" s="1"/>
  <c r="V686" i="6"/>
  <c r="W686" i="6" s="1"/>
  <c r="V687" i="6"/>
  <c r="W687" i="6" s="1"/>
  <c r="V688" i="6"/>
  <c r="W688" i="6" s="1"/>
  <c r="V689" i="6"/>
  <c r="W689" i="6" s="1"/>
  <c r="V690" i="6"/>
  <c r="W690" i="6" s="1"/>
  <c r="V691" i="6"/>
  <c r="W691" i="6" s="1"/>
  <c r="V692" i="6"/>
  <c r="W692" i="6" s="1"/>
  <c r="V693" i="6"/>
  <c r="W693" i="6" s="1"/>
  <c r="V694" i="6"/>
  <c r="W694" i="6" s="1"/>
  <c r="V695" i="6"/>
  <c r="W695" i="6" s="1"/>
  <c r="V703" i="6"/>
  <c r="W703" i="6" s="1"/>
  <c r="V704" i="6"/>
  <c r="W704" i="6" s="1"/>
  <c r="V705" i="6"/>
  <c r="W705" i="6" s="1"/>
  <c r="V706" i="6"/>
  <c r="W706" i="6" s="1"/>
  <c r="V707" i="6"/>
  <c r="W707" i="6" s="1"/>
  <c r="V708" i="6"/>
  <c r="W708" i="6" s="1"/>
  <c r="V709" i="6"/>
  <c r="W709" i="6" s="1"/>
  <c r="V710" i="6"/>
  <c r="W710" i="6" s="1"/>
  <c r="V711" i="6"/>
  <c r="W711" i="6" s="1"/>
  <c r="N712" i="6"/>
  <c r="S712" i="6"/>
  <c r="T712" i="6" s="1"/>
  <c r="V712" i="6"/>
  <c r="W712" i="6" s="1"/>
  <c r="W713" i="6"/>
  <c r="W714" i="6"/>
  <c r="N715" i="6"/>
  <c r="S715" i="6"/>
  <c r="T715" i="6" s="1"/>
  <c r="V715" i="6"/>
  <c r="W715" i="6" s="1"/>
  <c r="N716" i="6"/>
  <c r="S716" i="6"/>
  <c r="T716" i="6" s="1"/>
  <c r="V716" i="6"/>
  <c r="W716" i="6" s="1"/>
  <c r="N717" i="6"/>
  <c r="S717" i="6"/>
  <c r="T717" i="6" s="1"/>
  <c r="V717" i="6"/>
  <c r="W717" i="6" s="1"/>
  <c r="N718" i="6"/>
  <c r="S718" i="6"/>
  <c r="T718" i="6" s="1"/>
  <c r="V718" i="6"/>
  <c r="W718" i="6" s="1"/>
  <c r="N719" i="6"/>
  <c r="S719" i="6"/>
  <c r="T719" i="6" s="1"/>
  <c r="V719" i="6"/>
  <c r="W719" i="6" s="1"/>
  <c r="N720" i="6"/>
  <c r="S720" i="6"/>
  <c r="T720" i="6" s="1"/>
  <c r="V720" i="6"/>
  <c r="W720" i="6" s="1"/>
  <c r="N721" i="6"/>
  <c r="S721" i="6"/>
  <c r="T721" i="6" s="1"/>
  <c r="V721" i="6"/>
  <c r="W721" i="6" s="1"/>
  <c r="N722" i="6"/>
  <c r="S722" i="6"/>
  <c r="T722" i="6" s="1"/>
  <c r="V722" i="6"/>
  <c r="W722" i="6" s="1"/>
  <c r="N723" i="6"/>
  <c r="S723" i="6"/>
  <c r="T723" i="6" s="1"/>
  <c r="V723" i="6"/>
  <c r="W723" i="6" s="1"/>
  <c r="N724" i="6"/>
  <c r="S724" i="6"/>
  <c r="T724" i="6" s="1"/>
  <c r="V724" i="6"/>
  <c r="W724" i="6" s="1"/>
  <c r="N725" i="6"/>
  <c r="S725" i="6"/>
  <c r="T725" i="6" s="1"/>
  <c r="V725" i="6"/>
  <c r="W725" i="6" s="1"/>
  <c r="N726" i="6"/>
  <c r="S726" i="6"/>
  <c r="T726" i="6" s="1"/>
  <c r="V726" i="6"/>
  <c r="W726" i="6" s="1"/>
  <c r="N727" i="6"/>
  <c r="S727" i="6"/>
  <c r="T727" i="6" s="1"/>
  <c r="V727" i="6"/>
  <c r="W727" i="6" s="1"/>
  <c r="N728" i="6"/>
  <c r="S728" i="6"/>
  <c r="T728" i="6" s="1"/>
  <c r="V728" i="6"/>
  <c r="W728" i="6" s="1"/>
  <c r="S729" i="6"/>
  <c r="T729" i="6" s="1"/>
  <c r="V729" i="6"/>
  <c r="W729" i="6" s="1"/>
  <c r="N730" i="6"/>
  <c r="S730" i="6"/>
  <c r="T730" i="6" s="1"/>
  <c r="V730" i="6"/>
  <c r="W730" i="6" s="1"/>
  <c r="N731" i="6"/>
  <c r="S731" i="6"/>
  <c r="T731" i="6" s="1"/>
  <c r="V731" i="6"/>
  <c r="W731" i="6" s="1"/>
  <c r="N732" i="6"/>
  <c r="S732" i="6"/>
  <c r="T732" i="6" s="1"/>
  <c r="V732" i="6"/>
  <c r="W732" i="6" s="1"/>
  <c r="N733" i="6"/>
  <c r="S733" i="6"/>
  <c r="T733" i="6" s="1"/>
  <c r="V733" i="6"/>
  <c r="W733" i="6" s="1"/>
  <c r="N734" i="6"/>
  <c r="S734" i="6"/>
  <c r="T734" i="6" s="1"/>
  <c r="V734" i="6"/>
  <c r="W734" i="6" s="1"/>
  <c r="S739" i="6"/>
  <c r="T739" i="6" s="1"/>
  <c r="V739" i="6"/>
  <c r="W739" i="6" s="1"/>
  <c r="S740" i="6"/>
  <c r="T740" i="6" s="1"/>
  <c r="V740" i="6"/>
  <c r="W740" i="6" s="1"/>
  <c r="S741" i="6"/>
  <c r="T741" i="6" s="1"/>
  <c r="V741" i="6"/>
  <c r="W741" i="6" s="1"/>
  <c r="N742" i="6"/>
  <c r="P742" i="6" s="1"/>
  <c r="S742" i="6"/>
  <c r="T742" i="6" s="1"/>
  <c r="V742" i="6"/>
  <c r="W742" i="6" s="1"/>
  <c r="S743" i="6"/>
  <c r="T743" i="6" s="1"/>
  <c r="V743" i="6"/>
  <c r="W743" i="6" s="1"/>
  <c r="S744" i="6"/>
  <c r="T744" i="6" s="1"/>
  <c r="V744" i="6"/>
  <c r="W744" i="6" s="1"/>
  <c r="S745" i="6"/>
  <c r="T745" i="6" s="1"/>
  <c r="V745" i="6"/>
  <c r="W745" i="6" s="1"/>
  <c r="S746" i="6"/>
  <c r="T746" i="6" s="1"/>
  <c r="V746" i="6"/>
  <c r="W746" i="6" s="1"/>
  <c r="S747" i="6"/>
  <c r="T747" i="6" s="1"/>
  <c r="V747" i="6"/>
  <c r="W747" i="6" s="1"/>
  <c r="N748" i="6"/>
  <c r="P748" i="6" s="1"/>
  <c r="S748" i="6"/>
  <c r="T748" i="6" s="1"/>
  <c r="V748" i="6"/>
  <c r="W748" i="6" s="1"/>
  <c r="S749" i="6"/>
  <c r="T749" i="6" s="1"/>
  <c r="V749" i="6"/>
  <c r="W749" i="6" s="1"/>
  <c r="V750" i="6"/>
  <c r="W750" i="6" s="1"/>
  <c r="S751" i="6"/>
  <c r="T751" i="6" s="1"/>
  <c r="V751" i="6"/>
  <c r="W751" i="6" s="1"/>
  <c r="S752" i="6"/>
  <c r="T752" i="6" s="1"/>
  <c r="V752" i="6"/>
  <c r="W752" i="6" s="1"/>
  <c r="S753" i="6"/>
  <c r="T753" i="6" s="1"/>
  <c r="V753" i="6"/>
  <c r="W753" i="6" s="1"/>
  <c r="S754" i="6"/>
  <c r="T754" i="6" s="1"/>
  <c r="V754" i="6"/>
  <c r="W754" i="6" s="1"/>
  <c r="S755" i="6"/>
  <c r="T755" i="6" s="1"/>
  <c r="V755" i="6"/>
  <c r="W755" i="6" s="1"/>
  <c r="S756" i="6"/>
  <c r="T756" i="6" s="1"/>
  <c r="V756" i="6"/>
  <c r="W756" i="6" s="1"/>
  <c r="S757" i="6"/>
  <c r="T757" i="6" s="1"/>
  <c r="V757" i="6"/>
  <c r="W757" i="6" s="1"/>
  <c r="S758" i="6"/>
  <c r="T758" i="6" s="1"/>
  <c r="V758" i="6"/>
  <c r="W758" i="6" s="1"/>
  <c r="S759" i="6"/>
  <c r="T759" i="6" s="1"/>
  <c r="V759" i="6"/>
  <c r="W759" i="6" s="1"/>
  <c r="S760" i="6"/>
  <c r="T760" i="6" s="1"/>
  <c r="V760" i="6"/>
  <c r="W760" i="6" s="1"/>
  <c r="S761" i="6"/>
  <c r="T761" i="6" s="1"/>
  <c r="V761" i="6"/>
  <c r="W761" i="6" s="1"/>
  <c r="S762" i="6"/>
  <c r="T762" i="6" s="1"/>
  <c r="V762" i="6"/>
  <c r="W762" i="6" s="1"/>
  <c r="S763" i="6"/>
  <c r="T763" i="6" s="1"/>
  <c r="V763" i="6"/>
  <c r="W763" i="6" s="1"/>
  <c r="S764" i="6"/>
  <c r="T764" i="6" s="1"/>
  <c r="V764" i="6"/>
  <c r="W764" i="6" s="1"/>
  <c r="S765" i="6"/>
  <c r="T765" i="6" s="1"/>
  <c r="V765" i="6"/>
  <c r="W765" i="6" s="1"/>
  <c r="S766" i="6"/>
  <c r="T766" i="6" s="1"/>
  <c r="V766" i="6"/>
  <c r="W766" i="6" s="1"/>
  <c r="S767" i="6"/>
  <c r="T767" i="6" s="1"/>
  <c r="V767" i="6"/>
  <c r="W767" i="6" s="1"/>
  <c r="S768" i="6"/>
  <c r="T768" i="6" s="1"/>
  <c r="V768" i="6"/>
  <c r="W768" i="6" s="1"/>
  <c r="S769" i="6"/>
  <c r="T769" i="6" s="1"/>
  <c r="V769" i="6"/>
  <c r="W769" i="6" s="1"/>
  <c r="S770" i="6"/>
  <c r="T770" i="6" s="1"/>
  <c r="V770" i="6"/>
  <c r="W770" i="6" s="1"/>
  <c r="S771" i="6"/>
  <c r="T771" i="6" s="1"/>
  <c r="V771" i="6"/>
  <c r="W771" i="6" s="1"/>
  <c r="S772" i="6"/>
  <c r="T772" i="6" s="1"/>
  <c r="V772" i="6"/>
  <c r="W772" i="6" s="1"/>
  <c r="S773" i="6"/>
  <c r="T773" i="6" s="1"/>
  <c r="V773" i="6"/>
  <c r="W773" i="6" s="1"/>
  <c r="S774" i="6"/>
  <c r="T774" i="6" s="1"/>
  <c r="V774" i="6"/>
  <c r="W774" i="6" s="1"/>
  <c r="S775" i="6"/>
  <c r="T775" i="6" s="1"/>
  <c r="V775" i="6"/>
  <c r="W775" i="6" s="1"/>
  <c r="S776" i="6"/>
  <c r="T776" i="6" s="1"/>
  <c r="V776" i="6"/>
  <c r="W776" i="6" s="1"/>
  <c r="S777" i="6"/>
  <c r="T777" i="6" s="1"/>
  <c r="V777" i="6"/>
  <c r="W777" i="6" s="1"/>
  <c r="S778" i="6"/>
  <c r="T778" i="6" s="1"/>
  <c r="V778" i="6"/>
  <c r="W778" i="6" s="1"/>
  <c r="S779" i="6"/>
  <c r="T779" i="6" s="1"/>
  <c r="V779" i="6"/>
  <c r="W779" i="6" s="1"/>
  <c r="S780" i="6"/>
  <c r="T780" i="6" s="1"/>
  <c r="V780" i="6"/>
  <c r="W780" i="6" s="1"/>
  <c r="S781" i="6"/>
  <c r="T781" i="6" s="1"/>
  <c r="V781" i="6"/>
  <c r="W781" i="6" s="1"/>
  <c r="N782" i="6"/>
  <c r="P782" i="6" s="1"/>
  <c r="S782" i="6"/>
  <c r="T782" i="6" s="1"/>
  <c r="V782" i="6"/>
  <c r="W782" i="6" s="1"/>
  <c r="S783" i="6"/>
  <c r="T783" i="6" s="1"/>
  <c r="V783" i="6"/>
  <c r="W783" i="6" s="1"/>
  <c r="S784" i="6"/>
  <c r="T784" i="6" s="1"/>
  <c r="V784" i="6"/>
  <c r="W784" i="6" s="1"/>
  <c r="S785" i="6"/>
  <c r="T785" i="6" s="1"/>
  <c r="V785" i="6"/>
  <c r="W785" i="6" s="1"/>
  <c r="S786" i="6"/>
  <c r="T786" i="6" s="1"/>
  <c r="V786" i="6"/>
  <c r="W786" i="6" s="1"/>
  <c r="S787" i="6"/>
  <c r="T787" i="6" s="1"/>
  <c r="V787" i="6"/>
  <c r="W787" i="6" s="1"/>
  <c r="S788" i="6"/>
  <c r="T788" i="6" s="1"/>
  <c r="V788" i="6"/>
  <c r="W788" i="6" s="1"/>
  <c r="S789" i="6"/>
  <c r="T789" i="6" s="1"/>
  <c r="V789" i="6"/>
  <c r="W789" i="6" s="1"/>
  <c r="S790" i="6"/>
  <c r="T790" i="6" s="1"/>
  <c r="V790" i="6"/>
  <c r="W790" i="6" s="1"/>
  <c r="N791" i="6"/>
  <c r="P791" i="6" s="1"/>
  <c r="S791" i="6"/>
  <c r="T791" i="6" s="1"/>
  <c r="V791" i="6"/>
  <c r="W791" i="6" s="1"/>
  <c r="N792" i="6"/>
  <c r="P792" i="6" s="1"/>
  <c r="S792" i="6"/>
  <c r="T792" i="6" s="1"/>
  <c r="V792" i="6"/>
  <c r="W792" i="6" s="1"/>
  <c r="S793" i="6"/>
  <c r="T793" i="6" s="1"/>
  <c r="V793" i="6"/>
  <c r="W793" i="6" s="1"/>
  <c r="S794" i="6"/>
  <c r="T794" i="6" s="1"/>
  <c r="V794" i="6"/>
  <c r="W794" i="6" s="1"/>
  <c r="S795" i="6"/>
  <c r="T795" i="6" s="1"/>
  <c r="V795" i="6"/>
  <c r="W795" i="6" s="1"/>
  <c r="S796" i="6"/>
  <c r="T796" i="6" s="1"/>
  <c r="V796" i="6"/>
  <c r="W796" i="6" s="1"/>
  <c r="S797" i="6"/>
  <c r="T797" i="6" s="1"/>
  <c r="V797" i="6"/>
  <c r="W797" i="6" s="1"/>
  <c r="S798" i="6"/>
  <c r="T798" i="6" s="1"/>
  <c r="V798" i="6"/>
  <c r="W798" i="6" s="1"/>
  <c r="S799" i="6"/>
  <c r="T799" i="6" s="1"/>
  <c r="V799" i="6"/>
  <c r="W799" i="6" s="1"/>
  <c r="S800" i="6"/>
  <c r="T800" i="6" s="1"/>
  <c r="V800" i="6"/>
  <c r="W800" i="6" s="1"/>
  <c r="S801" i="6"/>
  <c r="T801" i="6" s="1"/>
  <c r="V801" i="6"/>
  <c r="W801" i="6" s="1"/>
  <c r="S802" i="6"/>
  <c r="T802" i="6" s="1"/>
  <c r="V802" i="6"/>
  <c r="W802" i="6" s="1"/>
  <c r="S803" i="6"/>
  <c r="T803" i="6" s="1"/>
  <c r="V803" i="6"/>
  <c r="W803" i="6" s="1"/>
  <c r="S804" i="6"/>
  <c r="T804" i="6" s="1"/>
  <c r="V804" i="6"/>
  <c r="W804" i="6" s="1"/>
  <c r="S805" i="6"/>
  <c r="T805" i="6" s="1"/>
  <c r="V805" i="6"/>
  <c r="W805" i="6" s="1"/>
  <c r="N314" i="6"/>
  <c r="P314" i="6" s="1"/>
  <c r="S314" i="6"/>
  <c r="T314" i="6" s="1"/>
  <c r="V314" i="6"/>
  <c r="W314" i="6" s="1"/>
  <c r="N315" i="6"/>
  <c r="P315" i="6" s="1"/>
  <c r="S315" i="6"/>
  <c r="T315" i="6" s="1"/>
  <c r="V315" i="6"/>
  <c r="W315" i="6" s="1"/>
  <c r="N316" i="6"/>
  <c r="P316" i="6" s="1"/>
  <c r="S316" i="6"/>
  <c r="T316" i="6" s="1"/>
  <c r="V316" i="6"/>
  <c r="W316" i="6" s="1"/>
  <c r="N317" i="6"/>
  <c r="P317" i="6" s="1"/>
  <c r="S317" i="6"/>
  <c r="T317" i="6" s="1"/>
  <c r="V317" i="6"/>
  <c r="W317" i="6" s="1"/>
  <c r="N318" i="6"/>
  <c r="P318" i="6" s="1"/>
  <c r="S318" i="6"/>
  <c r="T318" i="6" s="1"/>
  <c r="V318" i="6"/>
  <c r="W318" i="6" s="1"/>
  <c r="N319" i="6"/>
  <c r="P319" i="6" s="1"/>
  <c r="S319" i="6"/>
  <c r="T319" i="6" s="1"/>
  <c r="V319" i="6"/>
  <c r="W319" i="6" s="1"/>
  <c r="N320" i="6"/>
  <c r="P320" i="6" s="1"/>
  <c r="S320" i="6"/>
  <c r="T320" i="6" s="1"/>
  <c r="V320" i="6"/>
  <c r="W320" i="6" s="1"/>
  <c r="N321" i="6"/>
  <c r="P321" i="6" s="1"/>
  <c r="S321" i="6"/>
  <c r="T321" i="6" s="1"/>
  <c r="V321" i="6"/>
  <c r="W321" i="6" s="1"/>
  <c r="N322" i="6"/>
  <c r="P322" i="6" s="1"/>
  <c r="S322" i="6"/>
  <c r="T322" i="6" s="1"/>
  <c r="V322" i="6"/>
  <c r="W322" i="6" s="1"/>
  <c r="N323" i="6"/>
  <c r="P323" i="6" s="1"/>
  <c r="S323" i="6"/>
  <c r="T323" i="6" s="1"/>
  <c r="V323" i="6"/>
  <c r="W323" i="6" s="1"/>
  <c r="N324" i="6"/>
  <c r="P324" i="6" s="1"/>
  <c r="S324" i="6"/>
  <c r="T324" i="6" s="1"/>
  <c r="V324" i="6"/>
  <c r="W324" i="6" s="1"/>
  <c r="N325" i="6"/>
  <c r="P325" i="6" s="1"/>
  <c r="S325" i="6"/>
  <c r="T325" i="6" s="1"/>
  <c r="V325" i="6"/>
  <c r="W325" i="6" s="1"/>
  <c r="N326" i="6"/>
  <c r="P326" i="6" s="1"/>
  <c r="S326" i="6"/>
  <c r="T326" i="6" s="1"/>
  <c r="V326" i="6"/>
  <c r="W326" i="6" s="1"/>
  <c r="N327" i="6"/>
  <c r="P327" i="6" s="1"/>
  <c r="S327" i="6"/>
  <c r="T327" i="6" s="1"/>
  <c r="V327" i="6"/>
  <c r="W327" i="6" s="1"/>
  <c r="N328" i="6"/>
  <c r="P328" i="6" s="1"/>
  <c r="S328" i="6"/>
  <c r="T328" i="6" s="1"/>
  <c r="V328" i="6"/>
  <c r="W328" i="6" s="1"/>
  <c r="N329" i="6"/>
  <c r="P329" i="6" s="1"/>
  <c r="S329" i="6"/>
  <c r="T329" i="6" s="1"/>
  <c r="V329" i="6"/>
  <c r="W329" i="6" s="1"/>
  <c r="N330" i="6"/>
  <c r="P330" i="6" s="1"/>
  <c r="S330" i="6"/>
  <c r="T330" i="6" s="1"/>
  <c r="V330" i="6"/>
  <c r="W330" i="6" s="1"/>
  <c r="V331" i="6"/>
  <c r="W331" i="6" s="1"/>
  <c r="V332" i="6"/>
  <c r="W332" i="6" s="1"/>
  <c r="N333" i="6"/>
  <c r="P333" i="6" s="1"/>
  <c r="S333" i="6"/>
  <c r="T333" i="6" s="1"/>
  <c r="V333" i="6"/>
  <c r="W333" i="6" s="1"/>
  <c r="P334" i="6"/>
  <c r="S334" i="6"/>
  <c r="T334" i="6" s="1"/>
  <c r="V334" i="6"/>
  <c r="W334" i="6" s="1"/>
  <c r="V335" i="6"/>
  <c r="W335" i="6" s="1"/>
  <c r="V336" i="6"/>
  <c r="W336" i="6" s="1"/>
  <c r="P337" i="6"/>
  <c r="S337" i="6"/>
  <c r="T337" i="6" s="1"/>
  <c r="V337" i="6"/>
  <c r="W337" i="6" s="1"/>
  <c r="N338" i="6"/>
  <c r="P338" i="6" s="1"/>
  <c r="S338" i="6"/>
  <c r="T338" i="6" s="1"/>
  <c r="V338" i="6"/>
  <c r="W338" i="6" s="1"/>
  <c r="P339" i="6"/>
  <c r="S339" i="6"/>
  <c r="T339" i="6" s="1"/>
  <c r="V339" i="6"/>
  <c r="W339" i="6" s="1"/>
  <c r="P340" i="6"/>
  <c r="S340" i="6"/>
  <c r="T340" i="6" s="1"/>
  <c r="V340" i="6"/>
  <c r="W340" i="6" s="1"/>
  <c r="P341" i="6"/>
  <c r="S341" i="6"/>
  <c r="T341" i="6" s="1"/>
  <c r="V341" i="6"/>
  <c r="W341" i="6" s="1"/>
  <c r="N342" i="6"/>
  <c r="P342" i="6" s="1"/>
  <c r="S342" i="6"/>
  <c r="T342" i="6" s="1"/>
  <c r="V342" i="6"/>
  <c r="W342" i="6" s="1"/>
  <c r="N343" i="6"/>
  <c r="P343" i="6" s="1"/>
  <c r="S343" i="6"/>
  <c r="T343" i="6" s="1"/>
  <c r="V343" i="6"/>
  <c r="W343" i="6" s="1"/>
  <c r="P344" i="6"/>
  <c r="S344" i="6"/>
  <c r="T344" i="6" s="1"/>
  <c r="V344" i="6"/>
  <c r="W344" i="6" s="1"/>
  <c r="N345" i="6"/>
  <c r="P345" i="6" s="1"/>
  <c r="S345" i="6"/>
  <c r="T345" i="6" s="1"/>
  <c r="V345" i="6"/>
  <c r="W345" i="6" s="1"/>
  <c r="N346" i="6"/>
  <c r="P346" i="6" s="1"/>
  <c r="S346" i="6"/>
  <c r="T346" i="6" s="1"/>
  <c r="V346" i="6"/>
  <c r="W346" i="6" s="1"/>
  <c r="N347" i="6"/>
  <c r="P347" i="6" s="1"/>
  <c r="S347" i="6"/>
  <c r="T347" i="6" s="1"/>
  <c r="V347" i="6"/>
  <c r="W347" i="6" s="1"/>
  <c r="P348" i="6"/>
  <c r="S348" i="6"/>
  <c r="T348" i="6" s="1"/>
  <c r="V348" i="6"/>
  <c r="W348" i="6" s="1"/>
  <c r="N349" i="6"/>
  <c r="P349" i="6" s="1"/>
  <c r="S349" i="6"/>
  <c r="T349" i="6" s="1"/>
  <c r="V349" i="6"/>
  <c r="W349" i="6" s="1"/>
  <c r="P350" i="6"/>
  <c r="S350" i="6"/>
  <c r="T350" i="6" s="1"/>
  <c r="V350" i="6"/>
  <c r="W350" i="6" s="1"/>
  <c r="N351" i="6"/>
  <c r="P351" i="6" s="1"/>
  <c r="S351" i="6"/>
  <c r="T351" i="6" s="1"/>
  <c r="V351" i="6"/>
  <c r="W351" i="6" s="1"/>
  <c r="N352" i="6"/>
  <c r="P352" i="6" s="1"/>
  <c r="S352" i="6"/>
  <c r="T352" i="6" s="1"/>
  <c r="V352" i="6"/>
  <c r="W352" i="6" s="1"/>
  <c r="N353" i="6"/>
  <c r="P353" i="6" s="1"/>
  <c r="S353" i="6"/>
  <c r="T353" i="6" s="1"/>
  <c r="V353" i="6"/>
  <c r="W353" i="6" s="1"/>
  <c r="N354" i="6"/>
  <c r="P354" i="6" s="1"/>
  <c r="S354" i="6"/>
  <c r="T354" i="6" s="1"/>
  <c r="V354" i="6"/>
  <c r="W354" i="6" s="1"/>
  <c r="P355" i="6"/>
  <c r="S355" i="6"/>
  <c r="T355" i="6" s="1"/>
  <c r="V355" i="6"/>
  <c r="W355" i="6" s="1"/>
  <c r="N356" i="6"/>
  <c r="P356" i="6" s="1"/>
  <c r="S356" i="6"/>
  <c r="T356" i="6" s="1"/>
  <c r="V356" i="6"/>
  <c r="W356" i="6" s="1"/>
  <c r="N357" i="6"/>
  <c r="P357" i="6" s="1"/>
  <c r="S357" i="6"/>
  <c r="T357" i="6" s="1"/>
  <c r="V357" i="6"/>
  <c r="W357" i="6" s="1"/>
  <c r="N358" i="6"/>
  <c r="P358" i="6" s="1"/>
  <c r="S358" i="6"/>
  <c r="T358" i="6" s="1"/>
  <c r="V358" i="6"/>
  <c r="W358" i="6" s="1"/>
  <c r="N359" i="6"/>
  <c r="P359" i="6" s="1"/>
  <c r="S359" i="6"/>
  <c r="T359" i="6" s="1"/>
  <c r="V359" i="6"/>
  <c r="W359" i="6" s="1"/>
  <c r="N360" i="6"/>
  <c r="P360" i="6" s="1"/>
  <c r="S360" i="6"/>
  <c r="T360" i="6" s="1"/>
  <c r="V360" i="6"/>
  <c r="W360" i="6" s="1"/>
  <c r="N361" i="6"/>
  <c r="P361" i="6" s="1"/>
  <c r="S361" i="6"/>
  <c r="T361" i="6" s="1"/>
  <c r="V361" i="6"/>
  <c r="W361" i="6" s="1"/>
  <c r="N362" i="6"/>
  <c r="P362" i="6" s="1"/>
  <c r="S362" i="6"/>
  <c r="T362" i="6" s="1"/>
  <c r="V362" i="6"/>
  <c r="W362" i="6" s="1"/>
  <c r="N363" i="6"/>
  <c r="P363" i="6" s="1"/>
  <c r="S363" i="6"/>
  <c r="T363" i="6" s="1"/>
  <c r="V363" i="6"/>
  <c r="W363" i="6" s="1"/>
  <c r="V364" i="6"/>
  <c r="W364" i="6" s="1"/>
  <c r="V365" i="6"/>
  <c r="W365" i="6" s="1"/>
  <c r="V366" i="6"/>
  <c r="W366" i="6" s="1"/>
  <c r="V367" i="6"/>
  <c r="W367" i="6" s="1"/>
  <c r="V368" i="6"/>
  <c r="W368" i="6" s="1"/>
  <c r="V369" i="6"/>
  <c r="W369" i="6" s="1"/>
  <c r="V370" i="6"/>
  <c r="W370" i="6" s="1"/>
  <c r="V371" i="6"/>
  <c r="W371" i="6" s="1"/>
  <c r="V372" i="6"/>
  <c r="W372" i="6" s="1"/>
  <c r="V373" i="6"/>
  <c r="W373" i="6" s="1"/>
  <c r="V374" i="6"/>
  <c r="W374" i="6" s="1"/>
  <c r="V375" i="6"/>
  <c r="W375" i="6" s="1"/>
  <c r="V376" i="6"/>
  <c r="W376" i="6" s="1"/>
  <c r="V377" i="6"/>
  <c r="W377" i="6" s="1"/>
  <c r="V378" i="6"/>
  <c r="W378" i="6" s="1"/>
  <c r="V379" i="6"/>
  <c r="W379" i="6" s="1"/>
  <c r="N380" i="6"/>
  <c r="P380" i="6" s="1"/>
  <c r="S380" i="6"/>
  <c r="T380" i="6" s="1"/>
  <c r="V380" i="6"/>
  <c r="W380" i="6" s="1"/>
  <c r="N381" i="6"/>
  <c r="P381" i="6" s="1"/>
  <c r="S381" i="6"/>
  <c r="T381" i="6" s="1"/>
  <c r="V381" i="6"/>
  <c r="W381" i="6" s="1"/>
  <c r="N382" i="6"/>
  <c r="P382" i="6" s="1"/>
  <c r="S382" i="6"/>
  <c r="T382" i="6" s="1"/>
  <c r="V382" i="6"/>
  <c r="W382" i="6" s="1"/>
  <c r="V383" i="6"/>
  <c r="W383" i="6" s="1"/>
  <c r="V384" i="6"/>
  <c r="W384" i="6" s="1"/>
  <c r="N385" i="6"/>
  <c r="P385" i="6" s="1"/>
  <c r="S385" i="6"/>
  <c r="T385" i="6" s="1"/>
  <c r="V385" i="6"/>
  <c r="W385" i="6" s="1"/>
  <c r="V386" i="6"/>
  <c r="W386" i="6" s="1"/>
  <c r="N387" i="6"/>
  <c r="P387" i="6" s="1"/>
  <c r="S387" i="6"/>
  <c r="T387" i="6" s="1"/>
  <c r="V387" i="6"/>
  <c r="W387" i="6" s="1"/>
  <c r="N388" i="6"/>
  <c r="P388" i="6" s="1"/>
  <c r="S388" i="6"/>
  <c r="T388" i="6" s="1"/>
  <c r="V388" i="6"/>
  <c r="W388" i="6" s="1"/>
  <c r="N389" i="6"/>
  <c r="P389" i="6" s="1"/>
  <c r="S389" i="6"/>
  <c r="T389" i="6" s="1"/>
  <c r="V389" i="6"/>
  <c r="W389" i="6" s="1"/>
  <c r="N390" i="6"/>
  <c r="P390" i="6" s="1"/>
  <c r="S390" i="6"/>
  <c r="T390" i="6" s="1"/>
  <c r="V390" i="6"/>
  <c r="W390" i="6" s="1"/>
  <c r="V391" i="6"/>
  <c r="W391" i="6" s="1"/>
  <c r="N392" i="6"/>
  <c r="P392" i="6" s="1"/>
  <c r="S392" i="6"/>
  <c r="T392" i="6" s="1"/>
  <c r="V392" i="6"/>
  <c r="W392" i="6" s="1"/>
  <c r="N393" i="6"/>
  <c r="P393" i="6" s="1"/>
  <c r="S393" i="6"/>
  <c r="T393" i="6" s="1"/>
  <c r="V393" i="6"/>
  <c r="W393" i="6" s="1"/>
  <c r="N394" i="6"/>
  <c r="P394" i="6" s="1"/>
  <c r="S394" i="6"/>
  <c r="T394" i="6" s="1"/>
  <c r="V394" i="6"/>
  <c r="W394" i="6" s="1"/>
  <c r="N395" i="6"/>
  <c r="P395" i="6" s="1"/>
  <c r="S395" i="6"/>
  <c r="T395" i="6" s="1"/>
  <c r="V395" i="6"/>
  <c r="W395" i="6" s="1"/>
  <c r="N396" i="6"/>
  <c r="P396" i="6" s="1"/>
  <c r="S396" i="6"/>
  <c r="T396" i="6" s="1"/>
  <c r="V396" i="6"/>
  <c r="W396" i="6" s="1"/>
  <c r="N397" i="6"/>
  <c r="P397" i="6" s="1"/>
  <c r="S397" i="6"/>
  <c r="T397" i="6" s="1"/>
  <c r="V397" i="6"/>
  <c r="W397" i="6" s="1"/>
  <c r="V398" i="6"/>
  <c r="W398" i="6" s="1"/>
  <c r="N399" i="6"/>
  <c r="P399" i="6" s="1"/>
  <c r="S399" i="6"/>
  <c r="T399" i="6" s="1"/>
  <c r="V399" i="6"/>
  <c r="W399" i="6" s="1"/>
  <c r="N400" i="6"/>
  <c r="P400" i="6" s="1"/>
  <c r="S400" i="6"/>
  <c r="T400" i="6" s="1"/>
  <c r="V400" i="6"/>
  <c r="W400" i="6" s="1"/>
  <c r="N401" i="6"/>
  <c r="P401" i="6" s="1"/>
  <c r="S401" i="6"/>
  <c r="T401" i="6" s="1"/>
  <c r="V401" i="6"/>
  <c r="W401" i="6" s="1"/>
  <c r="V402" i="6"/>
  <c r="W402" i="6" s="1"/>
  <c r="V403" i="6"/>
  <c r="W403" i="6" s="1"/>
  <c r="N404" i="6"/>
  <c r="P404" i="6" s="1"/>
  <c r="S404" i="6"/>
  <c r="T404" i="6" s="1"/>
  <c r="V404" i="6"/>
  <c r="W404" i="6" s="1"/>
  <c r="N405" i="6"/>
  <c r="P405" i="6" s="1"/>
  <c r="S405" i="6"/>
  <c r="T405" i="6" s="1"/>
  <c r="V405" i="6"/>
  <c r="W405" i="6" s="1"/>
  <c r="N406" i="6"/>
  <c r="P406" i="6" s="1"/>
  <c r="S406" i="6"/>
  <c r="T406" i="6" s="1"/>
  <c r="V406" i="6"/>
  <c r="W406" i="6" s="1"/>
  <c r="N407" i="6"/>
  <c r="P407" i="6" s="1"/>
  <c r="S407" i="6"/>
  <c r="T407" i="6" s="1"/>
  <c r="V407" i="6"/>
  <c r="W407" i="6" s="1"/>
  <c r="N408" i="6"/>
  <c r="P408" i="6" s="1"/>
  <c r="S408" i="6"/>
  <c r="T408" i="6" s="1"/>
  <c r="V408" i="6"/>
  <c r="W408" i="6" s="1"/>
  <c r="N409" i="6"/>
  <c r="P409" i="6" s="1"/>
  <c r="S409" i="6"/>
  <c r="T409" i="6" s="1"/>
  <c r="V409" i="6"/>
  <c r="W409" i="6" s="1"/>
  <c r="V410" i="6"/>
  <c r="W410" i="6" s="1"/>
  <c r="V411" i="6"/>
  <c r="W411" i="6" s="1"/>
  <c r="N412" i="6"/>
  <c r="P412" i="6" s="1"/>
  <c r="S412" i="6"/>
  <c r="T412" i="6" s="1"/>
  <c r="V412" i="6"/>
  <c r="W412" i="6" s="1"/>
  <c r="N413" i="6"/>
  <c r="P413" i="6" s="1"/>
  <c r="S413" i="6"/>
  <c r="T413" i="6" s="1"/>
  <c r="V413" i="6"/>
  <c r="W413" i="6" s="1"/>
  <c r="N414" i="6"/>
  <c r="P414" i="6" s="1"/>
  <c r="S414" i="6"/>
  <c r="T414" i="6" s="1"/>
  <c r="V414" i="6"/>
  <c r="W414" i="6" s="1"/>
  <c r="N415" i="6"/>
  <c r="P415" i="6" s="1"/>
  <c r="S415" i="6"/>
  <c r="T415" i="6" s="1"/>
  <c r="V415" i="6"/>
  <c r="W415" i="6" s="1"/>
  <c r="N416" i="6"/>
  <c r="P416" i="6" s="1"/>
  <c r="S416" i="6"/>
  <c r="T416" i="6" s="1"/>
  <c r="V416" i="6"/>
  <c r="W416" i="6" s="1"/>
  <c r="N417" i="6"/>
  <c r="P417" i="6" s="1"/>
  <c r="S417" i="6"/>
  <c r="T417" i="6" s="1"/>
  <c r="V417" i="6"/>
  <c r="W417" i="6" s="1"/>
  <c r="N418" i="6"/>
  <c r="P418" i="6" s="1"/>
  <c r="S418" i="6"/>
  <c r="T418" i="6" s="1"/>
  <c r="V418" i="6"/>
  <c r="W418" i="6" s="1"/>
  <c r="N419" i="6"/>
  <c r="P419" i="6" s="1"/>
  <c r="S419" i="6"/>
  <c r="T419" i="6" s="1"/>
  <c r="V419" i="6"/>
  <c r="W419" i="6" s="1"/>
  <c r="N420" i="6"/>
  <c r="P420" i="6" s="1"/>
  <c r="S420" i="6"/>
  <c r="T420" i="6" s="1"/>
  <c r="V420" i="6"/>
  <c r="W420" i="6" s="1"/>
  <c r="N421" i="6"/>
  <c r="P421" i="6" s="1"/>
  <c r="S421" i="6"/>
  <c r="T421" i="6" s="1"/>
  <c r="V421" i="6"/>
  <c r="W421" i="6" s="1"/>
  <c r="N422" i="6"/>
  <c r="P422" i="6" s="1"/>
  <c r="S422" i="6"/>
  <c r="T422" i="6" s="1"/>
  <c r="V422" i="6"/>
  <c r="W422" i="6" s="1"/>
  <c r="N423" i="6"/>
  <c r="P423" i="6" s="1"/>
  <c r="S423" i="6"/>
  <c r="T423" i="6" s="1"/>
  <c r="V423" i="6"/>
  <c r="W423" i="6" s="1"/>
  <c r="N424" i="6"/>
  <c r="P424" i="6" s="1"/>
  <c r="S424" i="6"/>
  <c r="T424" i="6" s="1"/>
  <c r="V424" i="6"/>
  <c r="W424" i="6" s="1"/>
  <c r="N425" i="6"/>
  <c r="P425" i="6" s="1"/>
  <c r="S425" i="6"/>
  <c r="T425" i="6" s="1"/>
  <c r="V425" i="6"/>
  <c r="W425" i="6" s="1"/>
  <c r="N426" i="6"/>
  <c r="P426" i="6" s="1"/>
  <c r="S426" i="6"/>
  <c r="T426" i="6" s="1"/>
  <c r="V426" i="6"/>
  <c r="W426" i="6" s="1"/>
  <c r="N427" i="6"/>
  <c r="P427" i="6" s="1"/>
  <c r="S427" i="6"/>
  <c r="T427" i="6" s="1"/>
  <c r="V427" i="6"/>
  <c r="W427" i="6" s="1"/>
  <c r="N428" i="6"/>
  <c r="P428" i="6" s="1"/>
  <c r="S428" i="6"/>
  <c r="T428" i="6" s="1"/>
  <c r="V428" i="6"/>
  <c r="W428" i="6" s="1"/>
  <c r="N429" i="6"/>
  <c r="P429" i="6" s="1"/>
  <c r="S429" i="6"/>
  <c r="T429" i="6" s="1"/>
  <c r="V429" i="6"/>
  <c r="W429" i="6" s="1"/>
  <c r="N430" i="6"/>
  <c r="P430" i="6" s="1"/>
  <c r="S430" i="6"/>
  <c r="T430" i="6" s="1"/>
  <c r="V430" i="6"/>
  <c r="W430" i="6" s="1"/>
  <c r="N431" i="6"/>
  <c r="P431" i="6" s="1"/>
  <c r="S431" i="6"/>
  <c r="T431" i="6" s="1"/>
  <c r="V431" i="6"/>
  <c r="W431" i="6" s="1"/>
  <c r="N432" i="6"/>
  <c r="P432" i="6" s="1"/>
  <c r="S432" i="6"/>
  <c r="T432" i="6" s="1"/>
  <c r="V432" i="6"/>
  <c r="W432" i="6" s="1"/>
  <c r="N433" i="6"/>
  <c r="P433" i="6" s="1"/>
  <c r="S433" i="6"/>
  <c r="T433" i="6" s="1"/>
  <c r="V433" i="6"/>
  <c r="W433" i="6" s="1"/>
  <c r="N434" i="6"/>
  <c r="P434" i="6" s="1"/>
  <c r="S434" i="6"/>
  <c r="T434" i="6" s="1"/>
  <c r="V434" i="6"/>
  <c r="W434" i="6" s="1"/>
  <c r="N435" i="6"/>
  <c r="P435" i="6" s="1"/>
  <c r="S435" i="6"/>
  <c r="T435" i="6" s="1"/>
  <c r="V435" i="6"/>
  <c r="W435" i="6" s="1"/>
  <c r="N436" i="6"/>
  <c r="P436" i="6" s="1"/>
  <c r="S436" i="6"/>
  <c r="T436" i="6" s="1"/>
  <c r="V436" i="6"/>
  <c r="W436" i="6" s="1"/>
  <c r="N437" i="6"/>
  <c r="P437" i="6" s="1"/>
  <c r="S437" i="6"/>
  <c r="T437" i="6" s="1"/>
  <c r="V437" i="6"/>
  <c r="W437" i="6" s="1"/>
  <c r="N438" i="6"/>
  <c r="P438" i="6" s="1"/>
  <c r="S438" i="6"/>
  <c r="T438" i="6" s="1"/>
  <c r="V438" i="6"/>
  <c r="W438" i="6" s="1"/>
  <c r="N439" i="6"/>
  <c r="P439" i="6" s="1"/>
  <c r="S439" i="6"/>
  <c r="T439" i="6" s="1"/>
  <c r="V439" i="6"/>
  <c r="W439" i="6" s="1"/>
  <c r="N440" i="6"/>
  <c r="P440" i="6" s="1"/>
  <c r="S440" i="6"/>
  <c r="T440" i="6" s="1"/>
  <c r="V440" i="6"/>
  <c r="W440" i="6" s="1"/>
  <c r="N441" i="6"/>
  <c r="P441" i="6" s="1"/>
  <c r="S441" i="6"/>
  <c r="T441" i="6" s="1"/>
  <c r="V441" i="6"/>
  <c r="W441" i="6" s="1"/>
  <c r="N442" i="6"/>
  <c r="P442" i="6" s="1"/>
  <c r="S442" i="6"/>
  <c r="T442" i="6" s="1"/>
  <c r="V442" i="6"/>
  <c r="W442" i="6" s="1"/>
  <c r="N443" i="6"/>
  <c r="P443" i="6" s="1"/>
  <c r="S443" i="6"/>
  <c r="T443" i="6" s="1"/>
  <c r="V443" i="6"/>
  <c r="W443" i="6" s="1"/>
  <c r="N444" i="6"/>
  <c r="P444" i="6" s="1"/>
  <c r="S444" i="6"/>
  <c r="T444" i="6" s="1"/>
  <c r="V444" i="6"/>
  <c r="W444" i="6" s="1"/>
  <c r="N445" i="6"/>
  <c r="P445" i="6" s="1"/>
  <c r="S445" i="6"/>
  <c r="T445" i="6" s="1"/>
  <c r="V445" i="6"/>
  <c r="W445" i="6" s="1"/>
  <c r="P446" i="6"/>
  <c r="S446" i="6"/>
  <c r="T446" i="6" s="1"/>
  <c r="V446" i="6"/>
  <c r="W446" i="6" s="1"/>
  <c r="N447" i="6"/>
  <c r="P447" i="6" s="1"/>
  <c r="S447" i="6"/>
  <c r="T447" i="6" s="1"/>
  <c r="V447" i="6"/>
  <c r="W447" i="6" s="1"/>
  <c r="V448" i="6"/>
  <c r="W448" i="6" s="1"/>
  <c r="N449" i="6"/>
  <c r="P449" i="6" s="1"/>
  <c r="S449" i="6"/>
  <c r="T449" i="6" s="1"/>
  <c r="V449" i="6"/>
  <c r="W449" i="6" s="1"/>
  <c r="N450" i="6"/>
  <c r="P450" i="6" s="1"/>
  <c r="S450" i="6"/>
  <c r="T450" i="6" s="1"/>
  <c r="V450" i="6"/>
  <c r="W450" i="6" s="1"/>
  <c r="N308" i="6"/>
  <c r="P308" i="6" s="1"/>
  <c r="S308" i="6"/>
  <c r="T308" i="6" s="1"/>
  <c r="V308" i="6"/>
  <c r="W308" i="6" s="1"/>
  <c r="N309" i="6"/>
  <c r="P309" i="6" s="1"/>
  <c r="S309" i="6"/>
  <c r="T309" i="6" s="1"/>
  <c r="V309" i="6"/>
  <c r="W309" i="6" s="1"/>
  <c r="N310" i="6"/>
  <c r="P310" i="6" s="1"/>
  <c r="S310" i="6"/>
  <c r="T310" i="6" s="1"/>
  <c r="V310" i="6"/>
  <c r="W310" i="6" s="1"/>
  <c r="N311" i="6"/>
  <c r="P311" i="6" s="1"/>
  <c r="S311" i="6"/>
  <c r="T311" i="6" s="1"/>
  <c r="V311" i="6"/>
  <c r="W311" i="6" s="1"/>
  <c r="N312" i="6"/>
  <c r="P312" i="6" s="1"/>
  <c r="S312" i="6"/>
  <c r="T312" i="6" s="1"/>
  <c r="V312" i="6"/>
  <c r="W312" i="6" s="1"/>
  <c r="N313" i="6"/>
  <c r="P313" i="6" s="1"/>
  <c r="S313" i="6"/>
  <c r="T313" i="6" s="1"/>
  <c r="V313" i="6"/>
  <c r="W313" i="6" s="1"/>
  <c r="N300" i="6"/>
  <c r="P300" i="6" s="1"/>
  <c r="S300" i="6"/>
  <c r="T300" i="6" s="1"/>
  <c r="V300" i="6"/>
  <c r="W300" i="6" s="1"/>
  <c r="N301" i="6"/>
  <c r="P301" i="6" s="1"/>
  <c r="S301" i="6"/>
  <c r="T301" i="6" s="1"/>
  <c r="V301" i="6"/>
  <c r="W301" i="6" s="1"/>
  <c r="N302" i="6"/>
  <c r="P302" i="6" s="1"/>
  <c r="S302" i="6"/>
  <c r="T302" i="6" s="1"/>
  <c r="V302" i="6"/>
  <c r="W302" i="6" s="1"/>
  <c r="N303" i="6"/>
  <c r="P303" i="6" s="1"/>
  <c r="S303" i="6"/>
  <c r="T303" i="6" s="1"/>
  <c r="V303" i="6"/>
  <c r="W303" i="6" s="1"/>
  <c r="N304" i="6"/>
  <c r="P304" i="6" s="1"/>
  <c r="S304" i="6"/>
  <c r="T304" i="6" s="1"/>
  <c r="V304" i="6"/>
  <c r="W304" i="6" s="1"/>
  <c r="N305" i="6"/>
  <c r="P305" i="6" s="1"/>
  <c r="S305" i="6"/>
  <c r="T305" i="6" s="1"/>
  <c r="V305" i="6"/>
  <c r="W305" i="6" s="1"/>
  <c r="N306" i="6"/>
  <c r="P306" i="6" s="1"/>
  <c r="S306" i="6"/>
  <c r="T306" i="6" s="1"/>
  <c r="V306" i="6"/>
  <c r="W306" i="6" s="1"/>
  <c r="N307" i="6"/>
  <c r="P307" i="6" s="1"/>
  <c r="S307" i="6"/>
  <c r="T307" i="6" s="1"/>
  <c r="V307" i="6"/>
  <c r="W307" i="6" s="1"/>
  <c r="N299" i="6"/>
  <c r="P299" i="6" s="1"/>
  <c r="S299" i="6"/>
  <c r="T299" i="6" s="1"/>
  <c r="V299" i="6"/>
  <c r="W299" i="6" s="1"/>
  <c r="V195" i="6"/>
  <c r="W195" i="6" s="1"/>
  <c r="V196" i="6"/>
  <c r="W196" i="6" s="1"/>
  <c r="N194" i="6"/>
  <c r="V148" i="6"/>
  <c r="W148" i="6" s="1"/>
  <c r="P194" i="6" l="1"/>
  <c r="S194" i="6"/>
  <c r="T194" i="6" s="1"/>
  <c r="N192" i="6"/>
  <c r="P192" i="6" s="1"/>
  <c r="S192" i="6"/>
  <c r="T192" i="6" s="1"/>
  <c r="V192" i="6"/>
  <c r="W192" i="6" s="1"/>
  <c r="N193" i="6"/>
  <c r="P193" i="6" s="1"/>
  <c r="S193" i="6"/>
  <c r="T193" i="6" s="1"/>
  <c r="V193" i="6"/>
  <c r="W193" i="6" s="1"/>
  <c r="V194" i="6"/>
  <c r="W194" i="6" s="1"/>
  <c r="N197" i="6"/>
  <c r="P197" i="6" s="1"/>
  <c r="S197" i="6"/>
  <c r="T197" i="6" s="1"/>
  <c r="V197" i="6"/>
  <c r="W197" i="6" s="1"/>
  <c r="N198" i="6"/>
  <c r="P198" i="6" s="1"/>
  <c r="S198" i="6"/>
  <c r="T198" i="6" s="1"/>
  <c r="V198" i="6"/>
  <c r="W198" i="6" s="1"/>
  <c r="N199" i="6"/>
  <c r="P199" i="6" s="1"/>
  <c r="S199" i="6"/>
  <c r="T199" i="6" s="1"/>
  <c r="V199" i="6"/>
  <c r="W199" i="6" s="1"/>
  <c r="N200" i="6"/>
  <c r="P200" i="6" s="1"/>
  <c r="S200" i="6"/>
  <c r="T200" i="6" s="1"/>
  <c r="V200" i="6"/>
  <c r="W200" i="6" s="1"/>
  <c r="N201" i="6"/>
  <c r="P201" i="6" s="1"/>
  <c r="S201" i="6"/>
  <c r="T201" i="6" s="1"/>
  <c r="V201" i="6"/>
  <c r="W201" i="6" s="1"/>
  <c r="N202" i="6"/>
  <c r="P202" i="6" s="1"/>
  <c r="S202" i="6"/>
  <c r="T202" i="6" s="1"/>
  <c r="V202" i="6"/>
  <c r="W202" i="6" s="1"/>
  <c r="N203" i="6"/>
  <c r="P203" i="6" s="1"/>
  <c r="S203" i="6"/>
  <c r="T203" i="6" s="1"/>
  <c r="V203" i="6"/>
  <c r="W203" i="6" s="1"/>
  <c r="N204" i="6"/>
  <c r="P204" i="6" s="1"/>
  <c r="S204" i="6"/>
  <c r="T204" i="6" s="1"/>
  <c r="V204" i="6"/>
  <c r="W204" i="6" s="1"/>
  <c r="N205" i="6"/>
  <c r="P205" i="6" s="1"/>
  <c r="S205" i="6"/>
  <c r="T205" i="6" s="1"/>
  <c r="V205" i="6"/>
  <c r="W205" i="6" s="1"/>
  <c r="N206" i="6"/>
  <c r="P206" i="6" s="1"/>
  <c r="S206" i="6"/>
  <c r="T206" i="6" s="1"/>
  <c r="V206" i="6"/>
  <c r="W206" i="6" s="1"/>
  <c r="N207" i="6"/>
  <c r="P207" i="6" s="1"/>
  <c r="S207" i="6"/>
  <c r="T207" i="6" s="1"/>
  <c r="V207" i="6"/>
  <c r="W207" i="6" s="1"/>
  <c r="N208" i="6"/>
  <c r="P208" i="6" s="1"/>
  <c r="S208" i="6"/>
  <c r="T208" i="6" s="1"/>
  <c r="V208" i="6"/>
  <c r="W208" i="6" s="1"/>
  <c r="N209" i="6"/>
  <c r="P209" i="6" s="1"/>
  <c r="S209" i="6"/>
  <c r="T209" i="6" s="1"/>
  <c r="V209" i="6"/>
  <c r="W209" i="6" s="1"/>
  <c r="N210" i="6"/>
  <c r="P210" i="6" s="1"/>
  <c r="S210" i="6"/>
  <c r="T210" i="6" s="1"/>
  <c r="V210" i="6"/>
  <c r="W210" i="6" s="1"/>
  <c r="N211" i="6"/>
  <c r="P211" i="6" s="1"/>
  <c r="S211" i="6"/>
  <c r="T211" i="6" s="1"/>
  <c r="V211" i="6"/>
  <c r="W211" i="6" s="1"/>
  <c r="N212" i="6"/>
  <c r="P212" i="6" s="1"/>
  <c r="S212" i="6"/>
  <c r="T212" i="6" s="1"/>
  <c r="V212" i="6"/>
  <c r="W212" i="6" s="1"/>
  <c r="N213" i="6"/>
  <c r="P213" i="6" s="1"/>
  <c r="S213" i="6"/>
  <c r="T213" i="6" s="1"/>
  <c r="V213" i="6"/>
  <c r="W213" i="6" s="1"/>
  <c r="N214" i="6"/>
  <c r="P214" i="6" s="1"/>
  <c r="S214" i="6"/>
  <c r="T214" i="6" s="1"/>
  <c r="V214" i="6"/>
  <c r="W214" i="6" s="1"/>
  <c r="N215" i="6"/>
  <c r="P215" i="6" s="1"/>
  <c r="S215" i="6"/>
  <c r="T215" i="6" s="1"/>
  <c r="V215" i="6"/>
  <c r="W215" i="6" s="1"/>
  <c r="N216" i="6"/>
  <c r="P216" i="6" s="1"/>
  <c r="S216" i="6"/>
  <c r="T216" i="6" s="1"/>
  <c r="V216" i="6"/>
  <c r="W216" i="6" s="1"/>
  <c r="N217" i="6"/>
  <c r="P217" i="6" s="1"/>
  <c r="S217" i="6"/>
  <c r="T217" i="6" s="1"/>
  <c r="V217" i="6"/>
  <c r="W217" i="6" s="1"/>
  <c r="N218" i="6"/>
  <c r="P218" i="6" s="1"/>
  <c r="S218" i="6"/>
  <c r="T218" i="6" s="1"/>
  <c r="V218" i="6"/>
  <c r="W218" i="6" s="1"/>
  <c r="N219" i="6"/>
  <c r="P219" i="6" s="1"/>
  <c r="S219" i="6"/>
  <c r="T219" i="6" s="1"/>
  <c r="V219" i="6"/>
  <c r="W219" i="6" s="1"/>
  <c r="N220" i="6"/>
  <c r="P220" i="6" s="1"/>
  <c r="S220" i="6"/>
  <c r="T220" i="6" s="1"/>
  <c r="V220" i="6"/>
  <c r="W220" i="6" s="1"/>
  <c r="N221" i="6"/>
  <c r="P221" i="6" s="1"/>
  <c r="S221" i="6"/>
  <c r="T221" i="6" s="1"/>
  <c r="V221" i="6"/>
  <c r="W221" i="6" s="1"/>
  <c r="N222" i="6"/>
  <c r="P222" i="6" s="1"/>
  <c r="S222" i="6"/>
  <c r="T222" i="6" s="1"/>
  <c r="V222" i="6"/>
  <c r="W222" i="6" s="1"/>
  <c r="N223" i="6"/>
  <c r="P223" i="6" s="1"/>
  <c r="S223" i="6"/>
  <c r="T223" i="6" s="1"/>
  <c r="V223" i="6"/>
  <c r="W223" i="6" s="1"/>
  <c r="N224" i="6"/>
  <c r="P224" i="6" s="1"/>
  <c r="S224" i="6"/>
  <c r="T224" i="6" s="1"/>
  <c r="V224" i="6"/>
  <c r="W224" i="6" s="1"/>
  <c r="N225" i="6"/>
  <c r="P225" i="6" s="1"/>
  <c r="S225" i="6"/>
  <c r="T225" i="6" s="1"/>
  <c r="V225" i="6"/>
  <c r="W225" i="6" s="1"/>
  <c r="N226" i="6"/>
  <c r="P226" i="6" s="1"/>
  <c r="S226" i="6"/>
  <c r="T226" i="6" s="1"/>
  <c r="V226" i="6"/>
  <c r="W226" i="6" s="1"/>
  <c r="N227" i="6"/>
  <c r="P227" i="6" s="1"/>
  <c r="S227" i="6"/>
  <c r="T227" i="6" s="1"/>
  <c r="V227" i="6"/>
  <c r="W227" i="6" s="1"/>
  <c r="N228" i="6"/>
  <c r="P228" i="6" s="1"/>
  <c r="S228" i="6"/>
  <c r="T228" i="6" s="1"/>
  <c r="V228" i="6"/>
  <c r="W228" i="6" s="1"/>
  <c r="N229" i="6"/>
  <c r="P229" i="6" s="1"/>
  <c r="S229" i="6"/>
  <c r="T229" i="6" s="1"/>
  <c r="V229" i="6"/>
  <c r="W229" i="6" s="1"/>
  <c r="N230" i="6"/>
  <c r="P230" i="6" s="1"/>
  <c r="S230" i="6"/>
  <c r="T230" i="6" s="1"/>
  <c r="V230" i="6"/>
  <c r="W230" i="6" s="1"/>
  <c r="N231" i="6"/>
  <c r="P231" i="6" s="1"/>
  <c r="S231" i="6"/>
  <c r="T231" i="6" s="1"/>
  <c r="V231" i="6"/>
  <c r="W231" i="6" s="1"/>
  <c r="N232" i="6"/>
  <c r="P232" i="6" s="1"/>
  <c r="S232" i="6"/>
  <c r="T232" i="6" s="1"/>
  <c r="V232" i="6"/>
  <c r="W232" i="6" s="1"/>
  <c r="N233" i="6"/>
  <c r="P233" i="6" s="1"/>
  <c r="S233" i="6"/>
  <c r="T233" i="6" s="1"/>
  <c r="V233" i="6"/>
  <c r="W233" i="6" s="1"/>
  <c r="N234" i="6"/>
  <c r="P234" i="6" s="1"/>
  <c r="S234" i="6"/>
  <c r="T234" i="6" s="1"/>
  <c r="V234" i="6"/>
  <c r="W234" i="6" s="1"/>
  <c r="N235" i="6"/>
  <c r="P235" i="6" s="1"/>
  <c r="S235" i="6"/>
  <c r="T235" i="6" s="1"/>
  <c r="V235" i="6"/>
  <c r="W235" i="6" s="1"/>
  <c r="N236" i="6"/>
  <c r="P236" i="6" s="1"/>
  <c r="S236" i="6"/>
  <c r="T236" i="6" s="1"/>
  <c r="V236" i="6"/>
  <c r="W236" i="6" s="1"/>
  <c r="N237" i="6"/>
  <c r="P237" i="6" s="1"/>
  <c r="S237" i="6"/>
  <c r="T237" i="6" s="1"/>
  <c r="V237" i="6"/>
  <c r="W237" i="6" s="1"/>
  <c r="N238" i="6"/>
  <c r="P238" i="6" s="1"/>
  <c r="S238" i="6"/>
  <c r="T238" i="6" s="1"/>
  <c r="V238" i="6"/>
  <c r="W238" i="6" s="1"/>
  <c r="N239" i="6"/>
  <c r="P239" i="6" s="1"/>
  <c r="S239" i="6"/>
  <c r="T239" i="6" s="1"/>
  <c r="V239" i="6"/>
  <c r="W239" i="6" s="1"/>
  <c r="N240" i="6"/>
  <c r="P240" i="6" s="1"/>
  <c r="S240" i="6"/>
  <c r="T240" i="6" s="1"/>
  <c r="V240" i="6"/>
  <c r="W240" i="6" s="1"/>
  <c r="N241" i="6"/>
  <c r="P241" i="6" s="1"/>
  <c r="S241" i="6"/>
  <c r="T241" i="6" s="1"/>
  <c r="V241" i="6"/>
  <c r="W241" i="6" s="1"/>
  <c r="N242" i="6"/>
  <c r="P242" i="6" s="1"/>
  <c r="S242" i="6"/>
  <c r="T242" i="6" s="1"/>
  <c r="V242" i="6"/>
  <c r="W242" i="6" s="1"/>
  <c r="N243" i="6"/>
  <c r="P243" i="6" s="1"/>
  <c r="S243" i="6"/>
  <c r="T243" i="6" s="1"/>
  <c r="V243" i="6"/>
  <c r="W243" i="6" s="1"/>
  <c r="N244" i="6"/>
  <c r="P244" i="6" s="1"/>
  <c r="S244" i="6"/>
  <c r="T244" i="6" s="1"/>
  <c r="V244" i="6"/>
  <c r="W244" i="6" s="1"/>
  <c r="N245" i="6"/>
  <c r="P245" i="6" s="1"/>
  <c r="S245" i="6"/>
  <c r="T245" i="6" s="1"/>
  <c r="V245" i="6"/>
  <c r="W245" i="6" s="1"/>
  <c r="N246" i="6"/>
  <c r="P246" i="6" s="1"/>
  <c r="S246" i="6"/>
  <c r="T246" i="6" s="1"/>
  <c r="V246" i="6"/>
  <c r="W246" i="6" s="1"/>
  <c r="N247" i="6"/>
  <c r="P247" i="6" s="1"/>
  <c r="S247" i="6"/>
  <c r="T247" i="6" s="1"/>
  <c r="V247" i="6"/>
  <c r="W247" i="6" s="1"/>
  <c r="N248" i="6"/>
  <c r="P248" i="6" s="1"/>
  <c r="S248" i="6"/>
  <c r="T248" i="6" s="1"/>
  <c r="V248" i="6"/>
  <c r="W248" i="6" s="1"/>
  <c r="N249" i="6"/>
  <c r="P249" i="6" s="1"/>
  <c r="S249" i="6"/>
  <c r="T249" i="6" s="1"/>
  <c r="V249" i="6"/>
  <c r="W249" i="6" s="1"/>
  <c r="N250" i="6"/>
  <c r="P250" i="6" s="1"/>
  <c r="S250" i="6"/>
  <c r="T250" i="6" s="1"/>
  <c r="V250" i="6"/>
  <c r="W250" i="6" s="1"/>
  <c r="N251" i="6"/>
  <c r="P251" i="6" s="1"/>
  <c r="S251" i="6"/>
  <c r="T251" i="6" s="1"/>
  <c r="V251" i="6"/>
  <c r="W251" i="6" s="1"/>
  <c r="N252" i="6"/>
  <c r="P252" i="6" s="1"/>
  <c r="S252" i="6"/>
  <c r="T252" i="6" s="1"/>
  <c r="V252" i="6"/>
  <c r="W252" i="6" s="1"/>
  <c r="N253" i="6"/>
  <c r="P253" i="6" s="1"/>
  <c r="S253" i="6"/>
  <c r="T253" i="6" s="1"/>
  <c r="V253" i="6"/>
  <c r="W253" i="6" s="1"/>
  <c r="N254" i="6"/>
  <c r="P254" i="6" s="1"/>
  <c r="S254" i="6"/>
  <c r="T254" i="6" s="1"/>
  <c r="V254" i="6"/>
  <c r="W254" i="6" s="1"/>
  <c r="V255" i="6"/>
  <c r="W255" i="6" s="1"/>
  <c r="V256" i="6"/>
  <c r="W256" i="6" s="1"/>
  <c r="N257" i="6"/>
  <c r="P257" i="6" s="1"/>
  <c r="S257" i="6"/>
  <c r="T257" i="6" s="1"/>
  <c r="V257" i="6"/>
  <c r="W257" i="6" s="1"/>
  <c r="N258" i="6"/>
  <c r="P258" i="6" s="1"/>
  <c r="S258" i="6"/>
  <c r="T258" i="6" s="1"/>
  <c r="V258" i="6"/>
  <c r="W258" i="6" s="1"/>
  <c r="N259" i="6"/>
  <c r="P259" i="6" s="1"/>
  <c r="S259" i="6"/>
  <c r="T259" i="6" s="1"/>
  <c r="V259" i="6"/>
  <c r="W259" i="6" s="1"/>
  <c r="N260" i="6"/>
  <c r="P260" i="6" s="1"/>
  <c r="S260" i="6"/>
  <c r="T260" i="6" s="1"/>
  <c r="V260" i="6"/>
  <c r="W260" i="6" s="1"/>
  <c r="N261" i="6"/>
  <c r="P261" i="6" s="1"/>
  <c r="S261" i="6"/>
  <c r="T261" i="6" s="1"/>
  <c r="V261" i="6"/>
  <c r="W261" i="6" s="1"/>
  <c r="N262" i="6"/>
  <c r="P262" i="6" s="1"/>
  <c r="S262" i="6"/>
  <c r="T262" i="6" s="1"/>
  <c r="V262" i="6"/>
  <c r="W262" i="6" s="1"/>
  <c r="N263" i="6"/>
  <c r="P263" i="6" s="1"/>
  <c r="S263" i="6"/>
  <c r="T263" i="6" s="1"/>
  <c r="V263" i="6"/>
  <c r="W263" i="6" s="1"/>
  <c r="N264" i="6"/>
  <c r="P264" i="6" s="1"/>
  <c r="S264" i="6"/>
  <c r="T264" i="6" s="1"/>
  <c r="V264" i="6"/>
  <c r="W264" i="6" s="1"/>
  <c r="V265" i="6"/>
  <c r="W265" i="6" s="1"/>
  <c r="N266" i="6"/>
  <c r="P266" i="6" s="1"/>
  <c r="S266" i="6"/>
  <c r="T266" i="6" s="1"/>
  <c r="V266" i="6"/>
  <c r="W266" i="6" s="1"/>
  <c r="V267" i="6"/>
  <c r="W267" i="6" s="1"/>
  <c r="V268" i="6"/>
  <c r="W268" i="6" s="1"/>
  <c r="V269" i="6"/>
  <c r="W269" i="6" s="1"/>
  <c r="N270" i="6"/>
  <c r="P270" i="6" s="1"/>
  <c r="S270" i="6"/>
  <c r="T270" i="6" s="1"/>
  <c r="V270" i="6"/>
  <c r="W270" i="6" s="1"/>
  <c r="N271" i="6"/>
  <c r="P271" i="6" s="1"/>
  <c r="S271" i="6"/>
  <c r="T271" i="6" s="1"/>
  <c r="V271" i="6"/>
  <c r="W271" i="6" s="1"/>
  <c r="N272" i="6"/>
  <c r="P272" i="6" s="1"/>
  <c r="S272" i="6"/>
  <c r="T272" i="6" s="1"/>
  <c r="V272" i="6"/>
  <c r="W272" i="6" s="1"/>
  <c r="N273" i="6"/>
  <c r="P273" i="6" s="1"/>
  <c r="S273" i="6"/>
  <c r="T273" i="6" s="1"/>
  <c r="V273" i="6"/>
  <c r="W273" i="6" s="1"/>
  <c r="V274" i="6"/>
  <c r="W274" i="6" s="1"/>
  <c r="N275" i="6"/>
  <c r="P275" i="6" s="1"/>
  <c r="S275" i="6"/>
  <c r="T275" i="6" s="1"/>
  <c r="V275" i="6"/>
  <c r="W275" i="6" s="1"/>
  <c r="N276" i="6"/>
  <c r="P276" i="6" s="1"/>
  <c r="S276" i="6"/>
  <c r="T276" i="6" s="1"/>
  <c r="V276" i="6"/>
  <c r="W276" i="6" s="1"/>
  <c r="N277" i="6"/>
  <c r="P277" i="6" s="1"/>
  <c r="S277" i="6"/>
  <c r="T277" i="6" s="1"/>
  <c r="V277" i="6"/>
  <c r="W277" i="6" s="1"/>
  <c r="N278" i="6"/>
  <c r="P278" i="6" s="1"/>
  <c r="S278" i="6"/>
  <c r="T278" i="6" s="1"/>
  <c r="V278" i="6"/>
  <c r="W278" i="6" s="1"/>
  <c r="N279" i="6"/>
  <c r="P279" i="6" s="1"/>
  <c r="S279" i="6"/>
  <c r="T279" i="6" s="1"/>
  <c r="V279" i="6"/>
  <c r="W279" i="6" s="1"/>
  <c r="N280" i="6"/>
  <c r="P280" i="6" s="1"/>
  <c r="S280" i="6"/>
  <c r="T280" i="6" s="1"/>
  <c r="V280" i="6"/>
  <c r="W280" i="6" s="1"/>
  <c r="P281" i="6"/>
  <c r="S281" i="6"/>
  <c r="T281" i="6" s="1"/>
  <c r="V281" i="6"/>
  <c r="W281" i="6" s="1"/>
  <c r="P282" i="6"/>
  <c r="S282" i="6"/>
  <c r="T282" i="6" s="1"/>
  <c r="V282" i="6"/>
  <c r="W282" i="6" s="1"/>
  <c r="N283" i="6"/>
  <c r="P283" i="6" s="1"/>
  <c r="S283" i="6"/>
  <c r="T283" i="6" s="1"/>
  <c r="V283" i="6"/>
  <c r="W283" i="6" s="1"/>
  <c r="N284" i="6"/>
  <c r="P284" i="6" s="1"/>
  <c r="S284" i="6"/>
  <c r="T284" i="6" s="1"/>
  <c r="V284" i="6"/>
  <c r="W284" i="6" s="1"/>
  <c r="N285" i="6"/>
  <c r="P285" i="6" s="1"/>
  <c r="S285" i="6"/>
  <c r="T285" i="6" s="1"/>
  <c r="V285" i="6"/>
  <c r="W285" i="6" s="1"/>
  <c r="N286" i="6"/>
  <c r="P286" i="6" s="1"/>
  <c r="S286" i="6"/>
  <c r="T286" i="6" s="1"/>
  <c r="V286" i="6"/>
  <c r="W286" i="6" s="1"/>
  <c r="N287" i="6"/>
  <c r="P287" i="6" s="1"/>
  <c r="S287" i="6"/>
  <c r="T287" i="6" s="1"/>
  <c r="V287" i="6"/>
  <c r="W287" i="6" s="1"/>
  <c r="N288" i="6"/>
  <c r="P288" i="6" s="1"/>
  <c r="S288" i="6"/>
  <c r="T288" i="6" s="1"/>
  <c r="V288" i="6"/>
  <c r="W288" i="6" s="1"/>
  <c r="N289" i="6"/>
  <c r="P289" i="6" s="1"/>
  <c r="S289" i="6"/>
  <c r="T289" i="6" s="1"/>
  <c r="V289" i="6"/>
  <c r="W289" i="6" s="1"/>
  <c r="N290" i="6"/>
  <c r="P290" i="6" s="1"/>
  <c r="S290" i="6"/>
  <c r="T290" i="6" s="1"/>
  <c r="V290" i="6"/>
  <c r="W290" i="6" s="1"/>
  <c r="N291" i="6"/>
  <c r="P291" i="6" s="1"/>
  <c r="S291" i="6"/>
  <c r="T291" i="6" s="1"/>
  <c r="V291" i="6"/>
  <c r="W291" i="6" s="1"/>
  <c r="N292" i="6"/>
  <c r="P292" i="6" s="1"/>
  <c r="S292" i="6"/>
  <c r="T292" i="6" s="1"/>
  <c r="V292" i="6"/>
  <c r="W292" i="6" s="1"/>
  <c r="N293" i="6"/>
  <c r="P293" i="6" s="1"/>
  <c r="S293" i="6"/>
  <c r="T293" i="6" s="1"/>
  <c r="V293" i="6"/>
  <c r="W293" i="6" s="1"/>
  <c r="N294" i="6"/>
  <c r="P294" i="6" s="1"/>
  <c r="S294" i="6"/>
  <c r="T294" i="6" s="1"/>
  <c r="V294" i="6"/>
  <c r="W294" i="6" s="1"/>
  <c r="N295" i="6"/>
  <c r="P295" i="6" s="1"/>
  <c r="S295" i="6"/>
  <c r="T295" i="6" s="1"/>
  <c r="V295" i="6"/>
  <c r="W295" i="6" s="1"/>
  <c r="N296" i="6"/>
  <c r="P296" i="6" s="1"/>
  <c r="S296" i="6"/>
  <c r="T296" i="6" s="1"/>
  <c r="V296" i="6"/>
  <c r="W296" i="6" s="1"/>
  <c r="N297" i="6"/>
  <c r="P297" i="6" s="1"/>
  <c r="S297" i="6"/>
  <c r="T297" i="6" s="1"/>
  <c r="V297" i="6"/>
  <c r="W297" i="6" s="1"/>
  <c r="N298" i="6"/>
  <c r="P298" i="6" s="1"/>
  <c r="S298" i="6"/>
  <c r="T298" i="6" s="1"/>
  <c r="V298" i="6"/>
  <c r="W298" i="6" s="1"/>
  <c r="N156" i="6"/>
  <c r="P156" i="6" s="1"/>
  <c r="N157" i="6"/>
  <c r="P157" i="6" s="1"/>
  <c r="N158" i="6"/>
  <c r="P158" i="6" s="1"/>
  <c r="N159" i="6"/>
  <c r="P159" i="6" s="1"/>
  <c r="N160" i="6"/>
  <c r="P160" i="6" s="1"/>
  <c r="N161" i="6"/>
  <c r="P161" i="6" s="1"/>
  <c r="N162" i="6"/>
  <c r="P162" i="6" s="1"/>
  <c r="N163" i="6"/>
  <c r="P163" i="6" s="1"/>
  <c r="N164" i="6"/>
  <c r="P164" i="6" s="1"/>
  <c r="N165" i="6"/>
  <c r="P165" i="6" s="1"/>
  <c r="N166" i="6"/>
  <c r="P166" i="6" s="1"/>
  <c r="N167" i="6"/>
  <c r="P167" i="6" s="1"/>
  <c r="N168" i="6"/>
  <c r="P168" i="6" s="1"/>
  <c r="N169" i="6"/>
  <c r="P169" i="6" s="1"/>
  <c r="N170" i="6"/>
  <c r="P170" i="6" s="1"/>
  <c r="N171" i="6"/>
  <c r="P171" i="6" s="1"/>
  <c r="N172" i="6"/>
  <c r="P172" i="6" s="1"/>
  <c r="N173" i="6"/>
  <c r="P173" i="6" s="1"/>
  <c r="N174" i="6"/>
  <c r="P174" i="6" s="1"/>
  <c r="N175" i="6"/>
  <c r="P175" i="6" s="1"/>
  <c r="N176" i="6"/>
  <c r="P176" i="6" s="1"/>
  <c r="N177" i="6"/>
  <c r="P177" i="6" s="1"/>
  <c r="N178" i="6"/>
  <c r="P178" i="6" s="1"/>
  <c r="N179" i="6"/>
  <c r="P179" i="6" s="1"/>
  <c r="N180" i="6"/>
  <c r="P180" i="6" s="1"/>
  <c r="N181" i="6"/>
  <c r="P181" i="6" s="1"/>
  <c r="N182" i="6"/>
  <c r="P182" i="6" s="1"/>
  <c r="N183" i="6"/>
  <c r="P183" i="6" s="1"/>
  <c r="N184" i="6"/>
  <c r="P184" i="6" s="1"/>
  <c r="N185" i="6"/>
  <c r="P185" i="6" s="1"/>
  <c r="N186" i="6"/>
  <c r="P186" i="6" s="1"/>
  <c r="N187" i="6"/>
  <c r="P187" i="6" s="1"/>
  <c r="N188" i="6"/>
  <c r="P188" i="6" s="1"/>
  <c r="N189" i="6"/>
  <c r="P189" i="6" s="1"/>
  <c r="N190" i="6"/>
  <c r="P190" i="6" s="1"/>
  <c r="N191" i="6"/>
  <c r="P191" i="6" s="1"/>
  <c r="S156" i="6"/>
  <c r="T156" i="6" s="1"/>
  <c r="S157" i="6"/>
  <c r="T157" i="6" s="1"/>
  <c r="S158" i="6"/>
  <c r="T158" i="6" s="1"/>
  <c r="S159" i="6"/>
  <c r="T159" i="6" s="1"/>
  <c r="S160" i="6"/>
  <c r="T160" i="6" s="1"/>
  <c r="S161" i="6"/>
  <c r="T161" i="6" s="1"/>
  <c r="S162" i="6"/>
  <c r="T162" i="6" s="1"/>
  <c r="S163" i="6"/>
  <c r="T163" i="6" s="1"/>
  <c r="S164" i="6"/>
  <c r="T164" i="6" s="1"/>
  <c r="S165" i="6"/>
  <c r="T165" i="6" s="1"/>
  <c r="S166" i="6"/>
  <c r="T166" i="6" s="1"/>
  <c r="S167" i="6"/>
  <c r="T167" i="6" s="1"/>
  <c r="S168" i="6"/>
  <c r="T168" i="6" s="1"/>
  <c r="S169" i="6"/>
  <c r="T169" i="6" s="1"/>
  <c r="S170" i="6"/>
  <c r="T170" i="6" s="1"/>
  <c r="S171" i="6"/>
  <c r="T171" i="6" s="1"/>
  <c r="S172" i="6"/>
  <c r="T172" i="6" s="1"/>
  <c r="S173" i="6"/>
  <c r="T173" i="6" s="1"/>
  <c r="S174" i="6"/>
  <c r="T174" i="6" s="1"/>
  <c r="S175" i="6"/>
  <c r="T175" i="6" s="1"/>
  <c r="S176" i="6"/>
  <c r="T176" i="6" s="1"/>
  <c r="S177" i="6"/>
  <c r="T177" i="6" s="1"/>
  <c r="S178" i="6"/>
  <c r="T178" i="6" s="1"/>
  <c r="S179" i="6"/>
  <c r="T179" i="6" s="1"/>
  <c r="S180" i="6"/>
  <c r="T180" i="6" s="1"/>
  <c r="S181" i="6"/>
  <c r="T181" i="6" s="1"/>
  <c r="S182" i="6"/>
  <c r="T182" i="6" s="1"/>
  <c r="S183" i="6"/>
  <c r="T183" i="6" s="1"/>
  <c r="S184" i="6"/>
  <c r="T184" i="6" s="1"/>
  <c r="S185" i="6"/>
  <c r="T185" i="6" s="1"/>
  <c r="S186" i="6"/>
  <c r="T186" i="6" s="1"/>
  <c r="S187" i="6"/>
  <c r="T187" i="6" s="1"/>
  <c r="S188" i="6"/>
  <c r="T188" i="6" s="1"/>
  <c r="S189" i="6"/>
  <c r="T189" i="6" s="1"/>
  <c r="S190" i="6"/>
  <c r="T190" i="6" s="1"/>
  <c r="S191" i="6"/>
  <c r="T191" i="6" s="1"/>
  <c r="V156" i="6"/>
  <c r="W156" i="6" s="1"/>
  <c r="V157" i="6"/>
  <c r="W157" i="6" s="1"/>
  <c r="V158" i="6"/>
  <c r="W158" i="6" s="1"/>
  <c r="V159" i="6"/>
  <c r="W159" i="6" s="1"/>
  <c r="V160" i="6"/>
  <c r="W160" i="6" s="1"/>
  <c r="V161" i="6"/>
  <c r="W161" i="6" s="1"/>
  <c r="V162" i="6"/>
  <c r="W162" i="6" s="1"/>
  <c r="V163" i="6"/>
  <c r="W163" i="6" s="1"/>
  <c r="V164" i="6"/>
  <c r="W164" i="6" s="1"/>
  <c r="V165" i="6"/>
  <c r="W165" i="6" s="1"/>
  <c r="V166" i="6"/>
  <c r="W166" i="6" s="1"/>
  <c r="V167" i="6"/>
  <c r="W167" i="6" s="1"/>
  <c r="V168" i="6"/>
  <c r="W168" i="6" s="1"/>
  <c r="V169" i="6"/>
  <c r="W169" i="6" s="1"/>
  <c r="V170" i="6"/>
  <c r="W170" i="6" s="1"/>
  <c r="V171" i="6"/>
  <c r="W171" i="6" s="1"/>
  <c r="V172" i="6"/>
  <c r="W172" i="6" s="1"/>
  <c r="V173" i="6"/>
  <c r="W173" i="6" s="1"/>
  <c r="V174" i="6"/>
  <c r="W174" i="6" s="1"/>
  <c r="V175" i="6"/>
  <c r="W175" i="6" s="1"/>
  <c r="V176" i="6"/>
  <c r="W176" i="6" s="1"/>
  <c r="V177" i="6"/>
  <c r="W177" i="6" s="1"/>
  <c r="V178" i="6"/>
  <c r="W178" i="6" s="1"/>
  <c r="V179" i="6"/>
  <c r="W179" i="6" s="1"/>
  <c r="V180" i="6"/>
  <c r="W180" i="6" s="1"/>
  <c r="V181" i="6"/>
  <c r="W181" i="6" s="1"/>
  <c r="V182" i="6"/>
  <c r="W182" i="6" s="1"/>
  <c r="V183" i="6"/>
  <c r="W183" i="6" s="1"/>
  <c r="V184" i="6"/>
  <c r="W184" i="6" s="1"/>
  <c r="V185" i="6"/>
  <c r="W185" i="6" s="1"/>
  <c r="V186" i="6"/>
  <c r="W186" i="6" s="1"/>
  <c r="V187" i="6"/>
  <c r="W187" i="6" s="1"/>
  <c r="V188" i="6"/>
  <c r="W188" i="6" s="1"/>
  <c r="V189" i="6"/>
  <c r="W189" i="6" s="1"/>
  <c r="V190" i="6"/>
  <c r="W190" i="6" s="1"/>
  <c r="V191" i="6"/>
  <c r="W191" i="6" s="1"/>
  <c r="V19" i="6"/>
  <c r="W19" i="6" s="1"/>
  <c r="N120" i="6"/>
  <c r="P120" i="6" s="1"/>
  <c r="S120" i="6"/>
  <c r="T120" i="6" s="1"/>
  <c r="V120" i="6"/>
  <c r="W120" i="6" s="1"/>
  <c r="N121" i="6"/>
  <c r="P121" i="6" s="1"/>
  <c r="S121" i="6"/>
  <c r="T121" i="6" s="1"/>
  <c r="V121" i="6"/>
  <c r="W121" i="6" s="1"/>
  <c r="N122" i="6"/>
  <c r="P122" i="6" s="1"/>
  <c r="S122" i="6"/>
  <c r="T122" i="6" s="1"/>
  <c r="V122" i="6"/>
  <c r="W122" i="6" s="1"/>
  <c r="N123" i="6"/>
  <c r="P123" i="6" s="1"/>
  <c r="S123" i="6"/>
  <c r="T123" i="6" s="1"/>
  <c r="V123" i="6"/>
  <c r="W123" i="6" s="1"/>
  <c r="N124" i="6"/>
  <c r="P124" i="6" s="1"/>
  <c r="S124" i="6"/>
  <c r="T124" i="6" s="1"/>
  <c r="V124" i="6"/>
  <c r="W124" i="6" s="1"/>
  <c r="N125" i="6"/>
  <c r="P125" i="6" s="1"/>
  <c r="S125" i="6"/>
  <c r="T125" i="6" s="1"/>
  <c r="V125" i="6"/>
  <c r="W125" i="6" s="1"/>
  <c r="N126" i="6"/>
  <c r="P126" i="6" s="1"/>
  <c r="S126" i="6"/>
  <c r="T126" i="6" s="1"/>
  <c r="V126" i="6"/>
  <c r="W126" i="6" s="1"/>
  <c r="N127" i="6"/>
  <c r="P127" i="6" s="1"/>
  <c r="S127" i="6"/>
  <c r="T127" i="6" s="1"/>
  <c r="V127" i="6"/>
  <c r="W127" i="6" s="1"/>
  <c r="N128" i="6"/>
  <c r="P128" i="6" s="1"/>
  <c r="S128" i="6"/>
  <c r="T128" i="6" s="1"/>
  <c r="V128" i="6"/>
  <c r="W128" i="6" s="1"/>
  <c r="N129" i="6"/>
  <c r="P129" i="6" s="1"/>
  <c r="S129" i="6"/>
  <c r="T129" i="6" s="1"/>
  <c r="V129" i="6"/>
  <c r="W129" i="6" s="1"/>
  <c r="N130" i="6"/>
  <c r="P130" i="6" s="1"/>
  <c r="S130" i="6"/>
  <c r="T130" i="6" s="1"/>
  <c r="V130" i="6"/>
  <c r="W130" i="6" s="1"/>
  <c r="N131" i="6"/>
  <c r="P131" i="6" s="1"/>
  <c r="S131" i="6"/>
  <c r="T131" i="6" s="1"/>
  <c r="V131" i="6"/>
  <c r="W131" i="6" s="1"/>
  <c r="N132" i="6"/>
  <c r="P132" i="6" s="1"/>
  <c r="S132" i="6"/>
  <c r="T132" i="6" s="1"/>
  <c r="V132" i="6"/>
  <c r="W132" i="6" s="1"/>
  <c r="N133" i="6"/>
  <c r="P133" i="6" s="1"/>
  <c r="S133" i="6"/>
  <c r="T133" i="6" s="1"/>
  <c r="V133" i="6"/>
  <c r="W133" i="6" s="1"/>
  <c r="N134" i="6"/>
  <c r="P134" i="6" s="1"/>
  <c r="S134" i="6"/>
  <c r="T134" i="6" s="1"/>
  <c r="V134" i="6"/>
  <c r="W134" i="6" s="1"/>
  <c r="V142" i="6" l="1"/>
  <c r="W142" i="6" s="1"/>
  <c r="V143" i="6"/>
  <c r="W143" i="6" s="1"/>
  <c r="V144" i="6"/>
  <c r="W144" i="6" s="1"/>
  <c r="V145" i="6"/>
  <c r="W145" i="6" s="1"/>
  <c r="V146" i="6"/>
  <c r="W146" i="6" s="1"/>
  <c r="V147" i="6"/>
  <c r="W147" i="6" s="1"/>
  <c r="V149" i="6"/>
  <c r="W149" i="6" s="1"/>
  <c r="V150" i="6"/>
  <c r="W150" i="6" s="1"/>
  <c r="V151" i="6"/>
  <c r="W151" i="6" s="1"/>
  <c r="V152" i="6"/>
  <c r="W152" i="6" s="1"/>
  <c r="V153" i="6"/>
  <c r="W153" i="6" s="1"/>
  <c r="V154" i="6"/>
  <c r="W154" i="6" s="1"/>
  <c r="V155" i="6"/>
  <c r="W155" i="6" s="1"/>
  <c r="V141" i="6"/>
  <c r="W141" i="6" s="1"/>
  <c r="V140" i="6"/>
  <c r="W140" i="6" s="1"/>
  <c r="V139" i="6"/>
  <c r="W139" i="6" s="1"/>
  <c r="V138" i="6"/>
  <c r="W138" i="6" s="1"/>
  <c r="V137" i="6"/>
  <c r="W137" i="6" s="1"/>
  <c r="V136" i="6"/>
  <c r="W136" i="6" s="1"/>
  <c r="V135" i="6"/>
  <c r="W135" i="6" s="1"/>
  <c r="V119" i="6"/>
  <c r="W119" i="6" s="1"/>
  <c r="V118" i="6"/>
  <c r="W118" i="6" s="1"/>
  <c r="V117" i="6"/>
  <c r="W117" i="6" s="1"/>
  <c r="V116" i="6"/>
  <c r="W116" i="6" s="1"/>
  <c r="V115" i="6"/>
  <c r="W115" i="6" s="1"/>
  <c r="V114" i="6"/>
  <c r="W114" i="6" s="1"/>
  <c r="V113" i="6"/>
  <c r="W113" i="6" s="1"/>
  <c r="V112" i="6"/>
  <c r="W112" i="6" s="1"/>
  <c r="V111" i="6"/>
  <c r="W111" i="6" s="1"/>
  <c r="V110" i="6"/>
  <c r="W110" i="6" s="1"/>
  <c r="V109" i="6"/>
  <c r="W109" i="6" s="1"/>
  <c r="V108" i="6"/>
  <c r="W108" i="6" s="1"/>
  <c r="V107" i="6"/>
  <c r="W107" i="6" s="1"/>
  <c r="V106" i="6"/>
  <c r="W106" i="6" s="1"/>
  <c r="V105" i="6"/>
  <c r="W105" i="6" s="1"/>
  <c r="V104" i="6"/>
  <c r="W104" i="6" s="1"/>
  <c r="V103" i="6"/>
  <c r="W103" i="6" s="1"/>
  <c r="V102" i="6"/>
  <c r="W102" i="6" s="1"/>
  <c r="V101" i="6"/>
  <c r="W101" i="6" s="1"/>
  <c r="V100" i="6"/>
  <c r="W100" i="6" s="1"/>
  <c r="V99" i="6"/>
  <c r="W99" i="6" s="1"/>
  <c r="V98" i="6"/>
  <c r="W98" i="6" s="1"/>
  <c r="V97" i="6"/>
  <c r="W97" i="6" s="1"/>
  <c r="V96" i="6"/>
  <c r="W96" i="6" s="1"/>
  <c r="V95" i="6"/>
  <c r="W95" i="6" s="1"/>
  <c r="V94" i="6"/>
  <c r="W94" i="6" s="1"/>
  <c r="V93" i="6"/>
  <c r="W93" i="6" s="1"/>
  <c r="V92" i="6"/>
  <c r="W92" i="6" s="1"/>
  <c r="V91" i="6"/>
  <c r="W91" i="6" s="1"/>
  <c r="V90" i="6"/>
  <c r="W90" i="6" s="1"/>
  <c r="V89" i="6"/>
  <c r="W89" i="6" s="1"/>
  <c r="V88" i="6"/>
  <c r="W88" i="6" s="1"/>
  <c r="V87" i="6"/>
  <c r="W87" i="6" s="1"/>
  <c r="V86" i="6"/>
  <c r="W86" i="6" s="1"/>
  <c r="V85" i="6"/>
  <c r="W85" i="6" s="1"/>
  <c r="V84" i="6"/>
  <c r="W84" i="6" s="1"/>
  <c r="V83" i="6"/>
  <c r="W83" i="6" s="1"/>
  <c r="V82" i="6"/>
  <c r="W82" i="6" s="1"/>
  <c r="V81" i="6"/>
  <c r="W81" i="6" s="1"/>
  <c r="V80" i="6"/>
  <c r="W80" i="6" s="1"/>
  <c r="V79" i="6"/>
  <c r="W79" i="6" s="1"/>
  <c r="V78" i="6"/>
  <c r="W78" i="6" s="1"/>
  <c r="V77" i="6"/>
  <c r="W77" i="6" s="1"/>
  <c r="V76" i="6"/>
  <c r="W76" i="6" s="1"/>
  <c r="V75" i="6"/>
  <c r="W75" i="6" s="1"/>
  <c r="V74" i="6"/>
  <c r="W74" i="6" s="1"/>
  <c r="V73" i="6"/>
  <c r="W73" i="6" s="1"/>
  <c r="V72" i="6"/>
  <c r="W72" i="6" s="1"/>
  <c r="V71" i="6"/>
  <c r="W71" i="6" s="1"/>
  <c r="V70" i="6"/>
  <c r="W70" i="6" s="1"/>
  <c r="V69" i="6"/>
  <c r="W69" i="6" s="1"/>
  <c r="V68" i="6"/>
  <c r="W68" i="6" s="1"/>
  <c r="V67" i="6"/>
  <c r="W67" i="6" s="1"/>
  <c r="V66" i="6"/>
  <c r="W66" i="6" s="1"/>
  <c r="V65" i="6"/>
  <c r="W65" i="6" s="1"/>
  <c r="V64" i="6"/>
  <c r="W64" i="6" s="1"/>
  <c r="V63" i="6"/>
  <c r="W63" i="6" s="1"/>
  <c r="V62" i="6"/>
  <c r="W62" i="6" s="1"/>
  <c r="V61" i="6"/>
  <c r="W61" i="6" s="1"/>
  <c r="V60" i="6"/>
  <c r="W60" i="6" s="1"/>
  <c r="V59" i="6"/>
  <c r="W59" i="6" s="1"/>
  <c r="V58" i="6"/>
  <c r="W58" i="6" s="1"/>
  <c r="V57" i="6"/>
  <c r="W57" i="6" s="1"/>
  <c r="V56" i="6"/>
  <c r="W56" i="6" s="1"/>
  <c r="V55" i="6"/>
  <c r="W55" i="6" s="1"/>
  <c r="V54" i="6"/>
  <c r="W54" i="6" s="1"/>
  <c r="V53" i="6"/>
  <c r="W53" i="6" s="1"/>
  <c r="V52" i="6"/>
  <c r="W52" i="6" s="1"/>
  <c r="V51" i="6"/>
  <c r="W51" i="6" s="1"/>
  <c r="V50" i="6"/>
  <c r="W50" i="6" s="1"/>
  <c r="V49" i="6"/>
  <c r="W49" i="6" s="1"/>
  <c r="V48" i="6"/>
  <c r="W48" i="6" s="1"/>
  <c r="V47" i="6"/>
  <c r="W47" i="6" s="1"/>
  <c r="V46" i="6"/>
  <c r="W46" i="6" s="1"/>
  <c r="V45" i="6"/>
  <c r="W45" i="6" s="1"/>
  <c r="V44" i="6"/>
  <c r="W44" i="6" s="1"/>
  <c r="V43" i="6"/>
  <c r="W43" i="6" s="1"/>
  <c r="V42" i="6"/>
  <c r="W42" i="6" s="1"/>
  <c r="V41" i="6"/>
  <c r="W41" i="6" s="1"/>
  <c r="V40" i="6"/>
  <c r="W40" i="6" s="1"/>
  <c r="V39" i="6"/>
  <c r="W39" i="6" s="1"/>
  <c r="V38" i="6"/>
  <c r="W38" i="6" s="1"/>
  <c r="V37" i="6"/>
  <c r="W37" i="6" s="1"/>
  <c r="V36" i="6"/>
  <c r="W36" i="6" s="1"/>
  <c r="V35" i="6"/>
  <c r="W35" i="6" s="1"/>
  <c r="V34" i="6"/>
  <c r="W34" i="6" s="1"/>
  <c r="V33" i="6"/>
  <c r="W33" i="6" s="1"/>
  <c r="V32" i="6"/>
  <c r="W32" i="6" s="1"/>
  <c r="V31" i="6"/>
  <c r="W31" i="6" s="1"/>
  <c r="V30" i="6"/>
  <c r="W30" i="6" s="1"/>
  <c r="V29" i="6"/>
  <c r="W29" i="6" s="1"/>
  <c r="V28" i="6"/>
  <c r="W28" i="6" s="1"/>
  <c r="V27" i="6"/>
  <c r="W27" i="6" s="1"/>
  <c r="V26" i="6"/>
  <c r="W26" i="6" s="1"/>
  <c r="V25" i="6"/>
  <c r="W25" i="6" s="1"/>
  <c r="V24" i="6"/>
  <c r="W24" i="6" s="1"/>
  <c r="V23" i="6"/>
  <c r="W23" i="6" s="1"/>
  <c r="V22" i="6"/>
  <c r="W22" i="6" s="1"/>
  <c r="V21" i="6"/>
  <c r="W21" i="6" s="1"/>
  <c r="V20" i="6"/>
  <c r="W20" i="6" s="1"/>
  <c r="V18" i="6"/>
  <c r="W18" i="6" s="1"/>
  <c r="V17" i="6"/>
  <c r="W17" i="6" s="1"/>
  <c r="V16" i="6"/>
  <c r="W16" i="6" s="1"/>
  <c r="V15" i="6"/>
  <c r="W15" i="6" s="1"/>
  <c r="V14" i="6"/>
  <c r="W14" i="6" s="1"/>
  <c r="V13" i="6"/>
  <c r="W13" i="6" s="1"/>
  <c r="V12" i="6"/>
  <c r="W12" i="6" s="1"/>
  <c r="V11" i="6"/>
  <c r="W11" i="6" s="1"/>
  <c r="V10" i="6"/>
  <c r="W10" i="6" s="1"/>
  <c r="V9" i="6"/>
  <c r="W9" i="6" s="1"/>
  <c r="V8" i="6"/>
  <c r="W8" i="6" s="1"/>
  <c r="V7" i="6"/>
  <c r="W7" i="6" s="1"/>
  <c r="V6" i="6"/>
  <c r="W6" i="6" s="1"/>
  <c r="V5" i="6"/>
  <c r="W5" i="6" s="1"/>
  <c r="V4" i="6"/>
  <c r="W4" i="6" s="1"/>
  <c r="W889" i="6" l="1"/>
  <c r="N135" i="6"/>
  <c r="P135" i="6" s="1"/>
  <c r="S135" i="6"/>
  <c r="T135" i="6" s="1"/>
  <c r="N136" i="6"/>
  <c r="P136" i="6" s="1"/>
  <c r="S136" i="6"/>
  <c r="T136" i="6" s="1"/>
  <c r="N137" i="6"/>
  <c r="P137" i="6" s="1"/>
  <c r="S137" i="6"/>
  <c r="T137" i="6" s="1"/>
  <c r="N138" i="6"/>
  <c r="P138" i="6" s="1"/>
  <c r="S138" i="6"/>
  <c r="T138" i="6" s="1"/>
  <c r="N139" i="6"/>
  <c r="P139" i="6" s="1"/>
  <c r="S139" i="6"/>
  <c r="T139" i="6" s="1"/>
  <c r="N140" i="6"/>
  <c r="P140" i="6" s="1"/>
  <c r="S140" i="6"/>
  <c r="T140" i="6" s="1"/>
  <c r="N141" i="6"/>
  <c r="P141" i="6" s="1"/>
  <c r="S141" i="6"/>
  <c r="T141" i="6" s="1"/>
  <c r="N142" i="6"/>
  <c r="P142" i="6" s="1"/>
  <c r="S142" i="6"/>
  <c r="T142" i="6" s="1"/>
  <c r="N143" i="6"/>
  <c r="P143" i="6" s="1"/>
  <c r="S143" i="6"/>
  <c r="T143" i="6" s="1"/>
  <c r="N144" i="6"/>
  <c r="P144" i="6" s="1"/>
  <c r="S144" i="6"/>
  <c r="T144" i="6" s="1"/>
  <c r="N145" i="6"/>
  <c r="P145" i="6" s="1"/>
  <c r="S145" i="6"/>
  <c r="T145" i="6" s="1"/>
  <c r="N146" i="6"/>
  <c r="P146" i="6" s="1"/>
  <c r="S146" i="6"/>
  <c r="T146" i="6" s="1"/>
  <c r="N147" i="6"/>
  <c r="P147" i="6" s="1"/>
  <c r="S147" i="6"/>
  <c r="T147" i="6" s="1"/>
  <c r="N149" i="6"/>
  <c r="P149" i="6" s="1"/>
  <c r="S149" i="6"/>
  <c r="T149" i="6" s="1"/>
  <c r="N150" i="6"/>
  <c r="P150" i="6" s="1"/>
  <c r="S150" i="6"/>
  <c r="T150" i="6" s="1"/>
  <c r="N151" i="6"/>
  <c r="P151" i="6" s="1"/>
  <c r="S151" i="6"/>
  <c r="T151" i="6" s="1"/>
  <c r="N152" i="6"/>
  <c r="P152" i="6" s="1"/>
  <c r="S152" i="6"/>
  <c r="T152" i="6" s="1"/>
  <c r="N153" i="6"/>
  <c r="P153" i="6" s="1"/>
  <c r="S153" i="6"/>
  <c r="T153" i="6" s="1"/>
  <c r="N154" i="6"/>
  <c r="P154" i="6" s="1"/>
  <c r="S154" i="6"/>
  <c r="T154" i="6" s="1"/>
  <c r="N155" i="6"/>
  <c r="P155" i="6" s="1"/>
  <c r="S155" i="6"/>
  <c r="T155" i="6" s="1"/>
  <c r="S119" i="6"/>
  <c r="T119" i="6" s="1"/>
  <c r="S118" i="6"/>
  <c r="T118" i="6" s="1"/>
  <c r="S117" i="6"/>
  <c r="T117" i="6" s="1"/>
  <c r="S116" i="6"/>
  <c r="T116" i="6" s="1"/>
  <c r="S115" i="6"/>
  <c r="T115" i="6" s="1"/>
  <c r="S114" i="6"/>
  <c r="T114" i="6" s="1"/>
  <c r="S113" i="6"/>
  <c r="T113" i="6" s="1"/>
  <c r="S112" i="6"/>
  <c r="T112" i="6" s="1"/>
  <c r="S111" i="6"/>
  <c r="T111" i="6" s="1"/>
  <c r="S109" i="6"/>
  <c r="T109" i="6" s="1"/>
  <c r="S108" i="6"/>
  <c r="T108" i="6" s="1"/>
  <c r="S107" i="6"/>
  <c r="T107" i="6" s="1"/>
  <c r="S106" i="6"/>
  <c r="T106" i="6" s="1"/>
  <c r="S105" i="6"/>
  <c r="T105" i="6" s="1"/>
  <c r="S104" i="6"/>
  <c r="T104" i="6" s="1"/>
  <c r="S103" i="6"/>
  <c r="T103" i="6" s="1"/>
  <c r="S102" i="6"/>
  <c r="T102" i="6" s="1"/>
  <c r="S101" i="6"/>
  <c r="T101" i="6" s="1"/>
  <c r="S100" i="6"/>
  <c r="T100" i="6" s="1"/>
  <c r="S99" i="6"/>
  <c r="T99" i="6" s="1"/>
  <c r="S98" i="6"/>
  <c r="T98" i="6" s="1"/>
  <c r="S97" i="6"/>
  <c r="T97" i="6" s="1"/>
  <c r="S96" i="6"/>
  <c r="T96" i="6" s="1"/>
  <c r="S95" i="6"/>
  <c r="T95" i="6" s="1"/>
  <c r="S94" i="6"/>
  <c r="T94" i="6" s="1"/>
  <c r="S93" i="6"/>
  <c r="T93" i="6" s="1"/>
  <c r="S92" i="6"/>
  <c r="T92" i="6" s="1"/>
  <c r="S91" i="6"/>
  <c r="T91" i="6" s="1"/>
  <c r="S90" i="6"/>
  <c r="T90" i="6" s="1"/>
  <c r="S89" i="6"/>
  <c r="T89" i="6" s="1"/>
  <c r="S88" i="6"/>
  <c r="T88" i="6" s="1"/>
  <c r="S87" i="6"/>
  <c r="T87" i="6" s="1"/>
  <c r="S86" i="6"/>
  <c r="T86" i="6" s="1"/>
  <c r="S85" i="6"/>
  <c r="T85" i="6" s="1"/>
  <c r="S84" i="6"/>
  <c r="T84" i="6" s="1"/>
  <c r="S83" i="6"/>
  <c r="T83" i="6" s="1"/>
  <c r="S82" i="6"/>
  <c r="T82" i="6" s="1"/>
  <c r="S81" i="6"/>
  <c r="T81" i="6" s="1"/>
  <c r="S80" i="6"/>
  <c r="T80" i="6" s="1"/>
  <c r="S79" i="6"/>
  <c r="T79" i="6" s="1"/>
  <c r="S78" i="6"/>
  <c r="T78" i="6" s="1"/>
  <c r="S77" i="6"/>
  <c r="T77" i="6" s="1"/>
  <c r="S76" i="6"/>
  <c r="T76" i="6" s="1"/>
  <c r="S75" i="6"/>
  <c r="T75" i="6" s="1"/>
  <c r="S74" i="6"/>
  <c r="T74" i="6" s="1"/>
  <c r="S73" i="6"/>
  <c r="T73" i="6" s="1"/>
  <c r="S72" i="6"/>
  <c r="T72" i="6" s="1"/>
  <c r="S71" i="6"/>
  <c r="T71" i="6" s="1"/>
  <c r="S70" i="6"/>
  <c r="T70" i="6" s="1"/>
  <c r="S69" i="6"/>
  <c r="T69" i="6" s="1"/>
  <c r="S68" i="6"/>
  <c r="T68" i="6" s="1"/>
  <c r="S67" i="6"/>
  <c r="T67" i="6" s="1"/>
  <c r="S66" i="6"/>
  <c r="T66" i="6" s="1"/>
  <c r="S65" i="6"/>
  <c r="T65" i="6" s="1"/>
  <c r="S64" i="6"/>
  <c r="T64" i="6" s="1"/>
  <c r="S63" i="6"/>
  <c r="T63" i="6" s="1"/>
  <c r="S62" i="6"/>
  <c r="T62" i="6" s="1"/>
  <c r="S61" i="6"/>
  <c r="T61" i="6" s="1"/>
  <c r="S60" i="6"/>
  <c r="T60" i="6" s="1"/>
  <c r="S59" i="6"/>
  <c r="T59" i="6" s="1"/>
  <c r="S58" i="6"/>
  <c r="T58" i="6" s="1"/>
  <c r="S57" i="6"/>
  <c r="T57" i="6" s="1"/>
  <c r="S56" i="6"/>
  <c r="T56" i="6" s="1"/>
  <c r="S55" i="6"/>
  <c r="T55" i="6" s="1"/>
  <c r="S54" i="6"/>
  <c r="T54" i="6" s="1"/>
  <c r="S53" i="6"/>
  <c r="T53" i="6" s="1"/>
  <c r="S52" i="6"/>
  <c r="T52" i="6" s="1"/>
  <c r="S51" i="6"/>
  <c r="T51" i="6" s="1"/>
  <c r="S50" i="6"/>
  <c r="T50" i="6" s="1"/>
  <c r="S49" i="6"/>
  <c r="T49" i="6" s="1"/>
  <c r="S48" i="6"/>
  <c r="T48" i="6" s="1"/>
  <c r="S47" i="6"/>
  <c r="T47" i="6" s="1"/>
  <c r="S46" i="6"/>
  <c r="T46" i="6" s="1"/>
  <c r="S45" i="6"/>
  <c r="T45" i="6" s="1"/>
  <c r="S44" i="6"/>
  <c r="T44" i="6" s="1"/>
  <c r="S43" i="6"/>
  <c r="T43" i="6" s="1"/>
  <c r="S42" i="6"/>
  <c r="T42" i="6" s="1"/>
  <c r="S41" i="6"/>
  <c r="T41" i="6" s="1"/>
  <c r="S40" i="6"/>
  <c r="T40" i="6" s="1"/>
  <c r="S39" i="6"/>
  <c r="T39" i="6" s="1"/>
  <c r="S38" i="6"/>
  <c r="T38" i="6" s="1"/>
  <c r="S37" i="6"/>
  <c r="T37" i="6" s="1"/>
  <c r="S36" i="6"/>
  <c r="T36" i="6" s="1"/>
  <c r="S35" i="6"/>
  <c r="T35" i="6" s="1"/>
  <c r="S34" i="6"/>
  <c r="T34" i="6" s="1"/>
  <c r="S33" i="6"/>
  <c r="T33" i="6" s="1"/>
  <c r="S32" i="6"/>
  <c r="T32" i="6" s="1"/>
  <c r="S31" i="6"/>
  <c r="T31" i="6" s="1"/>
  <c r="S30" i="6"/>
  <c r="T30" i="6" s="1"/>
  <c r="S29" i="6"/>
  <c r="T29" i="6" s="1"/>
  <c r="S28" i="6"/>
  <c r="T28" i="6" s="1"/>
  <c r="S27" i="6"/>
  <c r="T27" i="6" s="1"/>
  <c r="S26" i="6"/>
  <c r="T26" i="6" s="1"/>
  <c r="S25" i="6"/>
  <c r="T25" i="6" s="1"/>
  <c r="S24" i="6"/>
  <c r="T24" i="6" s="1"/>
  <c r="S23" i="6"/>
  <c r="T23" i="6" s="1"/>
  <c r="S22" i="6"/>
  <c r="T22" i="6" s="1"/>
  <c r="S21" i="6"/>
  <c r="T21" i="6" s="1"/>
  <c r="S20" i="6"/>
  <c r="T20" i="6" s="1"/>
  <c r="S19" i="6"/>
  <c r="T19" i="6" s="1"/>
  <c r="S18" i="6"/>
  <c r="T18" i="6" s="1"/>
  <c r="S17" i="6"/>
  <c r="T17" i="6" s="1"/>
  <c r="S16" i="6"/>
  <c r="T16" i="6" s="1"/>
  <c r="S15" i="6"/>
  <c r="T15" i="6" s="1"/>
  <c r="S14" i="6"/>
  <c r="T14" i="6" s="1"/>
  <c r="S13" i="6"/>
  <c r="T13" i="6" s="1"/>
  <c r="S12" i="6"/>
  <c r="T12" i="6" s="1"/>
  <c r="S11" i="6"/>
  <c r="T11" i="6" s="1"/>
  <c r="S10" i="6"/>
  <c r="T10" i="6" s="1"/>
  <c r="S9" i="6"/>
  <c r="T9" i="6" s="1"/>
  <c r="S8" i="6"/>
  <c r="T8" i="6" s="1"/>
  <c r="T7" i="6"/>
  <c r="S6" i="6"/>
  <c r="T6" i="6" s="1"/>
  <c r="S5" i="6"/>
  <c r="T5" i="6" s="1"/>
  <c r="S4" i="6"/>
  <c r="T4" i="6" s="1"/>
  <c r="N119" i="6"/>
  <c r="P119" i="6" s="1"/>
  <c r="N118" i="6"/>
  <c r="P118" i="6" s="1"/>
  <c r="N117" i="6"/>
  <c r="P117" i="6" s="1"/>
  <c r="N116" i="6"/>
  <c r="P116" i="6" s="1"/>
  <c r="N115" i="6"/>
  <c r="P115" i="6" s="1"/>
  <c r="N114" i="6"/>
  <c r="P114" i="6" s="1"/>
  <c r="N113" i="6" l="1"/>
  <c r="P113" i="6" s="1"/>
  <c r="N112" i="6"/>
  <c r="P112" i="6" s="1"/>
  <c r="N111" i="6"/>
  <c r="P111" i="6" s="1"/>
  <c r="N109" i="6"/>
  <c r="P109" i="6" s="1"/>
  <c r="N108" i="6"/>
  <c r="P108" i="6" s="1"/>
  <c r="N107" i="6"/>
  <c r="P107" i="6" s="1"/>
  <c r="N106" i="6" l="1"/>
  <c r="P106" i="6" s="1"/>
  <c r="N105" i="6"/>
  <c r="P105" i="6" s="1"/>
  <c r="N104" i="6"/>
  <c r="P104" i="6" s="1"/>
  <c r="N103" i="6"/>
  <c r="P103" i="6" s="1"/>
  <c r="N102" i="6"/>
  <c r="P102" i="6" s="1"/>
  <c r="N101" i="6"/>
  <c r="P101" i="6" s="1"/>
  <c r="N100" i="6"/>
  <c r="P100" i="6" s="1"/>
  <c r="N99" i="6"/>
  <c r="P99" i="6" s="1"/>
  <c r="N98" i="6"/>
  <c r="P98" i="6" s="1"/>
  <c r="N97" i="6"/>
  <c r="P97" i="6" s="1"/>
  <c r="N96" i="6"/>
  <c r="P96" i="6" s="1"/>
  <c r="N95" i="6"/>
  <c r="P95" i="6" s="1"/>
  <c r="N94" i="6"/>
  <c r="P94" i="6" s="1"/>
  <c r="N93" i="6"/>
  <c r="P93" i="6" s="1"/>
  <c r="N92" i="6"/>
  <c r="P92" i="6" s="1"/>
  <c r="N91" i="6"/>
  <c r="P91" i="6" s="1"/>
  <c r="N90" i="6"/>
  <c r="P90" i="6" s="1"/>
  <c r="N89" i="6"/>
  <c r="P89" i="6" s="1"/>
  <c r="N88" i="6"/>
  <c r="P88" i="6" s="1"/>
  <c r="N87" i="6"/>
  <c r="P87" i="6" s="1"/>
  <c r="N86" i="6"/>
  <c r="P86" i="6" s="1"/>
  <c r="N85" i="6"/>
  <c r="P85" i="6" s="1"/>
  <c r="N84" i="6"/>
  <c r="P84" i="6" s="1"/>
  <c r="N83" i="6"/>
  <c r="P83" i="6" s="1"/>
  <c r="N82" i="6"/>
  <c r="P82" i="6" s="1"/>
  <c r="N81" i="6"/>
  <c r="P81" i="6" s="1"/>
  <c r="N80" i="6"/>
  <c r="P80" i="6" s="1"/>
  <c r="N79" i="6"/>
  <c r="P79" i="6" s="1"/>
  <c r="N78" i="6"/>
  <c r="P78" i="6" s="1"/>
  <c r="N77" i="6"/>
  <c r="P77" i="6" s="1"/>
  <c r="N76" i="6"/>
  <c r="P76" i="6" s="1"/>
  <c r="N75" i="6"/>
  <c r="P75" i="6" s="1"/>
  <c r="N74" i="6"/>
  <c r="P74" i="6" s="1"/>
  <c r="N73" i="6"/>
  <c r="P73" i="6" s="1"/>
  <c r="N72" i="6"/>
  <c r="P72" i="6" s="1"/>
  <c r="N71" i="6"/>
  <c r="P71" i="6" s="1"/>
  <c r="N70" i="6"/>
  <c r="P70" i="6" s="1"/>
  <c r="N69" i="6"/>
  <c r="P69" i="6" s="1"/>
  <c r="N68" i="6"/>
  <c r="P68" i="6" s="1"/>
  <c r="N67" i="6"/>
  <c r="P67" i="6" s="1"/>
  <c r="N66" i="6"/>
  <c r="P66" i="6" s="1"/>
  <c r="N65" i="6"/>
  <c r="P65" i="6" s="1"/>
  <c r="N64" i="6"/>
  <c r="P64" i="6" s="1"/>
  <c r="N63" i="6"/>
  <c r="P63" i="6" s="1"/>
  <c r="N62" i="6"/>
  <c r="P62" i="6" s="1"/>
  <c r="N61" i="6"/>
  <c r="P61" i="6" s="1"/>
  <c r="N60" i="6"/>
  <c r="P60" i="6" s="1"/>
  <c r="N59" i="6"/>
  <c r="P59" i="6" s="1"/>
  <c r="N58" i="6"/>
  <c r="P58" i="6" s="1"/>
  <c r="N57" i="6"/>
  <c r="P57" i="6" s="1"/>
  <c r="N56" i="6"/>
  <c r="P56" i="6" s="1"/>
  <c r="N55" i="6"/>
  <c r="P55" i="6" s="1"/>
  <c r="N54" i="6"/>
  <c r="P54" i="6" s="1"/>
  <c r="N53" i="6"/>
  <c r="P53" i="6" s="1"/>
  <c r="N52" i="6"/>
  <c r="P52" i="6" s="1"/>
  <c r="N51" i="6"/>
  <c r="P51" i="6" s="1"/>
  <c r="N50" i="6"/>
  <c r="P50" i="6" s="1"/>
  <c r="N49" i="6"/>
  <c r="P49" i="6" s="1"/>
  <c r="N48" i="6"/>
  <c r="P48" i="6" s="1"/>
  <c r="N47" i="6"/>
  <c r="P47" i="6" s="1"/>
  <c r="N46" i="6"/>
  <c r="P46" i="6" s="1"/>
  <c r="N45" i="6"/>
  <c r="P45" i="6" s="1"/>
  <c r="N44" i="6"/>
  <c r="P44" i="6" s="1"/>
  <c r="N43" i="6"/>
  <c r="P43" i="6" s="1"/>
  <c r="N42" i="6"/>
  <c r="P42" i="6" s="1"/>
  <c r="N41" i="6"/>
  <c r="P41" i="6" s="1"/>
  <c r="N40" i="6"/>
  <c r="P40" i="6" s="1"/>
  <c r="N39" i="6"/>
  <c r="P39" i="6" s="1"/>
  <c r="N38" i="6"/>
  <c r="P38" i="6" s="1"/>
  <c r="N37" i="6"/>
  <c r="P37" i="6" s="1"/>
  <c r="N36" i="6"/>
  <c r="P36" i="6" s="1"/>
  <c r="N35" i="6"/>
  <c r="P35" i="6" s="1"/>
  <c r="N34" i="6"/>
  <c r="P34" i="6" s="1"/>
  <c r="N33" i="6"/>
  <c r="P33" i="6" s="1"/>
  <c r="N32" i="6"/>
  <c r="P32" i="6" s="1"/>
  <c r="N31" i="6"/>
  <c r="P31" i="6" s="1"/>
  <c r="N30" i="6"/>
  <c r="P30" i="6" s="1"/>
  <c r="N29" i="6"/>
  <c r="P29" i="6" s="1"/>
  <c r="N28" i="6"/>
  <c r="P28" i="6" s="1"/>
  <c r="N27" i="6"/>
  <c r="P27" i="6" s="1"/>
  <c r="N26" i="6"/>
  <c r="P26" i="6" s="1"/>
  <c r="N25" i="6"/>
  <c r="P25" i="6" s="1"/>
  <c r="N24" i="6"/>
  <c r="P24" i="6" s="1"/>
  <c r="N23" i="6"/>
  <c r="P23" i="6" s="1"/>
  <c r="N22" i="6"/>
  <c r="P22" i="6" s="1"/>
  <c r="N21" i="6"/>
  <c r="P21" i="6" s="1"/>
  <c r="N20" i="6"/>
  <c r="P20" i="6" s="1"/>
  <c r="N19" i="6"/>
  <c r="P19" i="6" s="1"/>
  <c r="N18" i="6"/>
  <c r="P18" i="6" s="1"/>
  <c r="N17" i="6"/>
  <c r="P17" i="6" s="1"/>
  <c r="N16" i="6"/>
  <c r="P16" i="6" s="1"/>
  <c r="N15" i="6"/>
  <c r="P15" i="6" s="1"/>
  <c r="N14" i="6"/>
  <c r="P14" i="6" s="1"/>
  <c r="N13" i="6"/>
  <c r="P13" i="6" s="1"/>
  <c r="N12" i="6"/>
  <c r="P12" i="6" s="1"/>
  <c r="N11" i="6"/>
  <c r="P11" i="6" s="1"/>
  <c r="N10" i="6"/>
  <c r="P10" i="6" s="1"/>
  <c r="N9" i="6"/>
  <c r="P9" i="6" s="1"/>
  <c r="N8" i="6"/>
  <c r="P8" i="6" s="1"/>
  <c r="N7" i="6"/>
  <c r="P7" i="6" s="1"/>
  <c r="N6" i="6"/>
  <c r="P6" i="6" s="1"/>
  <c r="N5" i="6"/>
  <c r="P5" i="6" s="1"/>
  <c r="N4" i="6"/>
  <c r="P4" i="6" s="1"/>
  <c r="W224" i="2"/>
  <c r="T224" i="2"/>
  <c r="AB223" i="2"/>
  <c r="AA223" i="2"/>
  <c r="X223" i="2"/>
  <c r="Y223" i="2" s="1"/>
  <c r="U223" i="2"/>
  <c r="S223" i="2"/>
  <c r="AB222" i="2"/>
  <c r="AA222" i="2"/>
  <c r="X222" i="2"/>
  <c r="Y222" i="2" s="1"/>
  <c r="U222" i="2"/>
  <c r="S222" i="2"/>
  <c r="AB221" i="2"/>
  <c r="AA221" i="2"/>
  <c r="X221" i="2"/>
  <c r="Y221" i="2" s="1"/>
  <c r="U221" i="2"/>
  <c r="S221" i="2"/>
  <c r="AB220" i="2"/>
  <c r="AA220" i="2"/>
  <c r="X220" i="2"/>
  <c r="Y220" i="2" s="1"/>
  <c r="U220" i="2"/>
  <c r="S220" i="2"/>
  <c r="AB219" i="2"/>
  <c r="AA219" i="2"/>
  <c r="X219" i="2"/>
  <c r="Y219" i="2" s="1"/>
  <c r="U219" i="2"/>
  <c r="S219" i="2"/>
  <c r="AB218" i="2"/>
  <c r="AA218" i="2"/>
  <c r="X218" i="2"/>
  <c r="Y218" i="2" s="1"/>
  <c r="U218" i="2"/>
  <c r="S218" i="2"/>
  <c r="AB217" i="2"/>
  <c r="AA217" i="2"/>
  <c r="X217" i="2"/>
  <c r="Y217" i="2" s="1"/>
  <c r="U217" i="2"/>
  <c r="S217" i="2"/>
  <c r="AB216" i="2"/>
  <c r="AA216" i="2"/>
  <c r="X216" i="2"/>
  <c r="Y216" i="2" s="1"/>
  <c r="U216" i="2"/>
  <c r="S216" i="2"/>
  <c r="AB215" i="2"/>
  <c r="AA215" i="2"/>
  <c r="Y215" i="2"/>
  <c r="X215" i="2"/>
  <c r="U215" i="2"/>
  <c r="S215" i="2"/>
  <c r="AB214" i="2"/>
  <c r="AA214" i="2"/>
  <c r="X214" i="2"/>
  <c r="Y214" i="2" s="1"/>
  <c r="U214" i="2"/>
  <c r="S214" i="2"/>
  <c r="AB213" i="2"/>
  <c r="AA213" i="2"/>
  <c r="X213" i="2"/>
  <c r="Y213" i="2" s="1"/>
  <c r="U213" i="2"/>
  <c r="S213" i="2"/>
  <c r="AB212" i="2"/>
  <c r="AA212" i="2"/>
  <c r="X212" i="2"/>
  <c r="Y212" i="2" s="1"/>
  <c r="U212" i="2"/>
  <c r="S212" i="2"/>
  <c r="AB211" i="2"/>
  <c r="AA211" i="2"/>
  <c r="Y211" i="2"/>
  <c r="X211" i="2"/>
  <c r="U211" i="2"/>
  <c r="S211" i="2"/>
  <c r="AB210" i="2"/>
  <c r="AA210" i="2"/>
  <c r="X210" i="2"/>
  <c r="Y210" i="2" s="1"/>
  <c r="U210" i="2"/>
  <c r="S210" i="2"/>
  <c r="AB209" i="2"/>
  <c r="AA209" i="2"/>
  <c r="X209" i="2"/>
  <c r="Y209" i="2" s="1"/>
  <c r="U209" i="2"/>
  <c r="S209" i="2"/>
  <c r="AB208" i="2"/>
  <c r="AA208" i="2"/>
  <c r="X208" i="2"/>
  <c r="Y208" i="2" s="1"/>
  <c r="U208" i="2"/>
  <c r="S208" i="2"/>
  <c r="AB207" i="2"/>
  <c r="AA207" i="2"/>
  <c r="Y207" i="2"/>
  <c r="X207" i="2"/>
  <c r="U207" i="2"/>
  <c r="S207" i="2"/>
  <c r="AB206" i="2"/>
  <c r="AA206" i="2"/>
  <c r="X206" i="2"/>
  <c r="Y206" i="2" s="1"/>
  <c r="U206" i="2"/>
  <c r="S206" i="2"/>
  <c r="AB205" i="2"/>
  <c r="AA205" i="2"/>
  <c r="X205" i="2"/>
  <c r="Y205" i="2" s="1"/>
  <c r="U205" i="2"/>
  <c r="S205" i="2"/>
  <c r="AB204" i="2"/>
  <c r="AA204" i="2"/>
  <c r="X204" i="2"/>
  <c r="Y204" i="2" s="1"/>
  <c r="U204" i="2"/>
  <c r="S204" i="2"/>
  <c r="AB203" i="2"/>
  <c r="AA203" i="2"/>
  <c r="X203" i="2"/>
  <c r="Y203" i="2" s="1"/>
  <c r="U203" i="2"/>
  <c r="S203" i="2"/>
  <c r="AB202" i="2"/>
  <c r="AA202" i="2"/>
  <c r="X202" i="2"/>
  <c r="Y202" i="2" s="1"/>
  <c r="U202" i="2"/>
  <c r="S202" i="2"/>
  <c r="AB201" i="2"/>
  <c r="AA201" i="2"/>
  <c r="X201" i="2"/>
  <c r="Y201" i="2" s="1"/>
  <c r="U201" i="2"/>
  <c r="S201" i="2"/>
  <c r="AB200" i="2"/>
  <c r="AA200" i="2"/>
  <c r="X200" i="2"/>
  <c r="Y200" i="2" s="1"/>
  <c r="U200" i="2"/>
  <c r="S200" i="2"/>
  <c r="AB199" i="2"/>
  <c r="AA199" i="2"/>
  <c r="X199" i="2"/>
  <c r="Y199" i="2" s="1"/>
  <c r="U199" i="2"/>
  <c r="S199" i="2"/>
  <c r="AB198" i="2"/>
  <c r="AA198" i="2"/>
  <c r="X198" i="2"/>
  <c r="Y198" i="2" s="1"/>
  <c r="U198" i="2"/>
  <c r="S198" i="2"/>
  <c r="AB197" i="2"/>
  <c r="AA197" i="2"/>
  <c r="Y197" i="2"/>
  <c r="X197" i="2"/>
  <c r="U197" i="2"/>
  <c r="S197" i="2"/>
  <c r="AB196" i="2"/>
  <c r="AA196" i="2"/>
  <c r="X196" i="2"/>
  <c r="Y196" i="2" s="1"/>
  <c r="U196" i="2"/>
  <c r="S196" i="2"/>
  <c r="AB195" i="2"/>
  <c r="AA195" i="2"/>
  <c r="X195" i="2"/>
  <c r="Y195" i="2" s="1"/>
  <c r="U195" i="2"/>
  <c r="S195" i="2"/>
  <c r="AB194" i="2"/>
  <c r="AA194" i="2"/>
  <c r="X194" i="2"/>
  <c r="Y194" i="2" s="1"/>
  <c r="U194" i="2"/>
  <c r="S194" i="2"/>
  <c r="AB193" i="2"/>
  <c r="AA193" i="2"/>
  <c r="Y193" i="2"/>
  <c r="X193" i="2"/>
  <c r="U193" i="2"/>
  <c r="S193" i="2"/>
  <c r="AB192" i="2"/>
  <c r="AA192" i="2"/>
  <c r="X192" i="2"/>
  <c r="Y192" i="2" s="1"/>
  <c r="U192" i="2"/>
  <c r="S192" i="2"/>
  <c r="AB191" i="2"/>
  <c r="AA191" i="2"/>
  <c r="X191" i="2"/>
  <c r="Y191" i="2" s="1"/>
  <c r="U191" i="2"/>
  <c r="S191" i="2"/>
  <c r="AB190" i="2"/>
  <c r="AA190" i="2"/>
  <c r="X190" i="2"/>
  <c r="Y190" i="2" s="1"/>
  <c r="U190" i="2"/>
  <c r="S190" i="2"/>
  <c r="AB189" i="2"/>
  <c r="AA189" i="2"/>
  <c r="X189" i="2"/>
  <c r="Y189" i="2" s="1"/>
  <c r="U189" i="2"/>
  <c r="S189" i="2"/>
  <c r="AB188" i="2"/>
  <c r="AA188" i="2"/>
  <c r="X188" i="2"/>
  <c r="Y188" i="2" s="1"/>
  <c r="U188" i="2"/>
  <c r="S188" i="2"/>
  <c r="AB187" i="2"/>
  <c r="AA187" i="2"/>
  <c r="X187" i="2"/>
  <c r="Y187" i="2" s="1"/>
  <c r="U187" i="2"/>
  <c r="S187" i="2"/>
  <c r="AB186" i="2"/>
  <c r="AA186" i="2"/>
  <c r="X186" i="2"/>
  <c r="Y186" i="2" s="1"/>
  <c r="U186" i="2"/>
  <c r="S186" i="2"/>
  <c r="AB185" i="2"/>
  <c r="AA185" i="2"/>
  <c r="X185" i="2"/>
  <c r="Y185" i="2" s="1"/>
  <c r="U185" i="2"/>
  <c r="S185" i="2"/>
  <c r="AB184" i="2"/>
  <c r="AA184" i="2"/>
  <c r="X184" i="2"/>
  <c r="Y184" i="2" s="1"/>
  <c r="U184" i="2"/>
  <c r="S184" i="2"/>
  <c r="AB183" i="2"/>
  <c r="AA183" i="2"/>
  <c r="X183" i="2"/>
  <c r="Y183" i="2" s="1"/>
  <c r="U183" i="2"/>
  <c r="S183" i="2"/>
  <c r="AB182" i="2"/>
  <c r="AA182" i="2"/>
  <c r="X182" i="2"/>
  <c r="Y182" i="2" s="1"/>
  <c r="U182" i="2"/>
  <c r="S182" i="2"/>
  <c r="AB181" i="2"/>
  <c r="AA181" i="2"/>
  <c r="X181" i="2"/>
  <c r="Y181" i="2" s="1"/>
  <c r="U181" i="2"/>
  <c r="S181" i="2"/>
  <c r="AB180" i="2"/>
  <c r="AA180" i="2"/>
  <c r="X180" i="2"/>
  <c r="Y180" i="2" s="1"/>
  <c r="U180" i="2"/>
  <c r="S180" i="2"/>
  <c r="AB179" i="2"/>
  <c r="AA179" i="2"/>
  <c r="Y179" i="2"/>
  <c r="X179" i="2"/>
  <c r="U179" i="2"/>
  <c r="S179" i="2"/>
  <c r="AB178" i="2"/>
  <c r="AA178" i="2"/>
  <c r="X178" i="2"/>
  <c r="Y178" i="2" s="1"/>
  <c r="U178" i="2"/>
  <c r="S178" i="2"/>
  <c r="AB177" i="2"/>
  <c r="AA177" i="2"/>
  <c r="X177" i="2"/>
  <c r="Y177" i="2" s="1"/>
  <c r="U177" i="2"/>
  <c r="S177" i="2"/>
  <c r="AB176" i="2"/>
  <c r="AA176" i="2"/>
  <c r="X176" i="2"/>
  <c r="Y176" i="2" s="1"/>
  <c r="U176" i="2"/>
  <c r="S176" i="2"/>
  <c r="AB175" i="2"/>
  <c r="AA175" i="2"/>
  <c r="Y175" i="2"/>
  <c r="X175" i="2"/>
  <c r="U175" i="2"/>
  <c r="S175" i="2"/>
  <c r="AB174" i="2"/>
  <c r="AA174" i="2"/>
  <c r="X174" i="2"/>
  <c r="Y174" i="2" s="1"/>
  <c r="U174" i="2"/>
  <c r="S174" i="2"/>
  <c r="AB173" i="2"/>
  <c r="AA173" i="2"/>
  <c r="Y173" i="2"/>
  <c r="X173" i="2"/>
  <c r="U173" i="2"/>
  <c r="S173" i="2"/>
  <c r="AB172" i="2"/>
  <c r="AA172" i="2"/>
  <c r="X172" i="2"/>
  <c r="Y172" i="2" s="1"/>
  <c r="U172" i="2"/>
  <c r="S172" i="2"/>
  <c r="AB171" i="2"/>
  <c r="AA171" i="2"/>
  <c r="X171" i="2"/>
  <c r="Y171" i="2" s="1"/>
  <c r="U171" i="2"/>
  <c r="S171" i="2"/>
  <c r="AB170" i="2"/>
  <c r="AA170" i="2"/>
  <c r="X170" i="2"/>
  <c r="Y170" i="2" s="1"/>
  <c r="U170" i="2"/>
  <c r="S170" i="2"/>
  <c r="AB169" i="2"/>
  <c r="AA169" i="2"/>
  <c r="X169" i="2"/>
  <c r="Y169" i="2" s="1"/>
  <c r="U169" i="2"/>
  <c r="S169" i="2"/>
  <c r="AB168" i="2"/>
  <c r="AA168" i="2"/>
  <c r="X168" i="2"/>
  <c r="Y168" i="2" s="1"/>
  <c r="U168" i="2"/>
  <c r="S168" i="2"/>
  <c r="AB167" i="2"/>
  <c r="AA167" i="2"/>
  <c r="Y167" i="2"/>
  <c r="X167" i="2"/>
  <c r="U167" i="2"/>
  <c r="S167" i="2"/>
  <c r="AB166" i="2"/>
  <c r="AA166" i="2"/>
  <c r="X166" i="2"/>
  <c r="Y166" i="2" s="1"/>
  <c r="U166" i="2"/>
  <c r="S166" i="2"/>
  <c r="AB165" i="2"/>
  <c r="AA165" i="2"/>
  <c r="X165" i="2"/>
  <c r="Y165" i="2" s="1"/>
  <c r="U165" i="2"/>
  <c r="S165" i="2"/>
  <c r="AB164" i="2"/>
  <c r="AA164" i="2"/>
  <c r="X164" i="2"/>
  <c r="Y164" i="2" s="1"/>
  <c r="U164" i="2"/>
  <c r="S164" i="2"/>
  <c r="AB163" i="2"/>
  <c r="AA163" i="2"/>
  <c r="X163" i="2"/>
  <c r="Y163" i="2" s="1"/>
  <c r="U163" i="2"/>
  <c r="S163" i="2"/>
  <c r="AB162" i="2"/>
  <c r="AA162" i="2"/>
  <c r="X162" i="2"/>
  <c r="Y162" i="2" s="1"/>
  <c r="U162" i="2"/>
  <c r="S162" i="2"/>
  <c r="AB161" i="2"/>
  <c r="AA161" i="2"/>
  <c r="X161" i="2"/>
  <c r="Y161" i="2" s="1"/>
  <c r="U161" i="2"/>
  <c r="S161" i="2"/>
  <c r="AB160" i="2"/>
  <c r="AA160" i="2"/>
  <c r="X160" i="2"/>
  <c r="Y160" i="2" s="1"/>
  <c r="U160" i="2"/>
  <c r="S160" i="2"/>
  <c r="AB159" i="2"/>
  <c r="AA159" i="2"/>
  <c r="X159" i="2"/>
  <c r="Y159" i="2" s="1"/>
  <c r="U159" i="2"/>
  <c r="S159" i="2"/>
  <c r="AB158" i="2"/>
  <c r="AA158" i="2"/>
  <c r="X158" i="2"/>
  <c r="Y158" i="2" s="1"/>
  <c r="U158" i="2"/>
  <c r="S158" i="2"/>
  <c r="AB157" i="2"/>
  <c r="AA157" i="2"/>
  <c r="Y157" i="2"/>
  <c r="X157" i="2"/>
  <c r="U157" i="2"/>
  <c r="S157" i="2"/>
  <c r="AB156" i="2"/>
  <c r="AA156" i="2"/>
  <c r="X156" i="2"/>
  <c r="Y156" i="2" s="1"/>
  <c r="U156" i="2"/>
  <c r="S156" i="2"/>
  <c r="AB155" i="2"/>
  <c r="AA155" i="2"/>
  <c r="Y155" i="2"/>
  <c r="X155" i="2"/>
  <c r="U155" i="2"/>
  <c r="S155" i="2"/>
  <c r="AB154" i="2"/>
  <c r="AA154" i="2"/>
  <c r="X154" i="2"/>
  <c r="Y154" i="2" s="1"/>
  <c r="U154" i="2"/>
  <c r="S154" i="2"/>
  <c r="AB153" i="2"/>
  <c r="AA153" i="2"/>
  <c r="X153" i="2"/>
  <c r="Y153" i="2" s="1"/>
  <c r="U153" i="2"/>
  <c r="S153" i="2"/>
  <c r="AB152" i="2"/>
  <c r="AA152" i="2"/>
  <c r="X152" i="2"/>
  <c r="Y152" i="2" s="1"/>
  <c r="U152" i="2"/>
  <c r="S152" i="2"/>
  <c r="AB151" i="2"/>
  <c r="AA151" i="2"/>
  <c r="X151" i="2"/>
  <c r="Y151" i="2" s="1"/>
  <c r="U151" i="2"/>
  <c r="S151" i="2"/>
  <c r="AB150" i="2"/>
  <c r="AA150" i="2"/>
  <c r="X150" i="2"/>
  <c r="Y150" i="2" s="1"/>
  <c r="U150" i="2"/>
  <c r="S150" i="2"/>
  <c r="AB149" i="2"/>
  <c r="AA149" i="2"/>
  <c r="X149" i="2"/>
  <c r="Y149" i="2" s="1"/>
  <c r="U149" i="2"/>
  <c r="S149" i="2"/>
  <c r="AB148" i="2"/>
  <c r="AA148" i="2"/>
  <c r="X148" i="2"/>
  <c r="Y148" i="2" s="1"/>
  <c r="U148" i="2"/>
  <c r="S148" i="2"/>
  <c r="AB147" i="2"/>
  <c r="AA147" i="2"/>
  <c r="X147" i="2"/>
  <c r="Y147" i="2" s="1"/>
  <c r="U147" i="2"/>
  <c r="S147" i="2"/>
  <c r="AB146" i="2"/>
  <c r="AA146" i="2"/>
  <c r="X146" i="2"/>
  <c r="Y146" i="2" s="1"/>
  <c r="U146" i="2"/>
  <c r="S146" i="2"/>
  <c r="AB145" i="2"/>
  <c r="AA145" i="2"/>
  <c r="X145" i="2"/>
  <c r="Y145" i="2" s="1"/>
  <c r="U145" i="2"/>
  <c r="S145" i="2"/>
  <c r="AB144" i="2"/>
  <c r="AA144" i="2"/>
  <c r="X144" i="2"/>
  <c r="Y144" i="2" s="1"/>
  <c r="U144" i="2"/>
  <c r="S144" i="2"/>
  <c r="AB143" i="2"/>
  <c r="AA143" i="2"/>
  <c r="X143" i="2"/>
  <c r="Y143" i="2" s="1"/>
  <c r="U143" i="2"/>
  <c r="S143" i="2"/>
  <c r="AB142" i="2"/>
  <c r="AA142" i="2"/>
  <c r="X142" i="2"/>
  <c r="Y142" i="2" s="1"/>
  <c r="U142" i="2"/>
  <c r="S142" i="2"/>
  <c r="AB141" i="2"/>
  <c r="AA141" i="2"/>
  <c r="X141" i="2"/>
  <c r="Y141" i="2" s="1"/>
  <c r="U141" i="2"/>
  <c r="S141" i="2"/>
  <c r="AB140" i="2"/>
  <c r="AA140" i="2"/>
  <c r="X140" i="2"/>
  <c r="Y140" i="2" s="1"/>
  <c r="U140" i="2"/>
  <c r="S140" i="2"/>
  <c r="AB139" i="2"/>
  <c r="AA139" i="2"/>
  <c r="Y139" i="2"/>
  <c r="X139" i="2"/>
  <c r="U139" i="2"/>
  <c r="S139" i="2"/>
  <c r="AB138" i="2"/>
  <c r="AA138" i="2"/>
  <c r="X138" i="2"/>
  <c r="Y138" i="2" s="1"/>
  <c r="U138" i="2"/>
  <c r="S138" i="2"/>
  <c r="AB137" i="2"/>
  <c r="AA137" i="2"/>
  <c r="Y137" i="2"/>
  <c r="X137" i="2"/>
  <c r="U137" i="2"/>
  <c r="S137" i="2"/>
  <c r="AB136" i="2"/>
  <c r="AA136" i="2"/>
  <c r="X136" i="2"/>
  <c r="Y136" i="2" s="1"/>
  <c r="U136" i="2"/>
  <c r="S136" i="2"/>
  <c r="AB135" i="2"/>
  <c r="AA135" i="2"/>
  <c r="X135" i="2"/>
  <c r="Y135" i="2" s="1"/>
  <c r="U135" i="2"/>
  <c r="S135" i="2"/>
  <c r="AB134" i="2"/>
  <c r="AA134" i="2"/>
  <c r="X134" i="2"/>
  <c r="Y134" i="2" s="1"/>
  <c r="U134" i="2"/>
  <c r="S134" i="2"/>
  <c r="AB133" i="2"/>
  <c r="AA133" i="2"/>
  <c r="X133" i="2"/>
  <c r="Y133" i="2" s="1"/>
  <c r="U133" i="2"/>
  <c r="S133" i="2"/>
  <c r="AB132" i="2"/>
  <c r="AA132" i="2"/>
  <c r="X132" i="2"/>
  <c r="Y132" i="2" s="1"/>
  <c r="U132" i="2"/>
  <c r="S132" i="2"/>
  <c r="AB131" i="2"/>
  <c r="AA131" i="2"/>
  <c r="X131" i="2"/>
  <c r="Y131" i="2" s="1"/>
  <c r="U131" i="2"/>
  <c r="S131" i="2"/>
  <c r="AB130" i="2"/>
  <c r="AA130" i="2"/>
  <c r="X130" i="2"/>
  <c r="Y130" i="2" s="1"/>
  <c r="U130" i="2"/>
  <c r="S130" i="2"/>
  <c r="AB129" i="2"/>
  <c r="AA129" i="2"/>
  <c r="X129" i="2"/>
  <c r="Y129" i="2" s="1"/>
  <c r="U129" i="2"/>
  <c r="S129" i="2"/>
  <c r="AB128" i="2"/>
  <c r="AA128" i="2"/>
  <c r="X128" i="2"/>
  <c r="Y128" i="2" s="1"/>
  <c r="U128" i="2"/>
  <c r="S128" i="2"/>
  <c r="AB127" i="2"/>
  <c r="AA127" i="2"/>
  <c r="X127" i="2"/>
  <c r="Y127" i="2" s="1"/>
  <c r="U127" i="2"/>
  <c r="S127" i="2"/>
  <c r="AB126" i="2"/>
  <c r="AA126" i="2"/>
  <c r="X126" i="2"/>
  <c r="Y126" i="2" s="1"/>
  <c r="U126" i="2"/>
  <c r="S126" i="2"/>
  <c r="AB125" i="2"/>
  <c r="AA125" i="2"/>
  <c r="X125" i="2"/>
  <c r="Y125" i="2" s="1"/>
  <c r="U125" i="2"/>
  <c r="S125" i="2"/>
  <c r="AB124" i="2"/>
  <c r="AA124" i="2"/>
  <c r="X124" i="2"/>
  <c r="Y124" i="2" s="1"/>
  <c r="U124" i="2"/>
  <c r="S124" i="2"/>
  <c r="AB123" i="2"/>
  <c r="AA123" i="2"/>
  <c r="X123" i="2"/>
  <c r="Y123" i="2" s="1"/>
  <c r="U123" i="2"/>
  <c r="S123" i="2"/>
  <c r="AB122" i="2"/>
  <c r="AA122" i="2"/>
  <c r="X122" i="2"/>
  <c r="Y122" i="2" s="1"/>
  <c r="U122" i="2"/>
  <c r="S122" i="2"/>
  <c r="AB121" i="2"/>
  <c r="AA121" i="2"/>
  <c r="Y121" i="2"/>
  <c r="X121" i="2"/>
  <c r="U121" i="2"/>
  <c r="S121" i="2"/>
  <c r="AB120" i="2"/>
  <c r="AA120" i="2"/>
  <c r="X120" i="2"/>
  <c r="Y120" i="2" s="1"/>
  <c r="U120" i="2"/>
  <c r="S120" i="2"/>
  <c r="AB119" i="2"/>
  <c r="AA119" i="2"/>
  <c r="Y119" i="2"/>
  <c r="X119" i="2"/>
  <c r="U119" i="2"/>
  <c r="S119" i="2"/>
  <c r="AB118" i="2"/>
  <c r="AA118" i="2"/>
  <c r="X118" i="2"/>
  <c r="Y118" i="2" s="1"/>
  <c r="U118" i="2"/>
  <c r="S118" i="2"/>
  <c r="AB117" i="2"/>
  <c r="AA117" i="2"/>
  <c r="X117" i="2"/>
  <c r="Y117" i="2" s="1"/>
  <c r="U117" i="2"/>
  <c r="S117" i="2"/>
  <c r="AB116" i="2"/>
  <c r="AA116" i="2"/>
  <c r="X116" i="2"/>
  <c r="Y116" i="2" s="1"/>
  <c r="U116" i="2"/>
  <c r="S116" i="2"/>
  <c r="AB115" i="2"/>
  <c r="AA115" i="2"/>
  <c r="X115" i="2"/>
  <c r="Y115" i="2" s="1"/>
  <c r="U115" i="2"/>
  <c r="S115" i="2"/>
  <c r="AB114" i="2"/>
  <c r="AA114" i="2"/>
  <c r="X114" i="2"/>
  <c r="Y114" i="2" s="1"/>
  <c r="U114" i="2"/>
  <c r="S114" i="2"/>
  <c r="AB113" i="2"/>
  <c r="AA113" i="2"/>
  <c r="X113" i="2"/>
  <c r="Y113" i="2" s="1"/>
  <c r="U113" i="2"/>
  <c r="S113" i="2"/>
  <c r="AB112" i="2"/>
  <c r="AA112" i="2"/>
  <c r="X112" i="2"/>
  <c r="Y112" i="2" s="1"/>
  <c r="U112" i="2"/>
  <c r="S112" i="2"/>
  <c r="AB111" i="2"/>
  <c r="AA111" i="2"/>
  <c r="Y111" i="2"/>
  <c r="X111" i="2"/>
  <c r="U111" i="2"/>
  <c r="S111" i="2"/>
  <c r="AB110" i="2"/>
  <c r="AA110" i="2"/>
  <c r="X110" i="2"/>
  <c r="Y110" i="2" s="1"/>
  <c r="U110" i="2"/>
  <c r="S110" i="2"/>
  <c r="AB109" i="2"/>
  <c r="AA109" i="2"/>
  <c r="X109" i="2"/>
  <c r="Y109" i="2" s="1"/>
  <c r="U109" i="2"/>
  <c r="S109" i="2"/>
  <c r="AB108" i="2"/>
  <c r="AA108" i="2"/>
  <c r="X108" i="2"/>
  <c r="Y108" i="2" s="1"/>
  <c r="U108" i="2"/>
  <c r="S108" i="2"/>
  <c r="AB107" i="2"/>
  <c r="AA107" i="2"/>
  <c r="X107" i="2"/>
  <c r="Y107" i="2" s="1"/>
  <c r="U107" i="2"/>
  <c r="S107" i="2"/>
  <c r="AB106" i="2"/>
  <c r="AA106" i="2"/>
  <c r="X106" i="2"/>
  <c r="Y106" i="2" s="1"/>
  <c r="U106" i="2"/>
  <c r="S106" i="2"/>
  <c r="AB105" i="2"/>
  <c r="AA105" i="2"/>
  <c r="X105" i="2"/>
  <c r="Y105" i="2" s="1"/>
  <c r="U105" i="2"/>
  <c r="S105" i="2"/>
  <c r="AB104" i="2"/>
  <c r="AA104" i="2"/>
  <c r="X104" i="2"/>
  <c r="Y104" i="2" s="1"/>
  <c r="U104" i="2"/>
  <c r="S104" i="2"/>
  <c r="AB103" i="2"/>
  <c r="AA103" i="2"/>
  <c r="Y103" i="2"/>
  <c r="X103" i="2"/>
  <c r="U103" i="2"/>
  <c r="S103" i="2"/>
  <c r="AB102" i="2"/>
  <c r="AA102" i="2"/>
  <c r="X102" i="2"/>
  <c r="Y102" i="2" s="1"/>
  <c r="U102" i="2"/>
  <c r="S102" i="2"/>
  <c r="AB101" i="2"/>
  <c r="AA101" i="2"/>
  <c r="X101" i="2"/>
  <c r="Y101" i="2" s="1"/>
  <c r="U101" i="2"/>
  <c r="S101" i="2"/>
  <c r="AB100" i="2"/>
  <c r="AA100" i="2"/>
  <c r="X100" i="2"/>
  <c r="Y100" i="2" s="1"/>
  <c r="U100" i="2"/>
  <c r="S100" i="2"/>
  <c r="AB99" i="2"/>
  <c r="AA99" i="2"/>
  <c r="X99" i="2"/>
  <c r="Y99" i="2" s="1"/>
  <c r="U99" i="2"/>
  <c r="S99" i="2"/>
  <c r="AB98" i="2"/>
  <c r="AA98" i="2"/>
  <c r="X98" i="2"/>
  <c r="Y98" i="2" s="1"/>
  <c r="U98" i="2"/>
  <c r="S98" i="2"/>
  <c r="AB97" i="2"/>
  <c r="AA97" i="2"/>
  <c r="X97" i="2"/>
  <c r="Y97" i="2" s="1"/>
  <c r="U97" i="2"/>
  <c r="S97" i="2"/>
  <c r="AB96" i="2"/>
  <c r="AA96" i="2"/>
  <c r="X96" i="2"/>
  <c r="Y96" i="2" s="1"/>
  <c r="U96" i="2"/>
  <c r="S96" i="2"/>
  <c r="AB95" i="2"/>
  <c r="AA95" i="2"/>
  <c r="X95" i="2"/>
  <c r="Y95" i="2" s="1"/>
  <c r="U95" i="2"/>
  <c r="S95" i="2"/>
  <c r="AB94" i="2"/>
  <c r="AA94" i="2"/>
  <c r="X94" i="2"/>
  <c r="Y94" i="2" s="1"/>
  <c r="U94" i="2"/>
  <c r="S94" i="2"/>
  <c r="AB93" i="2"/>
  <c r="AA93" i="2"/>
  <c r="Y93" i="2"/>
  <c r="X93" i="2"/>
  <c r="U93" i="2"/>
  <c r="S93" i="2"/>
  <c r="AB92" i="2"/>
  <c r="AA92" i="2"/>
  <c r="X92" i="2"/>
  <c r="Y92" i="2" s="1"/>
  <c r="U92" i="2"/>
  <c r="S92" i="2"/>
  <c r="AB91" i="2"/>
  <c r="AA91" i="2"/>
  <c r="Y91" i="2"/>
  <c r="X91" i="2"/>
  <c r="U91" i="2"/>
  <c r="S91" i="2"/>
  <c r="AB90" i="2"/>
  <c r="AA90" i="2"/>
  <c r="X90" i="2"/>
  <c r="Y90" i="2" s="1"/>
  <c r="U90" i="2"/>
  <c r="S90" i="2"/>
  <c r="AB89" i="2"/>
  <c r="AA89" i="2"/>
  <c r="Y89" i="2"/>
  <c r="X89" i="2"/>
  <c r="U89" i="2"/>
  <c r="S89" i="2"/>
  <c r="AB88" i="2"/>
  <c r="AA88" i="2"/>
  <c r="X88" i="2"/>
  <c r="Y88" i="2" s="1"/>
  <c r="U88" i="2"/>
  <c r="S88" i="2"/>
  <c r="AB87" i="2"/>
  <c r="AA87" i="2"/>
  <c r="X87" i="2"/>
  <c r="Y87" i="2" s="1"/>
  <c r="U87" i="2"/>
  <c r="S87" i="2"/>
  <c r="AB86" i="2"/>
  <c r="AA86" i="2"/>
  <c r="X86" i="2"/>
  <c r="Y86" i="2" s="1"/>
  <c r="U86" i="2"/>
  <c r="S86" i="2"/>
  <c r="AB85" i="2"/>
  <c r="AA85" i="2"/>
  <c r="X85" i="2"/>
  <c r="Y85" i="2" s="1"/>
  <c r="U85" i="2"/>
  <c r="S85" i="2"/>
  <c r="AB84" i="2"/>
  <c r="AA84" i="2"/>
  <c r="X84" i="2"/>
  <c r="Y84" i="2" s="1"/>
  <c r="U84" i="2"/>
  <c r="S84" i="2"/>
  <c r="AB83" i="2"/>
  <c r="AA83" i="2"/>
  <c r="X83" i="2"/>
  <c r="Y83" i="2" s="1"/>
  <c r="U83" i="2"/>
  <c r="S83" i="2"/>
  <c r="AB82" i="2"/>
  <c r="AA82" i="2"/>
  <c r="X82" i="2"/>
  <c r="Y82" i="2" s="1"/>
  <c r="U82" i="2"/>
  <c r="S82" i="2"/>
  <c r="AB81" i="2"/>
  <c r="AA81" i="2"/>
  <c r="X81" i="2"/>
  <c r="Y81" i="2" s="1"/>
  <c r="U81" i="2"/>
  <c r="S81" i="2"/>
  <c r="AB80" i="2"/>
  <c r="AA80" i="2"/>
  <c r="X80" i="2"/>
  <c r="Y80" i="2" s="1"/>
  <c r="U80" i="2"/>
  <c r="S80" i="2"/>
  <c r="AB79" i="2"/>
  <c r="AA79" i="2"/>
  <c r="X79" i="2"/>
  <c r="Y79" i="2" s="1"/>
  <c r="U79" i="2"/>
  <c r="S79" i="2"/>
  <c r="AB78" i="2"/>
  <c r="AA78" i="2"/>
  <c r="X78" i="2"/>
  <c r="Y78" i="2" s="1"/>
  <c r="U78" i="2"/>
  <c r="S78" i="2"/>
  <c r="AB77" i="2"/>
  <c r="AA77" i="2"/>
  <c r="X77" i="2"/>
  <c r="Y77" i="2" s="1"/>
  <c r="U77" i="2"/>
  <c r="S77" i="2"/>
  <c r="AB76" i="2"/>
  <c r="AA76" i="2"/>
  <c r="X76" i="2"/>
  <c r="Y76" i="2" s="1"/>
  <c r="U76" i="2"/>
  <c r="S76" i="2"/>
  <c r="AB75" i="2"/>
  <c r="AA75" i="2"/>
  <c r="Y75" i="2"/>
  <c r="X75" i="2"/>
  <c r="U75" i="2"/>
  <c r="S75" i="2"/>
  <c r="AB74" i="2"/>
  <c r="AA74" i="2"/>
  <c r="X74" i="2"/>
  <c r="Y74" i="2" s="1"/>
  <c r="U74" i="2"/>
  <c r="S74" i="2"/>
  <c r="AB73" i="2"/>
  <c r="AA73" i="2"/>
  <c r="Y73" i="2"/>
  <c r="X73" i="2"/>
  <c r="U73" i="2"/>
  <c r="S73" i="2"/>
  <c r="AB72" i="2"/>
  <c r="AA72" i="2"/>
  <c r="X72" i="2"/>
  <c r="Y72" i="2" s="1"/>
  <c r="U72" i="2"/>
  <c r="S72" i="2"/>
  <c r="AB71" i="2"/>
  <c r="AA71" i="2"/>
  <c r="X71" i="2"/>
  <c r="Y71" i="2" s="1"/>
  <c r="U71" i="2"/>
  <c r="S71" i="2"/>
  <c r="AB70" i="2"/>
  <c r="AA70" i="2"/>
  <c r="X70" i="2"/>
  <c r="Y70" i="2" s="1"/>
  <c r="U70" i="2"/>
  <c r="S70" i="2"/>
  <c r="AB69" i="2"/>
  <c r="AA69" i="2"/>
  <c r="X69" i="2"/>
  <c r="Y69" i="2" s="1"/>
  <c r="U69" i="2"/>
  <c r="S69" i="2"/>
  <c r="AB68" i="2"/>
  <c r="AA68" i="2"/>
  <c r="X68" i="2"/>
  <c r="Y68" i="2" s="1"/>
  <c r="U68" i="2"/>
  <c r="S68" i="2"/>
  <c r="AB67" i="2"/>
  <c r="AA67" i="2"/>
  <c r="X67" i="2"/>
  <c r="Y67" i="2" s="1"/>
  <c r="U67" i="2"/>
  <c r="S67" i="2"/>
  <c r="AB66" i="2"/>
  <c r="AA66" i="2"/>
  <c r="X66" i="2"/>
  <c r="Y66" i="2" s="1"/>
  <c r="U66" i="2"/>
  <c r="S66" i="2"/>
  <c r="AB65" i="2"/>
  <c r="AA65" i="2"/>
  <c r="X65" i="2"/>
  <c r="Y65" i="2" s="1"/>
  <c r="U65" i="2"/>
  <c r="S65" i="2"/>
  <c r="AB64" i="2"/>
  <c r="AA64" i="2"/>
  <c r="X64" i="2"/>
  <c r="Y64" i="2" s="1"/>
  <c r="U64" i="2"/>
  <c r="S64" i="2"/>
  <c r="AB63" i="2"/>
  <c r="AA63" i="2"/>
  <c r="X63" i="2"/>
  <c r="Y63" i="2" s="1"/>
  <c r="U63" i="2"/>
  <c r="S63" i="2"/>
  <c r="AB62" i="2"/>
  <c r="AA62" i="2"/>
  <c r="X62" i="2"/>
  <c r="Y62" i="2" s="1"/>
  <c r="U62" i="2"/>
  <c r="S62" i="2"/>
  <c r="AB61" i="2"/>
  <c r="AA61" i="2"/>
  <c r="X61" i="2"/>
  <c r="Y61" i="2" s="1"/>
  <c r="U61" i="2"/>
  <c r="S61" i="2"/>
  <c r="AB60" i="2"/>
  <c r="AA60" i="2"/>
  <c r="X60" i="2"/>
  <c r="Y60" i="2" s="1"/>
  <c r="U60" i="2"/>
  <c r="S60" i="2"/>
  <c r="AB59" i="2"/>
  <c r="AA59" i="2"/>
  <c r="X59" i="2"/>
  <c r="Y59" i="2" s="1"/>
  <c r="U59" i="2"/>
  <c r="S59" i="2"/>
  <c r="AB58" i="2"/>
  <c r="AA58" i="2"/>
  <c r="X58" i="2"/>
  <c r="Y58" i="2" s="1"/>
  <c r="U58" i="2"/>
  <c r="S58" i="2"/>
  <c r="AB57" i="2"/>
  <c r="AA57" i="2"/>
  <c r="Y57" i="2"/>
  <c r="X57" i="2"/>
  <c r="U57" i="2"/>
  <c r="S57" i="2"/>
  <c r="AB56" i="2"/>
  <c r="AA56" i="2"/>
  <c r="X56" i="2"/>
  <c r="Y56" i="2" s="1"/>
  <c r="U56" i="2"/>
  <c r="S56" i="2"/>
  <c r="AB55" i="2"/>
  <c r="AA55" i="2"/>
  <c r="X55" i="2"/>
  <c r="Y55" i="2" s="1"/>
  <c r="U55" i="2"/>
  <c r="S55" i="2"/>
  <c r="AB54" i="2"/>
  <c r="AA54" i="2"/>
  <c r="X54" i="2"/>
  <c r="Y54" i="2" s="1"/>
  <c r="U54" i="2"/>
  <c r="S54" i="2"/>
  <c r="AB53" i="2"/>
  <c r="AA53" i="2"/>
  <c r="X53" i="2"/>
  <c r="Y53" i="2" s="1"/>
  <c r="U53" i="2"/>
  <c r="S53" i="2"/>
  <c r="AB52" i="2"/>
  <c r="AA52" i="2"/>
  <c r="X52" i="2"/>
  <c r="Y52" i="2" s="1"/>
  <c r="U52" i="2"/>
  <c r="S52" i="2"/>
  <c r="AB51" i="2"/>
  <c r="AA51" i="2"/>
  <c r="X51" i="2"/>
  <c r="Y51" i="2" s="1"/>
  <c r="U51" i="2"/>
  <c r="S51" i="2"/>
  <c r="AB50" i="2"/>
  <c r="AA50" i="2"/>
  <c r="X50" i="2"/>
  <c r="Y50" i="2" s="1"/>
  <c r="U50" i="2"/>
  <c r="S50" i="2"/>
  <c r="AB49" i="2"/>
  <c r="AA49" i="2"/>
  <c r="X49" i="2"/>
  <c r="Y49" i="2" s="1"/>
  <c r="U49" i="2"/>
  <c r="S49" i="2"/>
  <c r="X48" i="2"/>
  <c r="Y48" i="2" s="1"/>
  <c r="S48" i="2"/>
  <c r="U48" i="2" s="1"/>
  <c r="AB47" i="2"/>
  <c r="AA47" i="2"/>
  <c r="U47" i="2"/>
  <c r="S47" i="2"/>
  <c r="AB46" i="2"/>
  <c r="AA46" i="2"/>
  <c r="X46" i="2"/>
  <c r="Y46" i="2" s="1"/>
  <c r="U46" i="2"/>
  <c r="S46" i="2"/>
  <c r="AB45" i="2"/>
  <c r="AA45" i="2"/>
  <c r="X45" i="2"/>
  <c r="Y45" i="2" s="1"/>
  <c r="U45" i="2"/>
  <c r="S45" i="2"/>
  <c r="AB44" i="2"/>
  <c r="AA44" i="2"/>
  <c r="X44" i="2"/>
  <c r="Y44" i="2" s="1"/>
  <c r="U44" i="2"/>
  <c r="S44" i="2"/>
  <c r="AB43" i="2"/>
  <c r="AA43" i="2"/>
  <c r="X43" i="2"/>
  <c r="Y43" i="2" s="1"/>
  <c r="U43" i="2"/>
  <c r="S43" i="2"/>
  <c r="AB42" i="2"/>
  <c r="AA42" i="2"/>
  <c r="X42" i="2"/>
  <c r="Y42" i="2" s="1"/>
  <c r="U42" i="2"/>
  <c r="S42" i="2"/>
  <c r="AB41" i="2"/>
  <c r="AA41" i="2"/>
  <c r="Y41" i="2"/>
  <c r="X41" i="2"/>
  <c r="U41" i="2"/>
  <c r="S41" i="2"/>
  <c r="AB40" i="2"/>
  <c r="AA40" i="2"/>
  <c r="X40" i="2"/>
  <c r="Y40" i="2" s="1"/>
  <c r="U40" i="2"/>
  <c r="S40" i="2"/>
  <c r="AB39" i="2"/>
  <c r="AA39" i="2"/>
  <c r="X39" i="2"/>
  <c r="Y39" i="2" s="1"/>
  <c r="U39" i="2"/>
  <c r="S39" i="2"/>
  <c r="AB38" i="2"/>
  <c r="AA38" i="2"/>
  <c r="X38" i="2"/>
  <c r="Y38" i="2" s="1"/>
  <c r="U38" i="2"/>
  <c r="S38" i="2"/>
  <c r="AB37" i="2"/>
  <c r="AA37" i="2"/>
  <c r="X37" i="2"/>
  <c r="Y37" i="2" s="1"/>
  <c r="U37" i="2"/>
  <c r="S37" i="2"/>
  <c r="AB36" i="2"/>
  <c r="AA36" i="2"/>
  <c r="X36" i="2"/>
  <c r="Y36" i="2" s="1"/>
  <c r="U36" i="2"/>
  <c r="S36" i="2"/>
  <c r="AB35" i="2"/>
  <c r="AA35" i="2"/>
  <c r="Y35" i="2"/>
  <c r="X35" i="2"/>
  <c r="U35" i="2"/>
  <c r="S35" i="2"/>
  <c r="AB34" i="2"/>
  <c r="AA34" i="2"/>
  <c r="X34" i="2"/>
  <c r="Y34" i="2" s="1"/>
  <c r="U34" i="2"/>
  <c r="S34" i="2"/>
  <c r="AB33" i="2"/>
  <c r="AA33" i="2"/>
  <c r="Y33" i="2"/>
  <c r="X33" i="2"/>
  <c r="U33" i="2"/>
  <c r="S33" i="2"/>
  <c r="AB32" i="2"/>
  <c r="AA32" i="2"/>
  <c r="X32" i="2"/>
  <c r="Y32" i="2" s="1"/>
  <c r="U32" i="2"/>
  <c r="S32" i="2"/>
  <c r="AB31" i="2"/>
  <c r="AA31" i="2"/>
  <c r="X31" i="2"/>
  <c r="Y31" i="2" s="1"/>
  <c r="U31" i="2"/>
  <c r="S31" i="2"/>
  <c r="AB30" i="2"/>
  <c r="AA30" i="2"/>
  <c r="X30" i="2"/>
  <c r="Y30" i="2" s="1"/>
  <c r="U30" i="2"/>
  <c r="S30" i="2"/>
  <c r="AB29" i="2"/>
  <c r="AA29" i="2"/>
  <c r="X29" i="2"/>
  <c r="Y29" i="2" s="1"/>
  <c r="U29" i="2"/>
  <c r="S29" i="2"/>
  <c r="AB28" i="2"/>
  <c r="AA28" i="2"/>
  <c r="X28" i="2"/>
  <c r="Y28" i="2" s="1"/>
  <c r="U28" i="2"/>
  <c r="S28" i="2"/>
  <c r="AB27" i="2"/>
  <c r="AA27" i="2"/>
  <c r="U27" i="2"/>
  <c r="S27" i="2"/>
  <c r="AB26" i="2"/>
  <c r="AA26" i="2"/>
  <c r="Y26" i="2"/>
  <c r="X26" i="2"/>
  <c r="U26" i="2"/>
  <c r="S26" i="2"/>
  <c r="AB25" i="2"/>
  <c r="AA25" i="2"/>
  <c r="X25" i="2"/>
  <c r="Y25" i="2" s="1"/>
  <c r="U25" i="2"/>
  <c r="S25" i="2"/>
  <c r="AB24" i="2"/>
  <c r="AA24" i="2"/>
  <c r="X24" i="2"/>
  <c r="Y24" i="2" s="1"/>
  <c r="U24" i="2"/>
  <c r="S24" i="2"/>
  <c r="AB23" i="2"/>
  <c r="AA23" i="2"/>
  <c r="X23" i="2"/>
  <c r="Y23" i="2" s="1"/>
  <c r="U23" i="2"/>
  <c r="S23" i="2"/>
  <c r="AB22" i="2"/>
  <c r="AA22" i="2"/>
  <c r="X22" i="2"/>
  <c r="Y22" i="2" s="1"/>
  <c r="U22" i="2"/>
  <c r="S22" i="2"/>
  <c r="AB21" i="2"/>
  <c r="AA21" i="2"/>
  <c r="X21" i="2"/>
  <c r="Y21" i="2" s="1"/>
  <c r="U21" i="2"/>
  <c r="S21" i="2"/>
  <c r="AB20" i="2"/>
  <c r="AA20" i="2"/>
  <c r="X20" i="2"/>
  <c r="Y20" i="2" s="1"/>
  <c r="U20" i="2"/>
  <c r="S20" i="2"/>
  <c r="AB19" i="2"/>
  <c r="AA19" i="2"/>
  <c r="X19" i="2"/>
  <c r="Y19" i="2" s="1"/>
  <c r="U19" i="2"/>
  <c r="S19" i="2"/>
  <c r="AB18" i="2"/>
  <c r="AA18" i="2"/>
  <c r="X18" i="2"/>
  <c r="Y18" i="2" s="1"/>
  <c r="U18" i="2"/>
  <c r="S18" i="2"/>
  <c r="AB17" i="2"/>
  <c r="AA17" i="2"/>
  <c r="X17" i="2"/>
  <c r="Y17" i="2" s="1"/>
  <c r="U17" i="2"/>
  <c r="S17" i="2"/>
  <c r="AB16" i="2"/>
  <c r="AA16" i="2"/>
  <c r="X16" i="2"/>
  <c r="Y16" i="2" s="1"/>
  <c r="U16" i="2"/>
  <c r="S16" i="2"/>
  <c r="AB15" i="2"/>
  <c r="AA15" i="2"/>
  <c r="X15" i="2"/>
  <c r="Y15" i="2" s="1"/>
  <c r="U15" i="2"/>
  <c r="S15" i="2"/>
  <c r="A15" i="2"/>
  <c r="AB14" i="2"/>
  <c r="AA14" i="2"/>
  <c r="Y14" i="2"/>
  <c r="X14" i="2"/>
  <c r="U14" i="2"/>
  <c r="S14" i="2"/>
  <c r="A14" i="2"/>
  <c r="AB13" i="2"/>
  <c r="AA13" i="2"/>
  <c r="X13" i="2"/>
  <c r="Y13" i="2" s="1"/>
  <c r="U13" i="2"/>
  <c r="S13" i="2"/>
  <c r="A13" i="2"/>
  <c r="AB12" i="2"/>
  <c r="AA12" i="2"/>
  <c r="X12" i="2"/>
  <c r="Y12" i="2" s="1"/>
  <c r="U12" i="2"/>
  <c r="S12" i="2"/>
  <c r="A12" i="2"/>
  <c r="AB11" i="2"/>
  <c r="AA11" i="2"/>
  <c r="Y11" i="2"/>
  <c r="X11" i="2"/>
  <c r="U11" i="2"/>
  <c r="S11" i="2"/>
  <c r="A11" i="2"/>
  <c r="AB10" i="2"/>
  <c r="AA10" i="2"/>
  <c r="X10" i="2"/>
  <c r="Y10" i="2" s="1"/>
  <c r="U10" i="2"/>
  <c r="S10" i="2"/>
  <c r="A10" i="2"/>
  <c r="AB9" i="2"/>
  <c r="AA9" i="2"/>
  <c r="Y9" i="2"/>
  <c r="X9" i="2"/>
  <c r="U9" i="2"/>
  <c r="S9" i="2"/>
  <c r="A9" i="2"/>
  <c r="AA8" i="2"/>
  <c r="X8" i="2"/>
  <c r="Y8" i="2" s="1"/>
  <c r="S8" i="2"/>
  <c r="U8" i="2" s="1"/>
  <c r="A8" i="2"/>
  <c r="T213" i="3"/>
  <c r="AA212" i="3"/>
  <c r="Y212" i="3"/>
  <c r="X212" i="3"/>
  <c r="U212" i="3"/>
  <c r="S212" i="3"/>
  <c r="AA211" i="3"/>
  <c r="X211" i="3"/>
  <c r="Y211" i="3" s="1"/>
  <c r="U211" i="3"/>
  <c r="S211" i="3"/>
  <c r="AA210" i="3"/>
  <c r="X210" i="3"/>
  <c r="Y210" i="3" s="1"/>
  <c r="U210" i="3"/>
  <c r="S210" i="3"/>
  <c r="AA209" i="3"/>
  <c r="X209" i="3"/>
  <c r="Y209" i="3" s="1"/>
  <c r="U209" i="3"/>
  <c r="S209" i="3"/>
  <c r="AA208" i="3"/>
  <c r="X208" i="3"/>
  <c r="Y208" i="3" s="1"/>
  <c r="U208" i="3"/>
  <c r="S208" i="3"/>
  <c r="AA207" i="3"/>
  <c r="X207" i="3"/>
  <c r="Y207" i="3" s="1"/>
  <c r="U207" i="3"/>
  <c r="S207" i="3"/>
  <c r="AA206" i="3"/>
  <c r="Y206" i="3"/>
  <c r="X206" i="3"/>
  <c r="U206" i="3"/>
  <c r="S206" i="3"/>
  <c r="AA205" i="3"/>
  <c r="X205" i="3"/>
  <c r="Y205" i="3" s="1"/>
  <c r="U205" i="3"/>
  <c r="S205" i="3"/>
  <c r="AA204" i="3"/>
  <c r="X204" i="3"/>
  <c r="Y204" i="3" s="1"/>
  <c r="U204" i="3"/>
  <c r="S204" i="3"/>
  <c r="AA203" i="3"/>
  <c r="X203" i="3"/>
  <c r="Y203" i="3" s="1"/>
  <c r="U203" i="3"/>
  <c r="S203" i="3"/>
  <c r="AA202" i="3"/>
  <c r="Y202" i="3"/>
  <c r="X202" i="3"/>
  <c r="U202" i="3"/>
  <c r="S202" i="3"/>
  <c r="AA201" i="3"/>
  <c r="X201" i="3"/>
  <c r="Y201" i="3" s="1"/>
  <c r="U201" i="3"/>
  <c r="S201" i="3"/>
  <c r="AA200" i="3"/>
  <c r="X200" i="3"/>
  <c r="Y200" i="3" s="1"/>
  <c r="U200" i="3"/>
  <c r="S200" i="3"/>
  <c r="AA199" i="3"/>
  <c r="X199" i="3"/>
  <c r="Y199" i="3" s="1"/>
  <c r="U199" i="3"/>
  <c r="S199" i="3"/>
  <c r="AA198" i="3"/>
  <c r="X198" i="3"/>
  <c r="Y198" i="3" s="1"/>
  <c r="U198" i="3"/>
  <c r="S198" i="3"/>
  <c r="AA197" i="3"/>
  <c r="X197" i="3"/>
  <c r="Y197" i="3" s="1"/>
  <c r="U197" i="3"/>
  <c r="S197" i="3"/>
  <c r="AA196" i="3"/>
  <c r="Y196" i="3"/>
  <c r="X196" i="3"/>
  <c r="U196" i="3"/>
  <c r="S196" i="3"/>
  <c r="AA195" i="3"/>
  <c r="X195" i="3"/>
  <c r="Y195" i="3" s="1"/>
  <c r="U195" i="3"/>
  <c r="S195" i="3"/>
  <c r="AA194" i="3"/>
  <c r="X194" i="3"/>
  <c r="Y194" i="3" s="1"/>
  <c r="U194" i="3"/>
  <c r="S194" i="3"/>
  <c r="AA193" i="3"/>
  <c r="X193" i="3"/>
  <c r="Y193" i="3" s="1"/>
  <c r="U193" i="3"/>
  <c r="S193" i="3"/>
  <c r="AA192" i="3"/>
  <c r="X192" i="3"/>
  <c r="Y192" i="3" s="1"/>
  <c r="U192" i="3"/>
  <c r="S192" i="3"/>
  <c r="AA191" i="3"/>
  <c r="X191" i="3"/>
  <c r="Y191" i="3" s="1"/>
  <c r="U191" i="3"/>
  <c r="S191" i="3"/>
  <c r="AA190" i="3"/>
  <c r="X190" i="3"/>
  <c r="Y190" i="3" s="1"/>
  <c r="U190" i="3"/>
  <c r="S190" i="3"/>
  <c r="AA189" i="3"/>
  <c r="X189" i="3"/>
  <c r="Y189" i="3" s="1"/>
  <c r="U189" i="3"/>
  <c r="S189" i="3"/>
  <c r="AA188" i="3"/>
  <c r="X188" i="3"/>
  <c r="Y188" i="3" s="1"/>
  <c r="U188" i="3"/>
  <c r="S188" i="3"/>
  <c r="AA187" i="3"/>
  <c r="X187" i="3"/>
  <c r="Y187" i="3" s="1"/>
  <c r="U187" i="3"/>
  <c r="S187" i="3"/>
  <c r="AA186" i="3"/>
  <c r="Y186" i="3"/>
  <c r="X186" i="3"/>
  <c r="U186" i="3"/>
  <c r="S186" i="3"/>
  <c r="AA185" i="3"/>
  <c r="X185" i="3"/>
  <c r="Y185" i="3" s="1"/>
  <c r="U185" i="3"/>
  <c r="S185" i="3"/>
  <c r="AA184" i="3"/>
  <c r="X184" i="3"/>
  <c r="Y184" i="3" s="1"/>
  <c r="U184" i="3"/>
  <c r="S184" i="3"/>
  <c r="AA183" i="3"/>
  <c r="X183" i="3"/>
  <c r="Y183" i="3" s="1"/>
  <c r="U183" i="3"/>
  <c r="S183" i="3"/>
  <c r="AA182" i="3"/>
  <c r="X182" i="3"/>
  <c r="Y182" i="3" s="1"/>
  <c r="U182" i="3"/>
  <c r="S182" i="3"/>
  <c r="AA181" i="3"/>
  <c r="X181" i="3"/>
  <c r="Y181" i="3" s="1"/>
  <c r="U181" i="3"/>
  <c r="S181" i="3"/>
  <c r="AA180" i="3"/>
  <c r="X180" i="3"/>
  <c r="Y180" i="3" s="1"/>
  <c r="U180" i="3"/>
  <c r="S180" i="3"/>
  <c r="AA179" i="3"/>
  <c r="X179" i="3"/>
  <c r="Y179" i="3" s="1"/>
  <c r="U179" i="3"/>
  <c r="S179" i="3"/>
  <c r="AA178" i="3"/>
  <c r="Y178" i="3"/>
  <c r="X178" i="3"/>
  <c r="U178" i="3"/>
  <c r="S178" i="3"/>
  <c r="AA177" i="3"/>
  <c r="X177" i="3"/>
  <c r="Y177" i="3" s="1"/>
  <c r="U177" i="3"/>
  <c r="S177" i="3"/>
  <c r="AA176" i="3"/>
  <c r="X176" i="3"/>
  <c r="Y176" i="3" s="1"/>
  <c r="U176" i="3"/>
  <c r="S176" i="3"/>
  <c r="AA175" i="3"/>
  <c r="X175" i="3"/>
  <c r="Y175" i="3" s="1"/>
  <c r="U175" i="3"/>
  <c r="S175" i="3"/>
  <c r="AA174" i="3"/>
  <c r="X174" i="3"/>
  <c r="Y174" i="3" s="1"/>
  <c r="U174" i="3"/>
  <c r="S174" i="3"/>
  <c r="AA173" i="3"/>
  <c r="X173" i="3"/>
  <c r="Y173" i="3" s="1"/>
  <c r="U173" i="3"/>
  <c r="S173" i="3"/>
  <c r="AA172" i="3"/>
  <c r="X172" i="3"/>
  <c r="Y172" i="3" s="1"/>
  <c r="U172" i="3"/>
  <c r="S172" i="3"/>
  <c r="AA171" i="3"/>
  <c r="X171" i="3"/>
  <c r="Y171" i="3" s="1"/>
  <c r="U171" i="3"/>
  <c r="S171" i="3"/>
  <c r="AA170" i="3"/>
  <c r="Y170" i="3"/>
  <c r="X170" i="3"/>
  <c r="U170" i="3"/>
  <c r="S170" i="3"/>
  <c r="AA169" i="3"/>
  <c r="X169" i="3"/>
  <c r="Y169" i="3" s="1"/>
  <c r="U169" i="3"/>
  <c r="S169" i="3"/>
  <c r="AA168" i="3"/>
  <c r="X168" i="3"/>
  <c r="Y168" i="3" s="1"/>
  <c r="U168" i="3"/>
  <c r="S168" i="3"/>
  <c r="AA167" i="3"/>
  <c r="X167" i="3"/>
  <c r="Y167" i="3" s="1"/>
  <c r="U167" i="3"/>
  <c r="S167" i="3"/>
  <c r="AA166" i="3"/>
  <c r="X166" i="3"/>
  <c r="Y166" i="3" s="1"/>
  <c r="U166" i="3"/>
  <c r="S166" i="3"/>
  <c r="AA165" i="3"/>
  <c r="X165" i="3"/>
  <c r="Y165" i="3" s="1"/>
  <c r="U165" i="3"/>
  <c r="S165" i="3"/>
  <c r="AA164" i="3"/>
  <c r="Y164" i="3"/>
  <c r="X164" i="3"/>
  <c r="U164" i="3"/>
  <c r="S164" i="3"/>
  <c r="AA163" i="3"/>
  <c r="X163" i="3"/>
  <c r="Y163" i="3" s="1"/>
  <c r="U163" i="3"/>
  <c r="S163" i="3"/>
  <c r="AA162" i="3"/>
  <c r="X162" i="3"/>
  <c r="Y162" i="3" s="1"/>
  <c r="U162" i="3"/>
  <c r="S162" i="3"/>
  <c r="AA161" i="3"/>
  <c r="X161" i="3"/>
  <c r="Y161" i="3" s="1"/>
  <c r="U161" i="3"/>
  <c r="S161" i="3"/>
  <c r="AA160" i="3"/>
  <c r="X160" i="3"/>
  <c r="Y160" i="3" s="1"/>
  <c r="U160" i="3"/>
  <c r="S160" i="3"/>
  <c r="AA159" i="3"/>
  <c r="X159" i="3"/>
  <c r="Y159" i="3" s="1"/>
  <c r="U159" i="3"/>
  <c r="S159" i="3"/>
  <c r="AA158" i="3"/>
  <c r="X158" i="3"/>
  <c r="Y158" i="3" s="1"/>
  <c r="U158" i="3"/>
  <c r="S158" i="3"/>
  <c r="AA157" i="3"/>
  <c r="X157" i="3"/>
  <c r="Y157" i="3" s="1"/>
  <c r="U157" i="3"/>
  <c r="S157" i="3"/>
  <c r="AA156" i="3"/>
  <c r="X156" i="3"/>
  <c r="Y156" i="3" s="1"/>
  <c r="U156" i="3"/>
  <c r="S156" i="3"/>
  <c r="AA155" i="3"/>
  <c r="X155" i="3"/>
  <c r="Y155" i="3" s="1"/>
  <c r="U155" i="3"/>
  <c r="S155" i="3"/>
  <c r="AA154" i="3"/>
  <c r="Y154" i="3"/>
  <c r="X154" i="3"/>
  <c r="U154" i="3"/>
  <c r="S154" i="3"/>
  <c r="AA153" i="3"/>
  <c r="X153" i="3"/>
  <c r="Y153" i="3" s="1"/>
  <c r="U153" i="3"/>
  <c r="S153" i="3"/>
  <c r="AA152" i="3"/>
  <c r="X152" i="3"/>
  <c r="Y152" i="3" s="1"/>
  <c r="U152" i="3"/>
  <c r="S152" i="3"/>
  <c r="AA151" i="3"/>
  <c r="X151" i="3"/>
  <c r="Y151" i="3" s="1"/>
  <c r="U151" i="3"/>
  <c r="S151" i="3"/>
  <c r="AA150" i="3"/>
  <c r="X150" i="3"/>
  <c r="Y150" i="3" s="1"/>
  <c r="U150" i="3"/>
  <c r="S150" i="3"/>
  <c r="AA149" i="3"/>
  <c r="X149" i="3"/>
  <c r="Y149" i="3" s="1"/>
  <c r="U149" i="3"/>
  <c r="S149" i="3"/>
  <c r="AA148" i="3"/>
  <c r="X148" i="3"/>
  <c r="Y148" i="3" s="1"/>
  <c r="U148" i="3"/>
  <c r="S148" i="3"/>
  <c r="AA147" i="3"/>
  <c r="X147" i="3"/>
  <c r="Y147" i="3" s="1"/>
  <c r="U147" i="3"/>
  <c r="S147" i="3"/>
  <c r="AA146" i="3"/>
  <c r="Y146" i="3"/>
  <c r="X146" i="3"/>
  <c r="U146" i="3"/>
  <c r="S146" i="3"/>
  <c r="AA145" i="3"/>
  <c r="X145" i="3"/>
  <c r="Y145" i="3" s="1"/>
  <c r="U145" i="3"/>
  <c r="S145" i="3"/>
  <c r="AA144" i="3"/>
  <c r="X144" i="3"/>
  <c r="Y144" i="3" s="1"/>
  <c r="U144" i="3"/>
  <c r="S144" i="3"/>
  <c r="AA143" i="3"/>
  <c r="X143" i="3"/>
  <c r="Y143" i="3" s="1"/>
  <c r="U143" i="3"/>
  <c r="S143" i="3"/>
  <c r="AA142" i="3"/>
  <c r="X142" i="3"/>
  <c r="Y142" i="3" s="1"/>
  <c r="U142" i="3"/>
  <c r="S142" i="3"/>
  <c r="AA141" i="3"/>
  <c r="X141" i="3"/>
  <c r="Y141" i="3" s="1"/>
  <c r="U141" i="3"/>
  <c r="S141" i="3"/>
  <c r="AA140" i="3"/>
  <c r="X140" i="3"/>
  <c r="Y140" i="3" s="1"/>
  <c r="U140" i="3"/>
  <c r="S140" i="3"/>
  <c r="AA139" i="3"/>
  <c r="X139" i="3"/>
  <c r="Y139" i="3" s="1"/>
  <c r="U139" i="3"/>
  <c r="S139" i="3"/>
  <c r="AA138" i="3"/>
  <c r="Y138" i="3"/>
  <c r="X138" i="3"/>
  <c r="U138" i="3"/>
  <c r="S138" i="3"/>
  <c r="AA137" i="3"/>
  <c r="X137" i="3"/>
  <c r="Y137" i="3" s="1"/>
  <c r="U137" i="3"/>
  <c r="S137" i="3"/>
  <c r="AA136" i="3"/>
  <c r="X136" i="3"/>
  <c r="Y136" i="3" s="1"/>
  <c r="U136" i="3"/>
  <c r="S136" i="3"/>
  <c r="AA135" i="3"/>
  <c r="X135" i="3"/>
  <c r="Y135" i="3" s="1"/>
  <c r="U135" i="3"/>
  <c r="S135" i="3"/>
  <c r="AA134" i="3"/>
  <c r="X134" i="3"/>
  <c r="Y134" i="3" s="1"/>
  <c r="U134" i="3"/>
  <c r="S134" i="3"/>
  <c r="AA133" i="3"/>
  <c r="X133" i="3"/>
  <c r="Y133" i="3" s="1"/>
  <c r="U133" i="3"/>
  <c r="S133" i="3"/>
  <c r="AA132" i="3"/>
  <c r="Y132" i="3"/>
  <c r="X132" i="3"/>
  <c r="U132" i="3"/>
  <c r="S132" i="3"/>
  <c r="AA131" i="3"/>
  <c r="X131" i="3"/>
  <c r="Y131" i="3" s="1"/>
  <c r="U131" i="3"/>
  <c r="S131" i="3"/>
  <c r="AA130" i="3"/>
  <c r="X130" i="3"/>
  <c r="Y130" i="3" s="1"/>
  <c r="U130" i="3"/>
  <c r="S130" i="3"/>
  <c r="AA129" i="3"/>
  <c r="X129" i="3"/>
  <c r="Y129" i="3" s="1"/>
  <c r="U129" i="3"/>
  <c r="S129" i="3"/>
  <c r="AA128" i="3"/>
  <c r="X128" i="3"/>
  <c r="Y128" i="3" s="1"/>
  <c r="U128" i="3"/>
  <c r="S128" i="3"/>
  <c r="AA127" i="3"/>
  <c r="X127" i="3"/>
  <c r="Y127" i="3" s="1"/>
  <c r="U127" i="3"/>
  <c r="S127" i="3"/>
  <c r="AA126" i="3"/>
  <c r="X126" i="3"/>
  <c r="Y126" i="3" s="1"/>
  <c r="U126" i="3"/>
  <c r="S126" i="3"/>
  <c r="AA125" i="3"/>
  <c r="X125" i="3"/>
  <c r="Y125" i="3" s="1"/>
  <c r="U125" i="3"/>
  <c r="S125" i="3"/>
  <c r="AA124" i="3"/>
  <c r="X124" i="3"/>
  <c r="Y124" i="3" s="1"/>
  <c r="U124" i="3"/>
  <c r="S124" i="3"/>
  <c r="AA123" i="3"/>
  <c r="Y123" i="3"/>
  <c r="X123" i="3"/>
  <c r="U123" i="3"/>
  <c r="S123" i="3"/>
  <c r="AA122" i="3"/>
  <c r="X122" i="3"/>
  <c r="Y122" i="3" s="1"/>
  <c r="U122" i="3"/>
  <c r="S122" i="3"/>
  <c r="AA121" i="3"/>
  <c r="X121" i="3"/>
  <c r="Y121" i="3" s="1"/>
  <c r="U121" i="3"/>
  <c r="S121" i="3"/>
  <c r="AA120" i="3"/>
  <c r="X120" i="3"/>
  <c r="Y120" i="3" s="1"/>
  <c r="U120" i="3"/>
  <c r="S120" i="3"/>
  <c r="AA119" i="3"/>
  <c r="X119" i="3"/>
  <c r="Y119" i="3" s="1"/>
  <c r="U119" i="3"/>
  <c r="S119" i="3"/>
  <c r="AA118" i="3"/>
  <c r="X118" i="3"/>
  <c r="Y118" i="3" s="1"/>
  <c r="U118" i="3"/>
  <c r="S118" i="3"/>
  <c r="AA117" i="3"/>
  <c r="X117" i="3"/>
  <c r="Y117" i="3" s="1"/>
  <c r="U117" i="3"/>
  <c r="S117" i="3"/>
  <c r="AA116" i="3"/>
  <c r="X116" i="3"/>
  <c r="Y116" i="3" s="1"/>
  <c r="U116" i="3"/>
  <c r="S116" i="3"/>
  <c r="AA115" i="3"/>
  <c r="X115" i="3"/>
  <c r="Y115" i="3" s="1"/>
  <c r="U115" i="3"/>
  <c r="S115" i="3"/>
  <c r="AA114" i="3"/>
  <c r="Y114" i="3"/>
  <c r="X114" i="3"/>
  <c r="U114" i="3"/>
  <c r="S114" i="3"/>
  <c r="AA113" i="3"/>
  <c r="X113" i="3"/>
  <c r="Y113" i="3" s="1"/>
  <c r="U113" i="3"/>
  <c r="S113" i="3"/>
  <c r="AA112" i="3"/>
  <c r="X112" i="3"/>
  <c r="Y112" i="3" s="1"/>
  <c r="U112" i="3"/>
  <c r="S112" i="3"/>
  <c r="AA111" i="3"/>
  <c r="X111" i="3"/>
  <c r="Y111" i="3" s="1"/>
  <c r="S111" i="3"/>
  <c r="U111" i="3" s="1"/>
  <c r="AA110" i="3"/>
  <c r="X110" i="3"/>
  <c r="Y110" i="3" s="1"/>
  <c r="S110" i="3"/>
  <c r="U110" i="3" s="1"/>
  <c r="AA109" i="3"/>
  <c r="X109" i="3"/>
  <c r="Y109" i="3" s="1"/>
  <c r="S109" i="3"/>
  <c r="U109" i="3" s="1"/>
  <c r="AA108" i="3"/>
  <c r="X108" i="3"/>
  <c r="Y108" i="3" s="1"/>
  <c r="S108" i="3"/>
  <c r="U108" i="3" s="1"/>
  <c r="AA107" i="3"/>
  <c r="X107" i="3"/>
  <c r="Y107" i="3" s="1"/>
  <c r="S107" i="3"/>
  <c r="U107" i="3" s="1"/>
  <c r="AA106" i="3"/>
  <c r="X106" i="3"/>
  <c r="Y106" i="3" s="1"/>
  <c r="S106" i="3"/>
  <c r="U106" i="3" s="1"/>
  <c r="AA105" i="3"/>
  <c r="X105" i="3"/>
  <c r="Y105" i="3" s="1"/>
  <c r="S105" i="3"/>
  <c r="U105" i="3" s="1"/>
  <c r="AA104" i="3"/>
  <c r="X104" i="3"/>
  <c r="Y104" i="3" s="1"/>
  <c r="S104" i="3"/>
  <c r="U104" i="3" s="1"/>
  <c r="AA103" i="3"/>
  <c r="X103" i="3"/>
  <c r="Y103" i="3" s="1"/>
  <c r="S103" i="3"/>
  <c r="U103" i="3" s="1"/>
  <c r="AA102" i="3"/>
  <c r="X102" i="3"/>
  <c r="Y102" i="3" s="1"/>
  <c r="S102" i="3"/>
  <c r="U102" i="3" s="1"/>
  <c r="AA101" i="3"/>
  <c r="X101" i="3"/>
  <c r="Y101" i="3" s="1"/>
  <c r="S101" i="3"/>
  <c r="U101" i="3" s="1"/>
  <c r="AA100" i="3"/>
  <c r="X100" i="3"/>
  <c r="Y100" i="3" s="1"/>
  <c r="S100" i="3"/>
  <c r="U100" i="3" s="1"/>
  <c r="AA99" i="3"/>
  <c r="X99" i="3"/>
  <c r="Y99" i="3" s="1"/>
  <c r="S99" i="3"/>
  <c r="U99" i="3" s="1"/>
  <c r="AA98" i="3"/>
  <c r="Y98" i="3"/>
  <c r="X98" i="3"/>
  <c r="U98" i="3"/>
  <c r="S98" i="3"/>
  <c r="AA97" i="3"/>
  <c r="X97" i="3"/>
  <c r="Y97" i="3" s="1"/>
  <c r="S97" i="3"/>
  <c r="U97" i="3" s="1"/>
  <c r="AA96" i="3"/>
  <c r="X96" i="3"/>
  <c r="Y96" i="3" s="1"/>
  <c r="S96" i="3"/>
  <c r="U96" i="3" s="1"/>
  <c r="AA95" i="3"/>
  <c r="X95" i="3"/>
  <c r="Y95" i="3" s="1"/>
  <c r="S95" i="3"/>
  <c r="U95" i="3" s="1"/>
  <c r="AA94" i="3"/>
  <c r="X94" i="3"/>
  <c r="Y94" i="3" s="1"/>
  <c r="S94" i="3"/>
  <c r="U94" i="3" s="1"/>
  <c r="AA93" i="3"/>
  <c r="X93" i="3"/>
  <c r="Y93" i="3" s="1"/>
  <c r="S93" i="3"/>
  <c r="U93" i="3" s="1"/>
  <c r="AA92" i="3"/>
  <c r="X92" i="3"/>
  <c r="Y92" i="3" s="1"/>
  <c r="S92" i="3"/>
  <c r="U92" i="3" s="1"/>
  <c r="AA91" i="3"/>
  <c r="X91" i="3"/>
  <c r="Y91" i="3" s="1"/>
  <c r="S91" i="3"/>
  <c r="U91" i="3" s="1"/>
  <c r="AA90" i="3"/>
  <c r="Y90" i="3"/>
  <c r="X90" i="3"/>
  <c r="S90" i="3"/>
  <c r="U90" i="3" s="1"/>
  <c r="AA89" i="3"/>
  <c r="X89" i="3"/>
  <c r="Y89" i="3" s="1"/>
  <c r="S89" i="3"/>
  <c r="U89" i="3" s="1"/>
  <c r="AA88" i="3"/>
  <c r="X88" i="3"/>
  <c r="Y88" i="3" s="1"/>
  <c r="S88" i="3"/>
  <c r="U88" i="3" s="1"/>
  <c r="AA87" i="3"/>
  <c r="X87" i="3"/>
  <c r="Y87" i="3" s="1"/>
  <c r="S87" i="3"/>
  <c r="U87" i="3" s="1"/>
  <c r="AA86" i="3"/>
  <c r="X86" i="3"/>
  <c r="Y86" i="3" s="1"/>
  <c r="S86" i="3"/>
  <c r="U86" i="3" s="1"/>
  <c r="AA85" i="3"/>
  <c r="X85" i="3"/>
  <c r="Y85" i="3" s="1"/>
  <c r="S85" i="3"/>
  <c r="U85" i="3" s="1"/>
  <c r="AA84" i="3"/>
  <c r="X84" i="3"/>
  <c r="Y84" i="3" s="1"/>
  <c r="S84" i="3"/>
  <c r="U84" i="3" s="1"/>
  <c r="AA83" i="3"/>
  <c r="X83" i="3"/>
  <c r="Y83" i="3" s="1"/>
  <c r="S83" i="3"/>
  <c r="U83" i="3" s="1"/>
  <c r="AA82" i="3"/>
  <c r="X82" i="3"/>
  <c r="Y82" i="3" s="1"/>
  <c r="S82" i="3"/>
  <c r="U82" i="3" s="1"/>
  <c r="AA81" i="3"/>
  <c r="X81" i="3"/>
  <c r="Y81" i="3" s="1"/>
  <c r="S81" i="3"/>
  <c r="U81" i="3" s="1"/>
  <c r="AA80" i="3"/>
  <c r="X80" i="3"/>
  <c r="Y80" i="3" s="1"/>
  <c r="S80" i="3"/>
  <c r="U80" i="3" s="1"/>
  <c r="AA79" i="3"/>
  <c r="X79" i="3"/>
  <c r="Y79" i="3" s="1"/>
  <c r="S79" i="3"/>
  <c r="U79" i="3" s="1"/>
  <c r="AA78" i="3"/>
  <c r="X78" i="3"/>
  <c r="Y78" i="3" s="1"/>
  <c r="S78" i="3"/>
  <c r="U78" i="3" s="1"/>
  <c r="AA77" i="3"/>
  <c r="X77" i="3"/>
  <c r="Y77" i="3" s="1"/>
  <c r="S77" i="3"/>
  <c r="U77" i="3" s="1"/>
  <c r="AA76" i="3"/>
  <c r="X76" i="3"/>
  <c r="Y76" i="3" s="1"/>
  <c r="S76" i="3"/>
  <c r="U76" i="3" s="1"/>
  <c r="AA75" i="3"/>
  <c r="X75" i="3"/>
  <c r="Y75" i="3" s="1"/>
  <c r="S75" i="3"/>
  <c r="U75" i="3" s="1"/>
  <c r="AA74" i="3"/>
  <c r="Y74" i="3"/>
  <c r="X74" i="3"/>
  <c r="S74" i="3"/>
  <c r="U74" i="3" s="1"/>
  <c r="AA73" i="3"/>
  <c r="X73" i="3"/>
  <c r="Y73" i="3" s="1"/>
  <c r="S73" i="3"/>
  <c r="U73" i="3" s="1"/>
  <c r="AA72" i="3"/>
  <c r="X72" i="3"/>
  <c r="Y72" i="3" s="1"/>
  <c r="S72" i="3"/>
  <c r="U72" i="3" s="1"/>
  <c r="AA71" i="3"/>
  <c r="X71" i="3"/>
  <c r="Y71" i="3" s="1"/>
  <c r="S71" i="3"/>
  <c r="U71" i="3" s="1"/>
  <c r="AA70" i="3"/>
  <c r="X70" i="3"/>
  <c r="Y70" i="3" s="1"/>
  <c r="S70" i="3"/>
  <c r="U70" i="3" s="1"/>
  <c r="AA69" i="3"/>
  <c r="X69" i="3"/>
  <c r="Y69" i="3" s="1"/>
  <c r="S69" i="3"/>
  <c r="U69" i="3" s="1"/>
  <c r="AA68" i="3"/>
  <c r="Y68" i="3"/>
  <c r="X68" i="3"/>
  <c r="S68" i="3"/>
  <c r="U68" i="3" s="1"/>
  <c r="AA67" i="3"/>
  <c r="X67" i="3"/>
  <c r="Y67" i="3" s="1"/>
  <c r="S67" i="3"/>
  <c r="U67" i="3" s="1"/>
  <c r="AA66" i="3"/>
  <c r="X66" i="3"/>
  <c r="Y66" i="3" s="1"/>
  <c r="S66" i="3"/>
  <c r="U66" i="3" s="1"/>
  <c r="AA65" i="3"/>
  <c r="X65" i="3"/>
  <c r="Y65" i="3" s="1"/>
  <c r="S65" i="3"/>
  <c r="U65" i="3" s="1"/>
  <c r="AA64" i="3"/>
  <c r="X64" i="3"/>
  <c r="Y64" i="3" s="1"/>
  <c r="S64" i="3"/>
  <c r="U64" i="3" s="1"/>
  <c r="AA63" i="3"/>
  <c r="X63" i="3"/>
  <c r="Y63" i="3" s="1"/>
  <c r="S63" i="3"/>
  <c r="U63" i="3" s="1"/>
  <c r="AA62" i="3"/>
  <c r="X62" i="3"/>
  <c r="Y62" i="3" s="1"/>
  <c r="S62" i="3"/>
  <c r="U62" i="3" s="1"/>
  <c r="AA61" i="3"/>
  <c r="X61" i="3"/>
  <c r="Y61" i="3" s="1"/>
  <c r="S61" i="3"/>
  <c r="U61" i="3" s="1"/>
  <c r="AA60" i="3"/>
  <c r="X60" i="3"/>
  <c r="Y60" i="3" s="1"/>
  <c r="S60" i="3"/>
  <c r="U60" i="3" s="1"/>
  <c r="AA59" i="3"/>
  <c r="X59" i="3"/>
  <c r="Y59" i="3" s="1"/>
  <c r="S59" i="3"/>
  <c r="U59" i="3" s="1"/>
  <c r="AA58" i="3"/>
  <c r="X58" i="3"/>
  <c r="Y58" i="3" s="1"/>
  <c r="S58" i="3"/>
  <c r="U58" i="3" s="1"/>
  <c r="AA57" i="3"/>
  <c r="X57" i="3"/>
  <c r="Y57" i="3" s="1"/>
  <c r="S57" i="3"/>
  <c r="U57" i="3" s="1"/>
  <c r="AA56" i="3"/>
  <c r="X56" i="3"/>
  <c r="Y56" i="3" s="1"/>
  <c r="S56" i="3"/>
  <c r="U56" i="3" s="1"/>
  <c r="AA55" i="3"/>
  <c r="X55" i="3"/>
  <c r="Y55" i="3" s="1"/>
  <c r="S55" i="3"/>
  <c r="U55" i="3" s="1"/>
  <c r="AA54" i="3"/>
  <c r="X54" i="3"/>
  <c r="Y54" i="3" s="1"/>
  <c r="S54" i="3"/>
  <c r="U54" i="3" s="1"/>
  <c r="AA53" i="3"/>
  <c r="X53" i="3"/>
  <c r="Y53" i="3" s="1"/>
  <c r="S53" i="3"/>
  <c r="U53" i="3" s="1"/>
  <c r="AA52" i="3"/>
  <c r="X52" i="3"/>
  <c r="Y52" i="3" s="1"/>
  <c r="S52" i="3"/>
  <c r="U52" i="3" s="1"/>
  <c r="AA51" i="3"/>
  <c r="X51" i="3"/>
  <c r="Y51" i="3" s="1"/>
  <c r="S51" i="3"/>
  <c r="U51" i="3" s="1"/>
  <c r="AA50" i="3"/>
  <c r="X50" i="3"/>
  <c r="Y50" i="3" s="1"/>
  <c r="S50" i="3"/>
  <c r="U50" i="3" s="1"/>
  <c r="AA49" i="3"/>
  <c r="X49" i="3"/>
  <c r="Y49" i="3" s="1"/>
  <c r="S49" i="3"/>
  <c r="U49" i="3" s="1"/>
  <c r="AA48" i="3"/>
  <c r="X48" i="3"/>
  <c r="Y48" i="3" s="1"/>
  <c r="S48" i="3"/>
  <c r="U48" i="3" s="1"/>
  <c r="AA47" i="3"/>
  <c r="X47" i="3"/>
  <c r="Y47" i="3" s="1"/>
  <c r="S47" i="3"/>
  <c r="U47" i="3" s="1"/>
  <c r="AA46" i="3"/>
  <c r="X46" i="3"/>
  <c r="Y46" i="3" s="1"/>
  <c r="S46" i="3"/>
  <c r="U46" i="3" s="1"/>
  <c r="AA45" i="3"/>
  <c r="X45" i="3"/>
  <c r="Y45" i="3" s="1"/>
  <c r="S45" i="3"/>
  <c r="U45" i="3" s="1"/>
  <c r="AA44" i="3"/>
  <c r="X44" i="3"/>
  <c r="Y44" i="3" s="1"/>
  <c r="S44" i="3"/>
  <c r="U44" i="3" s="1"/>
  <c r="AA43" i="3"/>
  <c r="X43" i="3"/>
  <c r="Y43" i="3" s="1"/>
  <c r="S43" i="3"/>
  <c r="U43" i="3" s="1"/>
  <c r="AA42" i="3"/>
  <c r="Y42" i="3"/>
  <c r="X42" i="3"/>
  <c r="S42" i="3"/>
  <c r="U42" i="3" s="1"/>
  <c r="AA41" i="3"/>
  <c r="X41" i="3"/>
  <c r="Y41" i="3" s="1"/>
  <c r="S41" i="3"/>
  <c r="U41" i="3" s="1"/>
  <c r="AA40" i="3"/>
  <c r="X40" i="3"/>
  <c r="Y40" i="3" s="1"/>
  <c r="S40" i="3"/>
  <c r="U40" i="3" s="1"/>
  <c r="AA39" i="3"/>
  <c r="X39" i="3"/>
  <c r="Y39" i="3" s="1"/>
  <c r="S39" i="3"/>
  <c r="U39" i="3" s="1"/>
  <c r="AA38" i="3"/>
  <c r="X38" i="3"/>
  <c r="Y38" i="3" s="1"/>
  <c r="S38" i="3"/>
  <c r="U38" i="3" s="1"/>
  <c r="AA37" i="3"/>
  <c r="X37" i="3"/>
  <c r="Y37" i="3" s="1"/>
  <c r="S37" i="3"/>
  <c r="U37" i="3" s="1"/>
  <c r="AA36" i="3"/>
  <c r="Y36" i="3"/>
  <c r="X36" i="3"/>
  <c r="S36" i="3"/>
  <c r="U36" i="3" s="1"/>
  <c r="AA35" i="3"/>
  <c r="X35" i="3"/>
  <c r="Y35" i="3" s="1"/>
  <c r="S35" i="3"/>
  <c r="U35" i="3" s="1"/>
  <c r="AA34" i="3"/>
  <c r="X34" i="3"/>
  <c r="Y34" i="3" s="1"/>
  <c r="S34" i="3"/>
  <c r="U34" i="3" s="1"/>
  <c r="AA33" i="3"/>
  <c r="X33" i="3"/>
  <c r="Y33" i="3" s="1"/>
  <c r="S33" i="3"/>
  <c r="U33" i="3" s="1"/>
  <c r="AA32" i="3"/>
  <c r="X32" i="3"/>
  <c r="Y32" i="3" s="1"/>
  <c r="S32" i="3"/>
  <c r="U32" i="3" s="1"/>
  <c r="AA31" i="3"/>
  <c r="X31" i="3"/>
  <c r="Y31" i="3" s="1"/>
  <c r="S31" i="3"/>
  <c r="U31" i="3" s="1"/>
  <c r="AA30" i="3"/>
  <c r="X30" i="3"/>
  <c r="Y30" i="3" s="1"/>
  <c r="S30" i="3"/>
  <c r="U30" i="3" s="1"/>
  <c r="AA29" i="3"/>
  <c r="X29" i="3"/>
  <c r="Y29" i="3" s="1"/>
  <c r="S29" i="3"/>
  <c r="U29" i="3" s="1"/>
  <c r="AA28" i="3"/>
  <c r="X28" i="3"/>
  <c r="Y28" i="3" s="1"/>
  <c r="S28" i="3"/>
  <c r="U28" i="3" s="1"/>
  <c r="AA27" i="3"/>
  <c r="X27" i="3"/>
  <c r="Y27" i="3" s="1"/>
  <c r="S27" i="3"/>
  <c r="U27" i="3" s="1"/>
  <c r="AA26" i="3"/>
  <c r="X26" i="3"/>
  <c r="Y26" i="3" s="1"/>
  <c r="S26" i="3"/>
  <c r="U26" i="3" s="1"/>
  <c r="AA25" i="3"/>
  <c r="X25" i="3"/>
  <c r="Y25" i="3" s="1"/>
  <c r="S25" i="3"/>
  <c r="U25" i="3" s="1"/>
  <c r="AA24" i="3"/>
  <c r="X24" i="3"/>
  <c r="Y24" i="3" s="1"/>
  <c r="S24" i="3"/>
  <c r="U24" i="3" s="1"/>
  <c r="AA23" i="3"/>
  <c r="X23" i="3"/>
  <c r="Y23" i="3" s="1"/>
  <c r="S23" i="3"/>
  <c r="U23" i="3" s="1"/>
  <c r="AA22" i="3"/>
  <c r="X22" i="3"/>
  <c r="Y22" i="3" s="1"/>
  <c r="S22" i="3"/>
  <c r="U22" i="3" s="1"/>
  <c r="AA21" i="3"/>
  <c r="X21" i="3"/>
  <c r="Y21" i="3" s="1"/>
  <c r="S21" i="3"/>
  <c r="U21" i="3" s="1"/>
  <c r="AA20" i="3"/>
  <c r="X20" i="3"/>
  <c r="Y20" i="3" s="1"/>
  <c r="S20" i="3"/>
  <c r="U20" i="3" s="1"/>
  <c r="AA19" i="3"/>
  <c r="X19" i="3"/>
  <c r="Y19" i="3" s="1"/>
  <c r="S19" i="3"/>
  <c r="U19" i="3" s="1"/>
  <c r="A19" i="3"/>
  <c r="AA18" i="3"/>
  <c r="X18" i="3"/>
  <c r="Y18" i="3" s="1"/>
  <c r="S18" i="3"/>
  <c r="U18" i="3" s="1"/>
  <c r="A18" i="3"/>
  <c r="AA17" i="3"/>
  <c r="X17" i="3"/>
  <c r="Y17" i="3" s="1"/>
  <c r="S17" i="3"/>
  <c r="U17" i="3" s="1"/>
  <c r="A17" i="3"/>
  <c r="AA16" i="3"/>
  <c r="X16" i="3"/>
  <c r="Y16" i="3" s="1"/>
  <c r="S16" i="3"/>
  <c r="U16" i="3" s="1"/>
  <c r="A16" i="3"/>
  <c r="AA15" i="3"/>
  <c r="X15" i="3"/>
  <c r="Y15" i="3" s="1"/>
  <c r="S15" i="3"/>
  <c r="U15" i="3" s="1"/>
  <c r="A15" i="3"/>
  <c r="AA14" i="3"/>
  <c r="X14" i="3"/>
  <c r="Y14" i="3" s="1"/>
  <c r="S14" i="3"/>
  <c r="U14" i="3" s="1"/>
  <c r="A14" i="3"/>
  <c r="AA13" i="3"/>
  <c r="X13" i="3"/>
  <c r="Y13" i="3" s="1"/>
  <c r="S13" i="3"/>
  <c r="U13" i="3" s="1"/>
  <c r="A13" i="3"/>
  <c r="AA12" i="3"/>
  <c r="X12" i="3"/>
  <c r="Y12" i="3" s="1"/>
  <c r="S12" i="3"/>
  <c r="U12" i="3" s="1"/>
  <c r="A12" i="3"/>
  <c r="AA11" i="3"/>
  <c r="Y11" i="3"/>
  <c r="S11" i="3"/>
  <c r="U11" i="3" s="1"/>
  <c r="A11" i="3"/>
  <c r="AA10" i="3"/>
  <c r="X10" i="3"/>
  <c r="Y10" i="3" s="1"/>
  <c r="S10" i="3"/>
  <c r="U10" i="3" s="1"/>
  <c r="A10" i="3"/>
  <c r="AA9" i="3"/>
  <c r="Y9" i="3"/>
  <c r="X9" i="3"/>
  <c r="S9" i="3"/>
  <c r="U9" i="3" s="1"/>
  <c r="A9" i="3"/>
  <c r="AA8" i="3"/>
  <c r="X8" i="3"/>
  <c r="Y8" i="3" s="1"/>
  <c r="S8" i="3"/>
  <c r="U8" i="3" s="1"/>
  <c r="A8" i="3"/>
  <c r="AA224" i="2" l="1"/>
  <c r="AA213" i="3"/>
  <c r="AB8" i="2"/>
  <c r="AB224" i="2" s="1"/>
</calcChain>
</file>

<file path=xl/sharedStrings.xml><?xml version="1.0" encoding="utf-8"?>
<sst xmlns="http://schemas.openxmlformats.org/spreadsheetml/2006/main" count="12152" uniqueCount="4688">
  <si>
    <t>TABELA I</t>
  </si>
  <si>
    <t>ÁREA DE ATUAÇÃO DO PERITO</t>
  </si>
  <si>
    <t>NATUREZA DA AÇÃO E/OU ESPÉCIE DE PERÍCIA A SER REALIZADA</t>
  </si>
  <si>
    <t>FATOR</t>
  </si>
  <si>
    <t>HONORÁRIOS PERÍCIAS VALOR  (R$)</t>
  </si>
  <si>
    <t>CIÊNCIAS CONTÁBEIS</t>
  </si>
  <si>
    <t>LAUDO PRODUZIDO EM DEMANDA PROPOSTA POR SERVIDOR(ES) CONTRA UNIÃO/ESTAD/MUNICÍPIO</t>
  </si>
  <si>
    <t>1.1</t>
  </si>
  <si>
    <t>LAUDO EM AÇÃO REVISIONAL ENVOLVENDO NEGÓCIOS BANCÁRIOS ATÉ 4 (QUATRO) CONTRATOS</t>
  </si>
  <si>
    <t>1.2</t>
  </si>
  <si>
    <t>LAUDO EM AÇÃO REVISIONAL ENVOLVENDO NEGÓCIOS BANCÁRIOS ACIMA DE  4 (QUATRO) CONTRATOS</t>
  </si>
  <si>
    <t>1.3</t>
  </si>
  <si>
    <t xml:space="preserve">LAUDO EM AÇÃO DE DISSOLUÇÃO E LIQUIDAÇÃO DE SOCIEDADES CIVIS E MERCANTES </t>
  </si>
  <si>
    <t>1.4</t>
  </si>
  <si>
    <t>OUTROS</t>
  </si>
  <si>
    <t>1.5</t>
  </si>
  <si>
    <t>ENGENHARIA E ARQUITETURA</t>
  </si>
  <si>
    <t>LAUDO DE AVALIAÇÃO DE IMÓVEL URBANO, CONFORME NORMAS DA ABNT RESPECTIVA</t>
  </si>
  <si>
    <t>2.1</t>
  </si>
  <si>
    <t>LAUDO DE AVALIAÇÃO DE IMÓVEL RURAL, CONFORME NORMAS DA ABNT RESPECTIVA</t>
  </si>
  <si>
    <t>2.2</t>
  </si>
  <si>
    <t>LAUDO PERICIAL DAS CONDIÇÕES ESTRUTURAIS DE SEGURNÇA E SOLIDEZ DE IM´VEL, CONFORME NORMA DA ABNT RESPECTIV AS</t>
  </si>
  <si>
    <t>2.3</t>
  </si>
  <si>
    <t>LAUDO DE AVALIAÇÃO DE BENS FUNGÍVEIS/IMÓVEL RURAL/URBANO, CONFORME NORMAS DA ABNT RESPECTIVAS</t>
  </si>
  <si>
    <t>2.4</t>
  </si>
  <si>
    <t>LAUDO PERICIAL EM AÇÃO DEMARCATÓRIA</t>
  </si>
  <si>
    <t>2.5</t>
  </si>
  <si>
    <t>LAUDO DE INSALUBRIDADE E/OU PERICULOSIDADE, CONFORME NORMAS DA ABNT RESPECTIVAS</t>
  </si>
  <si>
    <t>2.6</t>
  </si>
  <si>
    <t>OUTRAS</t>
  </si>
  <si>
    <t>2.7</t>
  </si>
  <si>
    <t>MEDICINA / ODONTOLOGIA</t>
  </si>
  <si>
    <t>LAUDO EM INTERDIÇÃO/DNA</t>
  </si>
  <si>
    <t>3.1</t>
  </si>
  <si>
    <t>LAUDO SOBRE DANOS FÍSICOS E ESTÉTICOS</t>
  </si>
  <si>
    <t>3.2</t>
  </si>
  <si>
    <t>3.3</t>
  </si>
  <si>
    <t>PSICOLOGIA</t>
  </si>
  <si>
    <t>4.1</t>
  </si>
  <si>
    <t>SERVIÇO SOCIAL</t>
  </si>
  <si>
    <t>ESTUDO SOCIAL</t>
  </si>
  <si>
    <t>5.1</t>
  </si>
  <si>
    <t xml:space="preserve">LAUDO DE AVALIAÇÃO COMERCIAL DE BENS IMÓVEIS </t>
  </si>
  <si>
    <t>6.1</t>
  </si>
  <si>
    <t>LAUDO DE AVALIAÇÃO COMERCIAL DE BENS IMÓVEIS POR CORRETOR</t>
  </si>
  <si>
    <t>6.2</t>
  </si>
  <si>
    <t>INDICE DE CORREÇÃO</t>
  </si>
  <si>
    <t>HONORÁRIOS DOS TRADUTORES E DOS INTÉRPRETESPERITOS PERÍCIAS</t>
  </si>
  <si>
    <t>VALOR (R$)</t>
  </si>
  <si>
    <t>TRADUÇÃO/VESÃO DE TEXTOS; VALOR ATÉ A 3 (TRÊS) PRIMEIRAS LAUDAS*</t>
  </si>
  <si>
    <t>Tradução/versão, por lauda excedente as tês primeiras</t>
  </si>
  <si>
    <t>interpretação audiências/sessões com até três horas de duração</t>
  </si>
  <si>
    <t>interpretação audiências/sessões, por hora excedente às três primeiras</t>
  </si>
  <si>
    <t>Estatistica Mensal de Laudos Periciais</t>
  </si>
  <si>
    <t>Mês / Ano:</t>
  </si>
  <si>
    <t>Nº DE PERÍCIAS</t>
  </si>
  <si>
    <t>DATA DA REQUISIÇÃO</t>
  </si>
  <si>
    <t>Data da Publicação</t>
  </si>
  <si>
    <t>PROCESSO ADMIN. Nº</t>
  </si>
  <si>
    <t>JUÍZO</t>
  </si>
  <si>
    <t>PROCESSO Nº</t>
  </si>
  <si>
    <t>Ação</t>
  </si>
  <si>
    <t>PROMOVENTE</t>
  </si>
  <si>
    <t>PROMOVIDO</t>
  </si>
  <si>
    <t>PERÍTO</t>
  </si>
  <si>
    <t>Fator</t>
  </si>
  <si>
    <t>Valor Tabelado Anexo I - Tabela I</t>
  </si>
  <si>
    <t>VALOR ARBITRADO</t>
  </si>
  <si>
    <t xml:space="preserve">REQUISIÇÃO ADIANTAMENTO </t>
  </si>
  <si>
    <t>REQUISIÇÃO FINAL</t>
  </si>
  <si>
    <t>MÁXIMO PERMITIDO</t>
  </si>
  <si>
    <t>5 X O VALOR DA TABELA I</t>
  </si>
  <si>
    <t>DATA</t>
  </si>
  <si>
    <t>NOME</t>
  </si>
  <si>
    <t>CPF/CNPJ</t>
  </si>
  <si>
    <t>CPF/CNPJ - INSS</t>
  </si>
  <si>
    <t>ÁREA</t>
  </si>
  <si>
    <t>Telefone</t>
  </si>
  <si>
    <t>R$</t>
  </si>
  <si>
    <t>CHECÁGEM</t>
  </si>
  <si>
    <t>%</t>
  </si>
  <si>
    <t>SALDO A RECEBER</t>
  </si>
  <si>
    <t>SALDO FINAL</t>
  </si>
  <si>
    <t>ESPECIALIDADE</t>
  </si>
  <si>
    <t>NATUREZA DA AÇÃO</t>
  </si>
  <si>
    <t>01</t>
  </si>
  <si>
    <t>Ação de Dissolução de união Estável</t>
  </si>
  <si>
    <t>(083) 8818-7991</t>
  </si>
  <si>
    <t>02</t>
  </si>
  <si>
    <t>982.543.164-49</t>
  </si>
  <si>
    <t>60.746.948/0001-12</t>
  </si>
  <si>
    <t>(83) 8803-1094</t>
  </si>
  <si>
    <t>03</t>
  </si>
  <si>
    <t>ENGENHARIA</t>
  </si>
  <si>
    <t>04</t>
  </si>
  <si>
    <t>MEDICINA</t>
  </si>
  <si>
    <t>05</t>
  </si>
  <si>
    <t>06</t>
  </si>
  <si>
    <t>9122-3359</t>
  </si>
  <si>
    <t>07</t>
  </si>
  <si>
    <t xml:space="preserve"> 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</si>
  <si>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</si>
  <si>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</si>
  <si>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</si>
  <si>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</si>
  <si>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</si>
  <si>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</si>
  <si>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</si>
  <si>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</si>
  <si>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</si>
  <si>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</si>
  <si>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</si>
  <si>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</si>
  <si>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</si>
  <si>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</si>
  <si>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</si>
  <si>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</si>
  <si>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</si>
  <si>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</si>
  <si>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</si>
  <si>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</si>
  <si>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</si>
  <si>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</si>
  <si>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</si>
  <si>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</si>
  <si>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</si>
  <si>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9347-8824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</si>
  <si>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</si>
  <si>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</si>
  <si>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</si>
  <si>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</si>
  <si>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</si>
  <si>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</si>
  <si>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</si>
  <si>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</si>
  <si>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</si>
  <si>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</si>
  <si>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</si>
  <si>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</si>
  <si>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</si>
  <si>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</si>
  <si>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</si>
  <si>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</si>
  <si>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</si>
  <si>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</si>
  <si>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</si>
  <si>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</si>
  <si>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</si>
  <si>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</si>
  <si>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</si>
  <si>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</si>
  <si>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</si>
  <si>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</si>
  <si>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</si>
  <si>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</si>
  <si>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</si>
  <si>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</si>
  <si>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</si>
  <si>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</si>
  <si>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</si>
  <si>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</si>
  <si>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</si>
  <si>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</si>
  <si>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</si>
  <si>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</si>
  <si>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</si>
  <si>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</si>
  <si>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</si>
  <si>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</si>
  <si>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</si>
  <si>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</si>
  <si>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</si>
  <si>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</si>
  <si>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</si>
  <si>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</si>
  <si>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</si>
  <si>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</si>
  <si>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</si>
  <si>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</si>
  <si>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</si>
  <si>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</si>
  <si>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</si>
  <si>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</si>
  <si>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</si>
  <si>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</si>
  <si>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</si>
  <si>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</si>
  <si>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</si>
  <si>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</si>
  <si>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</si>
  <si>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</si>
  <si>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</si>
  <si>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</si>
  <si>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</si>
  <si>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</si>
  <si>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</si>
  <si>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</si>
  <si>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</si>
  <si>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</si>
  <si>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</si>
  <si>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</si>
  <si>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</si>
  <si>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</si>
  <si>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</si>
  <si>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</si>
  <si>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</si>
  <si>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</si>
  <si>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</si>
  <si>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</si>
  <si>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</si>
  <si>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</si>
  <si>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</si>
  <si>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</si>
  <si>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</si>
  <si>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</si>
  <si>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</si>
  <si>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</si>
  <si>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</si>
  <si>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</si>
  <si>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</si>
  <si>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</si>
  <si>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</si>
  <si>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</si>
  <si>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</si>
  <si>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</si>
  <si>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</si>
  <si>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</si>
  <si>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</si>
  <si>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</si>
  <si>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</si>
  <si>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</si>
  <si>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</si>
  <si>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</si>
  <si>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</si>
  <si>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</si>
  <si>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</si>
  <si>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</si>
  <si>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</si>
  <si>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</si>
  <si>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</si>
  <si>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</si>
  <si>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</si>
  <si>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</si>
  <si>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</si>
  <si>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</si>
  <si>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</si>
  <si>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</si>
  <si>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</si>
  <si>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</si>
  <si>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</si>
  <si>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</si>
  <si>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</si>
  <si>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</si>
  <si>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</si>
  <si>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</si>
  <si>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</si>
  <si>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</si>
  <si>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</si>
  <si>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</si>
  <si>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</si>
  <si>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</si>
  <si>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</si>
  <si>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</si>
  <si>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</si>
  <si>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</si>
  <si>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</si>
  <si>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</si>
  <si>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</si>
  <si>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</si>
  <si>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</si>
  <si>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</si>
  <si>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</si>
  <si>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</si>
  <si>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</si>
  <si>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</si>
  <si>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</si>
  <si>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</si>
  <si>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</si>
  <si>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</si>
  <si>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</si>
  <si>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</si>
  <si>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</si>
  <si>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</si>
  <si>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</si>
  <si>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</si>
  <si>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</si>
  <si>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</si>
  <si>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</si>
  <si>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</si>
  <si>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</si>
  <si>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</si>
  <si>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</si>
  <si>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</si>
  <si>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</si>
  <si>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</si>
  <si>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</si>
  <si>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</si>
  <si>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</si>
  <si>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</si>
  <si>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</si>
  <si>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</si>
  <si>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</si>
  <si>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</si>
  <si>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</si>
  <si>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</si>
  <si>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</si>
  <si>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</si>
  <si>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</si>
  <si>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</si>
  <si>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</si>
  <si>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</si>
  <si>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TOTAIS</t>
  </si>
  <si>
    <t>0806320-32.2019.8.15.0371</t>
  </si>
  <si>
    <t>DENISE BATISTA DA COSTA</t>
  </si>
  <si>
    <t>MUNICIPIO DE SOUSA</t>
  </si>
  <si>
    <t>2020146373</t>
  </si>
  <si>
    <t xml:space="preserve"> FELIPE QUEIROGA GADELHA</t>
  </si>
  <si>
    <t>021.205.144-02</t>
  </si>
  <si>
    <t>2020184776</t>
  </si>
  <si>
    <t>0800904-89.2018.815.0251</t>
  </si>
  <si>
    <t>Felipe Queiroga Gadelha</t>
  </si>
  <si>
    <t>2020188132</t>
  </si>
  <si>
    <t>802668.07.2014.815.0725</t>
  </si>
  <si>
    <t>2020153485</t>
  </si>
  <si>
    <t>0801321.02.2020.815.0371</t>
  </si>
  <si>
    <t>2020189609</t>
  </si>
  <si>
    <t>0802687.06.2016.815.0181</t>
  </si>
  <si>
    <t>ANDRE CRISTIANO DA COSTA LIMA</t>
  </si>
  <si>
    <t>LUCIANO JOSE LIRA MENDES</t>
  </si>
  <si>
    <t>2020153186</t>
  </si>
  <si>
    <t>082118.63.2016.8.15.0001</t>
  </si>
  <si>
    <t>ANA ELIZABETH ARAUJO LUNA</t>
  </si>
  <si>
    <t>059.931.514-80</t>
  </si>
  <si>
    <t>2021016974</t>
  </si>
  <si>
    <t>0802342.06.2017.8.15.01881</t>
  </si>
  <si>
    <t>FELIPE QUEIROGA GADELHA</t>
  </si>
  <si>
    <t>2021011550</t>
  </si>
  <si>
    <t>0803638.16.2020.8.15.0001</t>
  </si>
  <si>
    <t>2021006005</t>
  </si>
  <si>
    <t>0802313.45.2016.8.15.0001</t>
  </si>
  <si>
    <t>JOSÉ SANTANA FILHO</t>
  </si>
  <si>
    <t>2021008923</t>
  </si>
  <si>
    <t>0806208.63.2019.8.15.0371</t>
  </si>
  <si>
    <t>20201013883</t>
  </si>
  <si>
    <t>0831955.58.2019.8.15.0001</t>
  </si>
  <si>
    <t>MAURIDETE GRANGEIRO DE BARROS</t>
  </si>
  <si>
    <t>2021022587</t>
  </si>
  <si>
    <t>0803893.712020.8.15.0001</t>
  </si>
  <si>
    <t>2021018453</t>
  </si>
  <si>
    <t xml:space="preserve">0810049-75.2020.8.15.0001 </t>
  </si>
  <si>
    <t>2020014918</t>
  </si>
  <si>
    <t xml:space="preserve">0809224-39.2017.815.0001 </t>
  </si>
  <si>
    <t xml:space="preserve">JANAINA BEZERRA DE QUEIROZ </t>
  </si>
  <si>
    <t>2020046691</t>
  </si>
  <si>
    <t xml:space="preserve">0003698-31.2016.815.0011 </t>
  </si>
  <si>
    <t xml:space="preserve">JACQUELINE LEITE IMPERIANO </t>
  </si>
  <si>
    <t>804.539.294-00</t>
  </si>
  <si>
    <t>2020075727</t>
  </si>
  <si>
    <t xml:space="preserve">0802123-56.2018.8.15.0181 </t>
  </si>
  <si>
    <t>2020157592</t>
  </si>
  <si>
    <t xml:space="preserve">0806214-70.2019.8.15.0371 </t>
  </si>
  <si>
    <t>2020113727</t>
  </si>
  <si>
    <t xml:space="preserve">0801674-98.2018.815.0181 </t>
  </si>
  <si>
    <t>2020157533</t>
  </si>
  <si>
    <t xml:space="preserve">0801926-79.2019.8.15.0371 </t>
  </si>
  <si>
    <t>2020184717</t>
  </si>
  <si>
    <t xml:space="preserve">0800058-34.2019.815.0511 </t>
  </si>
  <si>
    <t>2020148844</t>
  </si>
  <si>
    <t xml:space="preserve">0805083-60.2019.8.15.0371 </t>
  </si>
  <si>
    <t>2020178241</t>
  </si>
  <si>
    <t xml:space="preserve">0800411-45.2017.8.15.0511 </t>
  </si>
  <si>
    <t>2020110468</t>
  </si>
  <si>
    <t xml:space="preserve">0801464-81.2017.8.15.0181 </t>
  </si>
  <si>
    <t xml:space="preserve">0800438-57.2019.815.0511 </t>
  </si>
  <si>
    <t>2020140920</t>
  </si>
  <si>
    <t xml:space="preserve">0801857-47.2019.8.15.0371 </t>
  </si>
  <si>
    <t>2021020114</t>
  </si>
  <si>
    <t xml:space="preserve">0803833-77.2019.815.0181 </t>
  </si>
  <si>
    <t>2021018638</t>
  </si>
  <si>
    <t xml:space="preserve">0801041-19.2020.815.0181 </t>
  </si>
  <si>
    <t>2021023223</t>
  </si>
  <si>
    <t xml:space="preserve">0001268-94.2011.8.15.0201 </t>
  </si>
  <si>
    <t xml:space="preserve">ELIZABETH ALMEIDA SANTOS DE OLIVEIRA </t>
  </si>
  <si>
    <t>2021023231</t>
  </si>
  <si>
    <t xml:space="preserve">0827658-08.2019.8.15.0001 </t>
  </si>
  <si>
    <t>096.857.564-14</t>
  </si>
  <si>
    <t>2021026847</t>
  </si>
  <si>
    <t xml:space="preserve">0000133-66.2011.8.15.0421 </t>
  </si>
  <si>
    <t xml:space="preserve">053.027.324-16 </t>
  </si>
  <si>
    <t>HIRAN DE MELO FILHO</t>
  </si>
  <si>
    <t>MANUEL CAETANO DE BRITO NETO</t>
  </si>
  <si>
    <t>2021026986</t>
  </si>
  <si>
    <t xml:space="preserve">0000426.49.2014.815.0221 </t>
  </si>
  <si>
    <t>2021027190</t>
  </si>
  <si>
    <t xml:space="preserve">0000804-05.2014.815.0221 </t>
  </si>
  <si>
    <t>2021027315</t>
  </si>
  <si>
    <t xml:space="preserve">0800155-47.2018.815.0421 </t>
  </si>
  <si>
    <t>2021027132</t>
  </si>
  <si>
    <t>0000542-03.2015.8.15.0421</t>
  </si>
  <si>
    <t>2021026943</t>
  </si>
  <si>
    <t xml:space="preserve">0000373-84.2013.8.15.0421 </t>
  </si>
  <si>
    <t>2021026898</t>
  </si>
  <si>
    <t xml:space="preserve">0000366-42.2015.8.15.0221 </t>
  </si>
  <si>
    <t>2021027261</t>
  </si>
  <si>
    <t xml:space="preserve">0800010-72.2019.8.15.0221 </t>
  </si>
  <si>
    <t>2021028107</t>
  </si>
  <si>
    <t xml:space="preserve">0800443-47.2017.815.0221 </t>
  </si>
  <si>
    <t>2021027173</t>
  </si>
  <si>
    <t xml:space="preserve">0000685-10.2015.8.15.0221 </t>
  </si>
  <si>
    <t>2021027270</t>
  </si>
  <si>
    <t>2020153102</t>
  </si>
  <si>
    <t>0802125-
38.2018.8.15.0371</t>
  </si>
  <si>
    <t>UBERLANDIA FERREIRA DE ARAUJO SILVA</t>
  </si>
  <si>
    <t>CLÁUDIA SARMENTO GADELHA</t>
  </si>
  <si>
    <t>027.099.114-00</t>
  </si>
  <si>
    <t/>
  </si>
  <si>
    <t>83 99108-0787</t>
  </si>
  <si>
    <t>2021033397</t>
  </si>
  <si>
    <t>5a Vara de Sousa</t>
  </si>
  <si>
    <t>5a Vara de Patos</t>
  </si>
  <si>
    <t>0800904-89.2018.8.15.0251</t>
  </si>
  <si>
    <t>ESPÓLIO DE IVAN BARROS DO NASCIMENTO</t>
  </si>
  <si>
    <t xml:space="preserve">BANCO SANTANDER (BRASIL) S.A.
</t>
  </si>
  <si>
    <t xml:space="preserve"> (83) 99332-2907</t>
  </si>
  <si>
    <t>2021032765</t>
  </si>
  <si>
    <t>2a Vara Cível da Capital</t>
  </si>
  <si>
    <t>0819131-86.2016.8.15.2001</t>
  </si>
  <si>
    <t>PEDRO PEREIRA DA SILVA</t>
  </si>
  <si>
    <t>BANCO ITAU CONSIGNADO S.A</t>
  </si>
  <si>
    <t>ANTÔNIO LEITE LOUREIRO NETO PERÍCIAS E CÁLCULOS JURÍDICOS EIRELI</t>
  </si>
  <si>
    <t>34.354.738/0001-30</t>
  </si>
  <si>
    <t>DIREITO</t>
  </si>
  <si>
    <t>GRAFOSCOPIA</t>
  </si>
  <si>
    <t>2021036730</t>
  </si>
  <si>
    <t>2ª VARA DE QUEIMADAS</t>
  </si>
  <si>
    <t>0800038-54.2020.815.0981</t>
  </si>
  <si>
    <t xml:space="preserve">KÁCIO RICARDO DA ROCHA </t>
  </si>
  <si>
    <t>INSS</t>
  </si>
  <si>
    <t>ELDIMAN SOARES
DE ARAÚJO</t>
  </si>
  <si>
    <t>068.997.174-50</t>
  </si>
  <si>
    <t>2021033696</t>
  </si>
  <si>
    <t>Comarca de Sumé</t>
  </si>
  <si>
    <t>0800535-77.2018.815.0451</t>
  </si>
  <si>
    <t>EVALDO MENDONÇA RODRIGUES DOS SANTOS</t>
  </si>
  <si>
    <t>TAMIRES ANDRESA RODRIGUES DOS SANTOS</t>
  </si>
  <si>
    <t>SILVANIA CASSIA MAYER JERONIMO</t>
  </si>
  <si>
    <t>006.872.824-52</t>
  </si>
  <si>
    <t>PERÍCIA GRAFOSCÓPICA</t>
  </si>
  <si>
    <t>2021033637</t>
  </si>
  <si>
    <t>0800203-47.2017.815.0451</t>
  </si>
  <si>
    <t>GERLUCE DE SOUZA QUEIROZ</t>
  </si>
  <si>
    <t>EDILSON DE SOUSA SILVA</t>
  </si>
  <si>
    <t>Silvania Cassia Mayer Jeronimo</t>
  </si>
  <si>
    <t xml:space="preserve">006.872.824-52 </t>
  </si>
  <si>
    <t>2021033653</t>
  </si>
  <si>
    <t>ANTÓNIO GABRIEL FEITOSA ROLIM</t>
  </si>
  <si>
    <t>088.368.794-11</t>
  </si>
  <si>
    <t>2021033688</t>
  </si>
  <si>
    <t>0800296-77.2016.815.0451</t>
  </si>
  <si>
    <t xml:space="preserve">JANAISA MARIA DA SILVA </t>
  </si>
  <si>
    <t>TAMIRES PIONE DA SILVA</t>
  </si>
  <si>
    <t>2021035876</t>
  </si>
  <si>
    <t>4a Vara de Sousa</t>
  </si>
  <si>
    <t>0802588-43.2019.8.15.0371</t>
  </si>
  <si>
    <t>KACILENE AUGUSTA DA SILVA</t>
  </si>
  <si>
    <t>MUNICIPIO DO LASTRO</t>
  </si>
  <si>
    <t>4ª Vara de Sousa</t>
  </si>
  <si>
    <t>0800918-04.2018.8.15.0371</t>
  </si>
  <si>
    <t>DANIEL LEITE DE OLIVEIRA FILHO</t>
  </si>
  <si>
    <t>MUNICÍPIO DE SOUSA</t>
  </si>
  <si>
    <t>0804078-03.2019.8.15.0371</t>
  </si>
  <si>
    <t>SEBASTIAO JOSE DE CARVALHO NETO</t>
  </si>
  <si>
    <t>021.205.144-03</t>
  </si>
  <si>
    <t>0801417-85.2018.8.15.0371</t>
  </si>
  <si>
    <t>EDNA MARIA DANTAS DE SOUSA</t>
  </si>
  <si>
    <t>0800663-60.2016.8.15.0001</t>
  </si>
  <si>
    <t>ERICK MASSIMO PEQUENO DOS REIS</t>
  </si>
  <si>
    <t>ASSOC DOS PROFISSIONAIS LIB.UNIV.DO BRASIL-APLUB</t>
  </si>
  <si>
    <t>ALEXSANDRA DE ANDRADE CABRAL</t>
  </si>
  <si>
    <t>018.641.624-57</t>
  </si>
  <si>
    <t>LAUDO GRAFOTÉCNICO</t>
  </si>
  <si>
    <t>2021035093</t>
  </si>
  <si>
    <t>2021035132</t>
  </si>
  <si>
    <t>2021033707</t>
  </si>
  <si>
    <t>0800469-97.2018.815.0451</t>
  </si>
  <si>
    <t>2020097732</t>
  </si>
  <si>
    <t>2021035833</t>
  </si>
  <si>
    <t>1ªVARA FAMÍLIA E SUCESSÕES DE SÃO MIGUEL
PAULISTA</t>
  </si>
  <si>
    <t>JUÍZO DE DIREITO DA COMARCA DE SUMÉ</t>
  </si>
  <si>
    <t>ANTÔNIO GABRIEL FEITOSA ROLIM</t>
  </si>
  <si>
    <t>2021033731</t>
  </si>
  <si>
    <t>2020157697</t>
  </si>
  <si>
    <t>Comarca de Serra Branca</t>
  </si>
  <si>
    <t>0000091-65.2012.8.15.0911</t>
  </si>
  <si>
    <t>INEZ PEREIRA CAVALCANTE E OUTRO</t>
  </si>
  <si>
    <t>CLAUDIA SIMONE FIGUEIREDO CUSTODIO E OUTROS</t>
  </si>
  <si>
    <t>MARTINHO FERNANDES SOUSA MOTA</t>
  </si>
  <si>
    <t>161.259.084-53</t>
  </si>
  <si>
    <t>PARECER TÉCNICO DE ESTABILIDADEDE EDIFICAÇÃO</t>
  </si>
  <si>
    <t>2021033670</t>
  </si>
  <si>
    <t>2021038000</t>
  </si>
  <si>
    <t>5ª Vara de Patos</t>
  </si>
  <si>
    <t>0806619-78.2019.8.15.0251</t>
  </si>
  <si>
    <t>CARLOS AFONSO SOARES CAVALCANTI</t>
  </si>
  <si>
    <t>BANCO BRADESCO FINANCIAMENTOS S.A.</t>
  </si>
  <si>
    <t>2021038139</t>
  </si>
  <si>
    <t>2ª Vara de Queimadas</t>
  </si>
  <si>
    <t>0001670-90.2016.8.15.0981</t>
  </si>
  <si>
    <t>ERIBERTO MARQUES DE 
FREITAS</t>
  </si>
  <si>
    <t>ELDIMAN SOARES DE ARAÚJO</t>
  </si>
  <si>
    <t xml:space="preserve"> 043.079.784-20</t>
  </si>
  <si>
    <t>2021038180</t>
  </si>
  <si>
    <t>0001214-77.2015.0981</t>
  </si>
  <si>
    <t>JONATHAN OLIVEIRA DOS ANJOS</t>
  </si>
  <si>
    <t>2021038155</t>
  </si>
  <si>
    <t>0801509-42.2019.8.15.0981</t>
  </si>
  <si>
    <t>SEVERINO CABOCLO
DA SILVA JÚNIOR</t>
  </si>
  <si>
    <t>043.079.784-20</t>
  </si>
  <si>
    <t>2021038163</t>
  </si>
  <si>
    <t xml:space="preserve"> 0001632-49.2014.8.15.0981</t>
  </si>
  <si>
    <t>JOAO PAULO FERNANDES</t>
  </si>
  <si>
    <t>2021038198</t>
  </si>
  <si>
    <t>0000568-04.2014.8.15.0981</t>
  </si>
  <si>
    <t xml:space="preserve">JOSÉ RILDO BARBOSA NUNES </t>
  </si>
  <si>
    <t>2021038704</t>
  </si>
  <si>
    <t>0002562-41.2012.8.15.0301</t>
  </si>
  <si>
    <t>2ª Vara de Pombal</t>
  </si>
  <si>
    <t>Adail Gilberto de Sousa Silva e outro</t>
  </si>
  <si>
    <t>Francisco Leite da Silva e outros</t>
  </si>
  <si>
    <t>ABIK ENGENHARIA ECONSULTORIA LTDA</t>
  </si>
  <si>
    <t>34.746.608/0001-81</t>
  </si>
  <si>
    <t>2021040477</t>
  </si>
  <si>
    <t>0826413-59.2019.8.15.000</t>
  </si>
  <si>
    <t>ROBERIO GOMES DE LIMA LINS</t>
  </si>
  <si>
    <t>HERON ANDRADE MARINHO LMF CONSTRUCOES LTDA</t>
  </si>
  <si>
    <t>2021043650</t>
  </si>
  <si>
    <t>0001535-23.2012.815.0301</t>
  </si>
  <si>
    <t>ADENILZA ALVINA
CAVALCANTI</t>
  </si>
  <si>
    <t>ESPÓLIO DE FRANCISCA TRIGUEIRO
TORRES</t>
  </si>
  <si>
    <t xml:space="preserve"> ABIK ENGENHARIA E CONSULTORIA</t>
  </si>
  <si>
    <t>2020170964</t>
  </si>
  <si>
    <t>7ª Vara de Sousa</t>
  </si>
  <si>
    <t>0803653-10.2018.8.15.0371</t>
  </si>
  <si>
    <t>FRANCISCO PEREIRA DE SOUSA</t>
  </si>
  <si>
    <t>JOSÉ ALVES DA SILVA "MACAXEIRA"</t>
  </si>
  <si>
    <t>EBRON GUEDES DE MELO</t>
  </si>
  <si>
    <t>109.743.648-58</t>
  </si>
  <si>
    <t>2021013834</t>
  </si>
  <si>
    <t>3ª Vara de Campina Grande</t>
  </si>
  <si>
    <t>0816721-36.2019.8.15.0001</t>
  </si>
  <si>
    <t>SIDILENE PEREIRA GONCALVES</t>
  </si>
  <si>
    <t>ROMILDA GOMES (IRMÃ PAULINA)</t>
  </si>
  <si>
    <t xml:space="preserve"> 397.520.114-20</t>
  </si>
  <si>
    <t>2021013117</t>
  </si>
  <si>
    <t>9ª Vara de Campina Grande</t>
  </si>
  <si>
    <t>0020828-39.2013.8.15.0011</t>
  </si>
  <si>
    <t>JOSE CUNHA DANTAS SOBRINHO E OUTROS</t>
  </si>
  <si>
    <t>COMPANHIA DE ÁGUA E ESGOTOS DA PARAÍBA - CAGEPA</t>
  </si>
  <si>
    <t>Werlley Targino de Araújo</t>
  </si>
  <si>
    <t>700291034-52</t>
  </si>
  <si>
    <t>2020031934</t>
  </si>
  <si>
    <t>2ª Vara de Campina Grande</t>
  </si>
  <si>
    <t>0816608-19.2018.8.15.0001</t>
  </si>
  <si>
    <t xml:space="preserve"> JORGE LUIS GOMES</t>
  </si>
  <si>
    <t>MARIANA SANTOS DE SOUSA</t>
  </si>
  <si>
    <t>JANAÍNA BEZERRA DE QUEIROZ</t>
  </si>
  <si>
    <t>052.523.994.41</t>
  </si>
  <si>
    <t>2019033404</t>
  </si>
  <si>
    <t>9ª Vara de Ingá</t>
  </si>
  <si>
    <t>0800867-86.2016.815.0201</t>
  </si>
  <si>
    <t>Sueli de Andrade Alves Correia</t>
  </si>
  <si>
    <t xml:space="preserve"> Suênia Alves Correia</t>
  </si>
  <si>
    <t>Rafael Alexandre
Fernandes dos Santos Queiroz</t>
  </si>
  <si>
    <t>070.725.784-04</t>
  </si>
  <si>
    <t>2021046449</t>
  </si>
  <si>
    <t>3ª Vara de Cajazeiras</t>
  </si>
  <si>
    <t>0802469-31.2016.8.15.0131</t>
  </si>
  <si>
    <t>Fabiano Mendonça Cruz</t>
  </si>
  <si>
    <t>Damiana Mangueira de Albuquerque</t>
  </si>
  <si>
    <t>Valnice
de Moraes Rolim</t>
  </si>
  <si>
    <t xml:space="preserve"> 853.750.714-87</t>
  </si>
  <si>
    <t>2021048231</t>
  </si>
  <si>
    <t>7ª Vara da Capital</t>
  </si>
  <si>
    <t>JOSE ARNOBIO DA SILVA PAIVA</t>
  </si>
  <si>
    <t>0829161-49.2017.8.15.2001</t>
  </si>
  <si>
    <t>BANCO PAN</t>
  </si>
  <si>
    <t>Valéria Bezerra Cavalcanti Petrucci</t>
  </si>
  <si>
    <t xml:space="preserve"> 027.388.704-14</t>
  </si>
  <si>
    <t>2021049302</t>
  </si>
  <si>
    <t>0805148-06.2016.8.15.0001</t>
  </si>
  <si>
    <t>EPITACIO PEREIRA DA SILVA</t>
  </si>
  <si>
    <t>ORLY VEICULOS COMERCIO E IMPORTACAO LTDA</t>
  </si>
  <si>
    <t>HYGO DE ALMEIDA PORDEUS</t>
  </si>
  <si>
    <t>035.798.954-60</t>
  </si>
  <si>
    <t>PERÍCIA MECÂNICA</t>
  </si>
  <si>
    <t>2021049319</t>
  </si>
  <si>
    <t xml:space="preserve"> 0817799-70.2016.8.15.0001</t>
  </si>
  <si>
    <t>ROBERTO BARBOSA E OUTRA</t>
  </si>
  <si>
    <t>ANTONIO CABRAL DE CASTRO E S/ ESPOSA MARLUCE
CAVALCANTI F. CASTRO</t>
  </si>
  <si>
    <t>Janio de Araújo Oliveira</t>
  </si>
  <si>
    <t>052.364.334-95</t>
  </si>
  <si>
    <t>2019127184</t>
  </si>
  <si>
    <t>0002400-03.2014.815.013</t>
  </si>
  <si>
    <t>Ministério Público</t>
  </si>
  <si>
    <t>Janaína da Silva</t>
  </si>
  <si>
    <t>Glória
Geane Oliveira Fernandes</t>
  </si>
  <si>
    <t xml:space="preserve"> 020.667.704-93</t>
  </si>
  <si>
    <t>2019264473</t>
  </si>
  <si>
    <t>1ª Vara de Campina Grande</t>
  </si>
  <si>
    <t>0020986-94.2013.8.15.0011</t>
  </si>
  <si>
    <t>SUELDO RODRIGUES DOS SANTOS</t>
  </si>
  <si>
    <t>MARIANA BABY IND E COM DE FRALDAS DESCARTAVEIS
LTDA</t>
  </si>
  <si>
    <t>Alexsandra de
Andrade Cabral</t>
  </si>
  <si>
    <t>2017236129</t>
  </si>
  <si>
    <t>0806616-39.2015.8.15.0001</t>
  </si>
  <si>
    <t>Edineuza Maria Barbosa</t>
  </si>
  <si>
    <t xml:space="preserve"> Adonis Rocha de Oliveira</t>
  </si>
  <si>
    <t>DJANETE SANTOS DO BÚ</t>
  </si>
  <si>
    <t>884.306.344-87</t>
  </si>
  <si>
    <t>2019032696</t>
  </si>
  <si>
    <t>8ª Vara de Campina Grande</t>
  </si>
  <si>
    <t>0008665-90.2014.8.15.0011</t>
  </si>
  <si>
    <t>DIOGO FERREIRA DA SILVA</t>
  </si>
  <si>
    <t>Asia Motos Comércio e Serviços de Motos LTDA.- EPP</t>
  </si>
  <si>
    <t>Daniel dos Santos</t>
  </si>
  <si>
    <t>026.649.234-71</t>
  </si>
  <si>
    <t>2020040574</t>
  </si>
  <si>
    <t>5ª Vara de Campina Grande</t>
  </si>
  <si>
    <t>0813510-94.2016.8.15.0001</t>
  </si>
  <si>
    <t xml:space="preserve"> Franciele Felix Saules de Almeida</t>
  </si>
  <si>
    <t>BV Financeira S/A CRÉDITO, FINANCIAMENTO E INVESTIMENTO</t>
  </si>
  <si>
    <t>023.989.844-35</t>
  </si>
  <si>
    <t>Henrique José Henriques Arteiro</t>
  </si>
  <si>
    <t>2019173772</t>
  </si>
  <si>
    <t>0018962-
59.2014.8.15.0011</t>
  </si>
  <si>
    <t>SEVERINA CAROLINA BEZERRA</t>
  </si>
  <si>
    <t>ROBERTO
BEZERRA CAMPOS</t>
  </si>
  <si>
    <t>Isabel Amorim Leôncio</t>
  </si>
  <si>
    <t>884.933.504-00</t>
  </si>
  <si>
    <t>2020152685</t>
  </si>
  <si>
    <t>4ª Vara de Campina Grande</t>
  </si>
  <si>
    <t>0821877-73.2017.815.0001</t>
  </si>
  <si>
    <t>ANTÔNIO BATISTA CABRAL  e outra</t>
  </si>
  <si>
    <t>JANAÍNA BARBOSA DE ARAÚJO</t>
  </si>
  <si>
    <t xml:space="preserve">Adrineide Martins Pamplona de Sousa
</t>
  </si>
  <si>
    <t>885.626.704-72</t>
  </si>
  <si>
    <t>2019275513</t>
  </si>
  <si>
    <t>0800867-36.2018.8.15.0001</t>
  </si>
  <si>
    <t>LUCENILDA SILVA LIRA</t>
  </si>
  <si>
    <t>MARIA ODETE NUNES PEREIRA</t>
  </si>
  <si>
    <t>Hiran de Melo Filho</t>
  </si>
  <si>
    <t>2020058244</t>
  </si>
  <si>
    <t>4ª Vara de Bayeux</t>
  </si>
  <si>
    <t>0801349-96.2017.815.0751</t>
  </si>
  <si>
    <t xml:space="preserve"> Diego da Fonseca Soares</t>
  </si>
  <si>
    <t>104.955.027-74</t>
  </si>
  <si>
    <t>Maria Dalva dos Santos Costa</t>
  </si>
  <si>
    <t>Município de Bayeux</t>
  </si>
  <si>
    <t>2020113868</t>
  </si>
  <si>
    <t>5ª Vara de Guarabira</t>
  </si>
  <si>
    <t>0801908-80.2018.8.15.0181</t>
  </si>
  <si>
    <t>VILMA GUIMARAES DE ALMEIDA</t>
  </si>
  <si>
    <t xml:space="preserve"> ESTADO DA PARAÍBA-PB</t>
  </si>
  <si>
    <t>2020035961</t>
  </si>
  <si>
    <t>0001932-74.2015.8.15.0011</t>
  </si>
  <si>
    <t>MORGANA DE FARIAS GOMES</t>
  </si>
  <si>
    <t>VALBER DE SOUSA SILVA</t>
  </si>
  <si>
    <t>Mauridete Grangeiro de Barros</t>
  </si>
  <si>
    <t>397.520.114-20</t>
  </si>
  <si>
    <t>2020135008</t>
  </si>
  <si>
    <t xml:space="preserve"> 0818897-85.2019.8.15.0001
</t>
  </si>
  <si>
    <t>VITÓRIA DE OLIVEIRA SOUSA</t>
  </si>
  <si>
    <t>VERÔNICA DE OLIVEIRA SOUSA</t>
  </si>
  <si>
    <t>Maurinete Grangeiro de Barros</t>
  </si>
  <si>
    <t>2020012547</t>
  </si>
  <si>
    <t>0813154-31.2018.815.0001</t>
  </si>
  <si>
    <t>FABIO HERMINEGILDO DE OLIVEIRA</t>
  </si>
  <si>
    <t>DEBORA DE SOUSA GOMES</t>
  </si>
  <si>
    <t>052.523.994-41</t>
  </si>
  <si>
    <t>Janaina Bezerra de Queiroz</t>
  </si>
  <si>
    <t>2021026531</t>
  </si>
  <si>
    <t>4ª Vara de Cabedelo</t>
  </si>
  <si>
    <t xml:space="preserve"> 0002103-15.2009.815.0731</t>
  </si>
  <si>
    <t xml:space="preserve"> Rita da Costa Vieira</t>
  </si>
  <si>
    <t>Banco Volks S.A.</t>
  </si>
  <si>
    <t>Gustavo Henrique Valença de Melo</t>
  </si>
  <si>
    <t>332.867.874-34</t>
  </si>
  <si>
    <t>2021025348</t>
  </si>
  <si>
    <t>0802233-13.2018.8.15.0001</t>
  </si>
  <si>
    <t>ALAECO FRANCISCO DE ARRUDA</t>
  </si>
  <si>
    <t>MARIA APARECIDA DE ANDRADE</t>
  </si>
  <si>
    <t>2021042794</t>
  </si>
  <si>
    <t>0800155-42.2017.8.15.0531</t>
  </si>
  <si>
    <t>MARLUCE LOPES PEREIRA</t>
  </si>
  <si>
    <t>BANCO BRADESCO SA e outro</t>
  </si>
  <si>
    <t>2020066791</t>
  </si>
  <si>
    <t>7ª Vara de Patos</t>
  </si>
  <si>
    <t>MARIA DAS GRACAS ARAUJO e outra</t>
  </si>
  <si>
    <t>FRANCISCA PEREIRA DE ALMEIDA</t>
  </si>
  <si>
    <t>0000433-19.2012.8.15.0251</t>
  </si>
  <si>
    <t>Jéssica de Queiroz Vieira</t>
  </si>
  <si>
    <t xml:space="preserve"> 090.129.864-60</t>
  </si>
  <si>
    <t>2020035945</t>
  </si>
  <si>
    <t>0807670-98.2019.815.0001</t>
  </si>
  <si>
    <t>JOSEFA FREIRE CAMELO</t>
  </si>
  <si>
    <t>MARINEIDE SILVA CAMELO e outro</t>
  </si>
  <si>
    <t>2020035988</t>
  </si>
  <si>
    <t>0807110-59.2019.815.0001</t>
  </si>
  <si>
    <t>MARIA DO SOCORRO DA SILVA</t>
  </si>
  <si>
    <t>SEM POLO PASSIVO</t>
  </si>
  <si>
    <t>2019263761</t>
  </si>
  <si>
    <t>0022871-46.2013.815.0011</t>
  </si>
  <si>
    <t>THALITA SIRLEY BEZERRA DE MELO</t>
  </si>
  <si>
    <t>EDSON WESLEY DE MELO SOUZA</t>
  </si>
  <si>
    <t>2020092890</t>
  </si>
  <si>
    <t>0023493-91.2014.8.15.0011</t>
  </si>
  <si>
    <t>ADRIANO DE OLIVEIRA UCHÔA</t>
  </si>
  <si>
    <t>CARMEM BERTHA VICENTE DA SILVA</t>
  </si>
  <si>
    <t>Adália de Sá Costa</t>
  </si>
  <si>
    <t>038.490.458-80</t>
  </si>
  <si>
    <t>2021027794</t>
  </si>
  <si>
    <t>0001150-77.2014.8.15.0601</t>
  </si>
  <si>
    <t>MARIA BATISTA FERREIRA</t>
  </si>
  <si>
    <t>BPREV -MUNICÍPIO DE DONA INÊS</t>
  </si>
  <si>
    <t>NILSON SHIZUE SUASSUNA</t>
  </si>
  <si>
    <t>000.827.794-06</t>
  </si>
  <si>
    <t>2021032940</t>
  </si>
  <si>
    <t>0826184-65.2020.8.15.0001</t>
  </si>
  <si>
    <t>VARA ÚNICA DE BELÉM</t>
  </si>
  <si>
    <t>PAULO ANDRE DA SILVA SANTOS e OUTRA</t>
  </si>
  <si>
    <t>SAMARA TELES DA SILVA</t>
  </si>
  <si>
    <t>2019216827</t>
  </si>
  <si>
    <t>0014451-
81.2015.815.0011</t>
  </si>
  <si>
    <t>SERGIO LUIZ MALTA DE AZEVEDO</t>
  </si>
  <si>
    <t>LAIS SOARES MALTA E OUTRO</t>
  </si>
  <si>
    <t>031.401.004-18</t>
  </si>
  <si>
    <t>Carlene Fulco da Silva</t>
  </si>
  <si>
    <t>2021027204</t>
  </si>
  <si>
    <t>VARA ÚNICA DE SÃO JOSÉ DE
PIRANHAS-PB</t>
  </si>
  <si>
    <t>0000806-43.2012.815.0221</t>
  </si>
  <si>
    <t>JOSE RIBAMAR DIAS DE SOUSA e OUTROS</t>
  </si>
  <si>
    <t>MANOEL BEZERRA DIAS</t>
  </si>
  <si>
    <t>Manuel Caetano de Brito Neto</t>
  </si>
  <si>
    <t>053.027.324-16</t>
  </si>
  <si>
    <t>2021056539</t>
  </si>
  <si>
    <t>0001258-44.2014.815.0751</t>
  </si>
  <si>
    <t>Diego da Fonseca Soares</t>
  </si>
  <si>
    <t>Janaína Fernandes Limada Silva</t>
  </si>
  <si>
    <t>2021060111</t>
  </si>
  <si>
    <t>VARA ÚNICA DE POCINHOS</t>
  </si>
  <si>
    <t>0001006-21.2016.8.15.0541</t>
  </si>
  <si>
    <t>FELIPE DO NASCIMENTO TAVARES</t>
  </si>
  <si>
    <t>INSS INSTITUTO NACIONAL DO SEGURO SOCIAL</t>
  </si>
  <si>
    <t>Tiago Martins Formiga</t>
  </si>
  <si>
    <t>051.447.734-27</t>
  </si>
  <si>
    <t>2021060103</t>
  </si>
  <si>
    <t>0000660-46.2011.8.15.0541</t>
  </si>
  <si>
    <t>MAILTON BARROS MARINHO</t>
  </si>
  <si>
    <t>TIAGO MARTINS FORMIGA</t>
  </si>
  <si>
    <t>2021060099</t>
  </si>
  <si>
    <t xml:space="preserve"> 0801909-23.2018.8.15.0001</t>
  </si>
  <si>
    <t>JESSICA MARQUES ROCHA</t>
  </si>
  <si>
    <t>LINALDO AGRIPINO DOS SANTOS</t>
  </si>
  <si>
    <t>Marcos Tiago de
Sousa Victor</t>
  </si>
  <si>
    <t>027.494.154-62</t>
  </si>
  <si>
    <t>LAUDO PERICIAL DAS CONDIÇÕES ESTRUTURAIS DE SEGURNÇA E SOLIDEZ DE IMÓVEL, CONFORME NORMA DA ABNT RESPECTIVAS</t>
  </si>
  <si>
    <t>2021050663</t>
  </si>
  <si>
    <t>2ª Vara de Piancó</t>
  </si>
  <si>
    <t>0800713-48.2017.8.15.0261</t>
  </si>
  <si>
    <t>Antônia Henrique
Tomaz</t>
  </si>
  <si>
    <t>Ana Henrique Sobrinha</t>
  </si>
  <si>
    <t>Claudia Cristina Studart Leal</t>
  </si>
  <si>
    <t>061.721.584-73</t>
  </si>
  <si>
    <t>2020018890</t>
  </si>
  <si>
    <t>0809474-43.2015.815.0001</t>
  </si>
  <si>
    <t>ALISSON PEREIRA SANTANA</t>
  </si>
  <si>
    <t>LARISSA PERES DE SALES CONCEIÇÃO</t>
  </si>
  <si>
    <t>ANA ELIZABETH ARAÚJO LUNA</t>
  </si>
  <si>
    <t xml:space="preserve"> 059.931.514-80</t>
  </si>
  <si>
    <t>2021065923</t>
  </si>
  <si>
    <t>0802069-69.2021.8.15.0251</t>
  </si>
  <si>
    <t>MARIA CARMELITA DE LACERDA ALMEIDA</t>
  </si>
  <si>
    <t>BANCO MERCANTIL DO BRASIL S.A.</t>
  </si>
  <si>
    <t>2021070703</t>
  </si>
  <si>
    <t>0809888-07.2016.8.15.0001</t>
  </si>
  <si>
    <t xml:space="preserve">DANILLO MARTINS FREITAS SANTOS </t>
  </si>
  <si>
    <t>B.A.C CONSTRUCAO, INCORPORACAO,IMOBILARIA
EIRELI</t>
  </si>
  <si>
    <t xml:space="preserve"> Marcos Tiago de Sousa Victor</t>
  </si>
  <si>
    <t>2021067759</t>
  </si>
  <si>
    <t>0822307-59.2016.8.15.0001</t>
  </si>
  <si>
    <t>JOSE FABIO MELO COSTA</t>
  </si>
  <si>
    <t>CLARO S/A</t>
  </si>
  <si>
    <t>048.870.264-04</t>
  </si>
  <si>
    <t>José de Santana Filho</t>
  </si>
  <si>
    <t>2021072709</t>
  </si>
  <si>
    <t>9ª Vara de João Pessoa</t>
  </si>
  <si>
    <t>0101045-50.2012.8.15.2001</t>
  </si>
  <si>
    <t>ANTONIO JOSÉ DE VASCONCELOS
COSTA</t>
  </si>
  <si>
    <t>ENERGISA PARAIBA - DISTRIBUIDORA DE
ENERGIA S.A</t>
  </si>
  <si>
    <t>Iago Mangueira Leite</t>
  </si>
  <si>
    <t>081.405.674-18</t>
  </si>
  <si>
    <t>2021073564</t>
  </si>
  <si>
    <t>2ª Vara de Bayeux</t>
  </si>
  <si>
    <t>0001735-38.2012.8.15.0751</t>
  </si>
  <si>
    <t>João Batista Soares do Nascimento Júnior</t>
  </si>
  <si>
    <t>FEDERAL DE SEGUROS
S/A</t>
  </si>
  <si>
    <t>Marcos Vinicius Amorim Freitas</t>
  </si>
  <si>
    <t>051.944.134-67</t>
  </si>
  <si>
    <t>2021073239</t>
  </si>
  <si>
    <t>0809422-47.2015.8.15.0001</t>
  </si>
  <si>
    <t>ROCE CONSTRUCAO E EMPREENDIMENTOS
IMOBILIARIOS LTDA</t>
  </si>
  <si>
    <t>DIEGO MARTINS DUARTE e outra</t>
  </si>
  <si>
    <t>MARCOS TIAGO DE SOUSA
VICTOR</t>
  </si>
  <si>
    <t>2020183925</t>
  </si>
  <si>
    <t>0800091-
14.2017.815.0731</t>
  </si>
  <si>
    <t>ANTÔNIO SEBASTIÃO DE LIMA</t>
  </si>
  <si>
    <t xml:space="preserve"> BANCO BRADESCO AS</t>
  </si>
  <si>
    <t>2021027809</t>
  </si>
  <si>
    <t>JOSE BARBOSA MOREIRA</t>
  </si>
  <si>
    <t>Vara Única de Belém</t>
  </si>
  <si>
    <t>0001206-13.2014.8.15.0601</t>
  </si>
  <si>
    <t>2021027760</t>
  </si>
  <si>
    <t>0000123-59.2014.8.15.0601</t>
  </si>
  <si>
    <t xml:space="preserve"> PEDRO DOMINGOS DOS SANTOS</t>
  </si>
  <si>
    <t>PBPREV</t>
  </si>
  <si>
    <t>2020170997</t>
  </si>
  <si>
    <t>0803504-14.2018.8.15.0371</t>
  </si>
  <si>
    <t>7ª Vara  de Sousa</t>
  </si>
  <si>
    <t>ESPEDITA PAULINO DE BRITO</t>
  </si>
  <si>
    <t>JUDIVAN FERNANDES DE ANDRADE</t>
  </si>
  <si>
    <t>EBROM GUEDES DE MELO</t>
  </si>
  <si>
    <t>2021006909</t>
  </si>
  <si>
    <t>0003920-04.2013.815.0011</t>
  </si>
  <si>
    <t>FRANCISCO DE ASSIS OLIVEIRA DE MORAIS E OUTRA</t>
  </si>
  <si>
    <t xml:space="preserve"> HOSPITAL DE OLHOS DE CARUARU LTDA E OUTRO</t>
  </si>
  <si>
    <t xml:space="preserve"> Fábio Kenedy Almeida Trigueiro</t>
  </si>
  <si>
    <t>380.111.314-00</t>
  </si>
  <si>
    <t>2021032548</t>
  </si>
  <si>
    <t>8ª Vara de João Pessoa</t>
  </si>
  <si>
    <t>0844820-35.2016.8.15.2001</t>
  </si>
  <si>
    <t>JOAO FAGUNDES DO NASCIMENTO</t>
  </si>
  <si>
    <t>DISAL ADMINISTRADORA DE CONSORCIOS LTDA</t>
  </si>
  <si>
    <t>ADAUTO DE ARAÚJO VICENTE</t>
  </si>
  <si>
    <t>2021019028</t>
  </si>
  <si>
    <t>12ª Vara de João Pessoa</t>
  </si>
  <si>
    <t>Paulo Roberto Mota</t>
  </si>
  <si>
    <t>0034938.63.2008.815.2001</t>
  </si>
  <si>
    <t>Raquel Andrade Garcia</t>
  </si>
  <si>
    <t>Domingos Soares de Souza</t>
  </si>
  <si>
    <t>070.963.994-53</t>
  </si>
  <si>
    <t>2020139534</t>
  </si>
  <si>
    <t>0821185-06.2019.8.15.0001</t>
  </si>
  <si>
    <t>MARIA ROSA MÍSTICA SOUTO ANDRADE</t>
  </si>
  <si>
    <t>ALEXANDRE DA SILVA SANTOS</t>
  </si>
  <si>
    <t>2020054925</t>
  </si>
  <si>
    <t>0821771-43.2019.8.15.0001</t>
  </si>
  <si>
    <t>WEDSON DOUGLAS SILVA MOREIRA</t>
  </si>
  <si>
    <t>THAYSSA ESTHEFASNE GOMES SILVA</t>
  </si>
  <si>
    <t>JANAINA
BEZERRA DE QUEIROZ</t>
  </si>
  <si>
    <t>2020033340</t>
  </si>
  <si>
    <t>DAIANA APOLINARIO DORNELLAS</t>
  </si>
  <si>
    <t>IVANILDO BASCIMENTO ALMEIDA</t>
  </si>
  <si>
    <t>0009796-66.2015.815.0001</t>
  </si>
  <si>
    <t>2020047129</t>
  </si>
  <si>
    <t xml:space="preserve"> 0813882-72.2018.815.0001</t>
  </si>
  <si>
    <t>PAULO ROBERTO FIGUEIRA DOS SANTOS</t>
  </si>
  <si>
    <t>RENALLY INGRID DA SILVA SOARES</t>
  </si>
  <si>
    <t>2021076028</t>
  </si>
  <si>
    <t>5ª Vara de Sousa</t>
  </si>
  <si>
    <t>TERESINHA ZELIA DE SOUSA</t>
  </si>
  <si>
    <t>BANCO BRADESCO FINANCIAMENTOS S.A</t>
  </si>
  <si>
    <t>0801205-31.2021.8.15.0251</t>
  </si>
  <si>
    <t>2020009684</t>
  </si>
  <si>
    <t xml:space="preserve">0811776-06.2019.815.0001
</t>
  </si>
  <si>
    <t>SERGILNO MONTEIRO REIS DE LIMA</t>
  </si>
  <si>
    <t>ALINE SOUSA LIMA e outro</t>
  </si>
  <si>
    <t>2020036000</t>
  </si>
  <si>
    <t>0010740-68.2015.815.0011</t>
  </si>
  <si>
    <t>LUIZ RODRIGUES DE SILVA</t>
  </si>
  <si>
    <t>BRUNO RODRIGUES NUNES</t>
  </si>
  <si>
    <t>2021029419</t>
  </si>
  <si>
    <t xml:space="preserve"> 0801257-35.2020.8.15.0001</t>
  </si>
  <si>
    <t>CLEUZIMAR DIAS DE OLIVEIRA GADELHA e outro</t>
  </si>
  <si>
    <t xml:space="preserve"> CLODOMAR DIAS DE OLIVEIRA</t>
  </si>
  <si>
    <t>2021025612</t>
  </si>
  <si>
    <t>0800916-19.2014.8.15.0001</t>
  </si>
  <si>
    <t>ANGELO FLAVIO DA SILVA</t>
  </si>
  <si>
    <t>RAUL AGRIPINO SANTOS</t>
  </si>
  <si>
    <t>AMANDA DA SILVEIRA CANDEIA</t>
  </si>
  <si>
    <t>047.164.824 – 80</t>
  </si>
  <si>
    <t>2021013883</t>
  </si>
  <si>
    <t>0831955-58.2019.8.15.0001</t>
  </si>
  <si>
    <t>BRUNNA SUELY QUEIROZ DE LIMA</t>
  </si>
  <si>
    <t>WILLIAM ARAUJO DE SOUZA</t>
  </si>
  <si>
    <t xml:space="preserve">MAURIDETE GRANGEIRO DE BARROS </t>
  </si>
  <si>
    <t>2021044179</t>
  </si>
  <si>
    <t xml:space="preserve"> 0824755-97.2019.8.15.0001</t>
  </si>
  <si>
    <t>FLAVIA JAIANE MENDES JUSTINO</t>
  </si>
  <si>
    <t>ALEX DA SILVA</t>
  </si>
  <si>
    <t>2019.243.186</t>
  </si>
  <si>
    <t>0804417-73.2017.815.0001</t>
  </si>
  <si>
    <t>Carmem Lúcia Bernardo de Oliveira</t>
  </si>
  <si>
    <t>Elisângela Oliveira de Lima e outro</t>
  </si>
  <si>
    <t>2021042181</t>
  </si>
  <si>
    <t>0802011-45.2018.8.15.0001</t>
  </si>
  <si>
    <t>TIAGO DA SILVA MARTINS</t>
  </si>
  <si>
    <t>DENISE SANTOS DE MELO</t>
  </si>
  <si>
    <t>2021030208</t>
  </si>
  <si>
    <t>0811189-03.2016.8.15.2001</t>
  </si>
  <si>
    <t>MARIA DO CARMO LIRA FREIRE</t>
  </si>
  <si>
    <t>BFB LEASING S/A ARRENDAMENTO MERCANTIL</t>
  </si>
  <si>
    <t>2ª Vara de João Pessoa</t>
  </si>
  <si>
    <t>160.702.754-20</t>
  </si>
  <si>
    <t>2018133201</t>
  </si>
  <si>
    <t>0005518-66.2008.815.0011</t>
  </si>
  <si>
    <t>José Carlos Leite</t>
  </si>
  <si>
    <t>Bradesco Vida e Previdência</t>
  </si>
  <si>
    <t>Cícero da
Costa Cirne</t>
  </si>
  <si>
    <t>451.125.414.15</t>
  </si>
  <si>
    <t>10ª Vara de Campina Grande</t>
  </si>
  <si>
    <t>2021011937</t>
  </si>
  <si>
    <t>CICERO FRANCISCO DE SOUZA</t>
  </si>
  <si>
    <t>MARIA DO SOCORRO DE ALMEIDA</t>
  </si>
  <si>
    <t>0828609-02.2019.8.15.0001</t>
  </si>
  <si>
    <t>2018127463</t>
  </si>
  <si>
    <t>0019935-
24.2015.8.15.2001</t>
  </si>
  <si>
    <t>João Monteiro de Franca Neto</t>
  </si>
  <si>
    <t>Maria Ilzenir Moreira Franca</t>
  </si>
  <si>
    <t>Rennan Felipe Santos da Silva</t>
  </si>
  <si>
    <t xml:space="preserve"> 071.413.924-67</t>
  </si>
  <si>
    <t>2020120742</t>
  </si>
  <si>
    <t>1ª Vara de João Pessoa</t>
  </si>
  <si>
    <t>0818877-16.2016.8.15.2001</t>
  </si>
  <si>
    <t>JOSE BATISTA CAMELO</t>
  </si>
  <si>
    <t>BANCO BRADESCO AS</t>
  </si>
  <si>
    <t>Rafael Camelo de Andrade Trajano</t>
  </si>
  <si>
    <t>065.020.044-66</t>
  </si>
  <si>
    <t>2020025061</t>
  </si>
  <si>
    <t>JOSINALDO RESENDO SOARES</t>
  </si>
  <si>
    <t>BV FINANCEIRA SA CREDITO FINANCIAMENTO E
INVESTIMENTO</t>
  </si>
  <si>
    <t>0123356-35.2012.8.15.2001</t>
  </si>
  <si>
    <t>Adauto de Araújo Vicente</t>
  </si>
  <si>
    <t>2021036199</t>
  </si>
  <si>
    <t>5ª Vara  de Campina Grande</t>
  </si>
  <si>
    <t>0805405-26.2019.8.15.0001</t>
  </si>
  <si>
    <t>VALERIA LIRA DE AMORIM</t>
  </si>
  <si>
    <t>MARCO AURELIO LIRA DE AMORIM</t>
  </si>
  <si>
    <t>Yves Conrado Prudencio</t>
  </si>
  <si>
    <t>2021077406</t>
  </si>
  <si>
    <t>4ª Vara  de Campina Grande</t>
  </si>
  <si>
    <t>0806908-87.2016.8.15.0001</t>
  </si>
  <si>
    <t>KARLA CRISTINA CORREIA DE SOUSA</t>
  </si>
  <si>
    <t>BANCO
BRADESCO SA E OUTRO</t>
  </si>
  <si>
    <t>JOSÉ DE SANTANA FILHO</t>
  </si>
  <si>
    <t>2021050735</t>
  </si>
  <si>
    <t>2ª Vara  de Piancó</t>
  </si>
  <si>
    <t>0800318-38.2018.8.15.1161</t>
  </si>
  <si>
    <t>Mara do Socorro da Silva</t>
  </si>
  <si>
    <t>Francisca Maria da Silva</t>
  </si>
  <si>
    <t>2021035825</t>
  </si>
  <si>
    <t>3ª Vara  de Itaporanga</t>
  </si>
  <si>
    <t>0800684-
80.2019.8.15.0211</t>
  </si>
  <si>
    <t>Raimunda Luíza da Silva</t>
  </si>
  <si>
    <t>Sabemi Seguradora S.A.</t>
  </si>
  <si>
    <t>PERÍCIA GRAFOTÉCNICA</t>
  </si>
  <si>
    <t>2021082428</t>
  </si>
  <si>
    <t xml:space="preserve"> Vara Única de São Bento</t>
  </si>
  <si>
    <t xml:space="preserve"> 0800957-18.2021.8.15.0881</t>
  </si>
  <si>
    <t xml:space="preserve">JOSIVALDO GOMES DANTAS </t>
  </si>
  <si>
    <t>TEREZINHA GOMES DANTAS</t>
  </si>
  <si>
    <t>ALEXSANDRO DA SILVA FERNANDES</t>
  </si>
  <si>
    <t xml:space="preserve"> 044.220.834-06</t>
  </si>
  <si>
    <t>VALOR</t>
  </si>
  <si>
    <t>I</t>
  </si>
  <si>
    <t>PERITO</t>
  </si>
  <si>
    <t>CPF/CNJP</t>
  </si>
  <si>
    <t>ESPÉCIE DE PERÍCIA</t>
  </si>
  <si>
    <t>Total Geral</t>
  </si>
  <si>
    <t>Soma de VALOR ARBITRADO</t>
  </si>
  <si>
    <t>Comarca de Belém</t>
  </si>
  <si>
    <t>Comarca de São Bento</t>
  </si>
  <si>
    <t>Comarca de Pocinhos</t>
  </si>
  <si>
    <t>ABIK ENGENHARIA E CONSULTORIA LTDA</t>
  </si>
  <si>
    <t>Janaína Bezerra de Queiroz</t>
  </si>
  <si>
    <t>2020113786</t>
  </si>
  <si>
    <t>0801674-98.2018.8.15.0181</t>
  </si>
  <si>
    <t>TATIANA DA SILVA FREIRE</t>
  </si>
  <si>
    <t>MUNICIPIO DE GUARABIRA</t>
  </si>
  <si>
    <t>LAUDO DE INSALUBRIDADE E/OU PERICULOSIDADE, CONFORME NORMAS DA ABNT RESPECTIV</t>
  </si>
  <si>
    <t>1ª Vara Cível de Campina Grande</t>
  </si>
  <si>
    <t>3ª Vara de Família de Campina Grande</t>
  </si>
  <si>
    <t>9ª Vara Cível de Campina Grande</t>
  </si>
  <si>
    <t>2ª Vara de Família de Campina Grande</t>
  </si>
  <si>
    <t>7ª Vara Cível de João Pessoa</t>
  </si>
  <si>
    <t>3ª Vara Cível de Campina Grande</t>
  </si>
  <si>
    <t>1ª Vara de Família de Campina Grande</t>
  </si>
  <si>
    <t>8ª Vara Cível de Campina Grande</t>
  </si>
  <si>
    <t>5ª Vara Cível de Campina Grande</t>
  </si>
  <si>
    <t>4ª Vara de Família de Campina Grande</t>
  </si>
  <si>
    <t>4ª Vara Cível de Campina Grande</t>
  </si>
  <si>
    <t>5ª Vara de Família de Campina Grande</t>
  </si>
  <si>
    <t>9ª Vara Cível de João Pessoa</t>
  </si>
  <si>
    <t>8ª Vara Cível de João Pessoa</t>
  </si>
  <si>
    <t>12ª Vara Cível de João Pessoa</t>
  </si>
  <si>
    <t>2019243186</t>
  </si>
  <si>
    <t>2ª Vara Cível de João Pessoa</t>
  </si>
  <si>
    <t>10ª Vara Cível de Campina Grande</t>
  </si>
  <si>
    <t>2ª Vara de Família de João Pessoa</t>
  </si>
  <si>
    <t>1ª Vara Cível de João Pessoa</t>
  </si>
  <si>
    <t>2021084913</t>
  </si>
  <si>
    <t xml:space="preserve"> 0810973-23.2019.8.15.0001</t>
  </si>
  <si>
    <t>ALFREDO ARAUJO</t>
  </si>
  <si>
    <t>Alexsandra de Andrade Cabral</t>
  </si>
  <si>
    <t>2021046947</t>
  </si>
  <si>
    <t>0804362-79.2017.8.15.0371</t>
  </si>
  <si>
    <t xml:space="preserve"> Alcivan Cirilo de Queiroz</t>
  </si>
  <si>
    <t>BANCO DO NORDESTE DO BRASIL S/A</t>
  </si>
  <si>
    <t>OK</t>
  </si>
  <si>
    <t>2021053286</t>
  </si>
  <si>
    <t>0000336-73.2016.8.15.0511</t>
  </si>
  <si>
    <t>MARIA GORETE GABRIEL DE PONTES</t>
  </si>
  <si>
    <t xml:space="preserve">MUNICIPIO DE
SERTÃOZINHO e outro
</t>
  </si>
  <si>
    <t>0806208-63.2019.8.15.0371</t>
  </si>
  <si>
    <t xml:space="preserve">MARIA APARECIDA DE LIMA </t>
  </si>
  <si>
    <t>MUNICIPIO DE SANTA CRUZ</t>
  </si>
  <si>
    <t>2021087770</t>
  </si>
  <si>
    <t>0801739-72.2021.8.15.0251</t>
  </si>
  <si>
    <t>MARIA DA GUIA CESÁRIA DO NASCIMENTO</t>
  </si>
  <si>
    <t>Banco C6 Consignado</t>
  </si>
  <si>
    <t>2020112978</t>
  </si>
  <si>
    <t>0800919-40.2019.8.15.0181</t>
  </si>
  <si>
    <t>JOAO JOSE DE ANDRADE</t>
  </si>
  <si>
    <t>CHUBB SEGUROS BRASIL S.A</t>
  </si>
  <si>
    <t>Juízos</t>
  </si>
  <si>
    <t>2021045788</t>
  </si>
  <si>
    <t>0807012-66.2020.8.15.0251</t>
  </si>
  <si>
    <t>SEBASTIAO SOBRINHO</t>
  </si>
  <si>
    <t>2021059767</t>
  </si>
  <si>
    <t xml:space="preserve"> 0807134-16.2019.8.15.0251</t>
  </si>
  <si>
    <t>GILBERTO SILVA DINIZ</t>
  </si>
  <si>
    <t>BANCO DO BRASIL SA e outro</t>
  </si>
  <si>
    <t>2021042833</t>
  </si>
  <si>
    <t>0802911-83.2020.8.15.0251</t>
  </si>
  <si>
    <t>GERALDO NUNES RODRIGUES</t>
  </si>
  <si>
    <t>BANCO ITAU CONSIGNADO S.A.</t>
  </si>
  <si>
    <t>2021075927</t>
  </si>
  <si>
    <t>0806875-29.2018.8.15.0001</t>
  </si>
  <si>
    <t>MARIA MARGARETE ALEXANDRE DE SOUSA</t>
  </si>
  <si>
    <t>ANDRÉ SOUSA SILVA e outra</t>
  </si>
  <si>
    <t>2021065343</t>
  </si>
  <si>
    <t>0005900-
20.2018.815.0011</t>
  </si>
  <si>
    <t>JOSE HILTON PINHEIRO ANACLETO</t>
  </si>
  <si>
    <t>COMPANHIA DE AGUA E ESGOTOS DA PARAIBA CAGEPA</t>
  </si>
  <si>
    <t>JOSÉ ODERNES ARAÚJO</t>
  </si>
  <si>
    <t>2019099861</t>
  </si>
  <si>
    <t>4ª Vara Cível de João Pessoa</t>
  </si>
  <si>
    <t>Emerson Félix Gomes</t>
  </si>
  <si>
    <t>José Alberes de Lucena Assis</t>
  </si>
  <si>
    <t>Mílton Tavares de Melo Júnior</t>
  </si>
  <si>
    <t>645.811.444-34</t>
  </si>
  <si>
    <t>DATA ADIANTAMENTO</t>
  </si>
  <si>
    <t>CHECAGEM</t>
  </si>
  <si>
    <t>CHECAGEM ADIATAMENTO</t>
  </si>
  <si>
    <t>COMARCA</t>
  </si>
  <si>
    <t>Comarca de Campina Grande</t>
  </si>
  <si>
    <t>Comarca de Queimadas</t>
  </si>
  <si>
    <t>Comarca de Pombal</t>
  </si>
  <si>
    <t>Comarca de Piancó</t>
  </si>
  <si>
    <t>Comarca de Bayeux</t>
  </si>
  <si>
    <t>Comarca de Cajazeiras</t>
  </si>
  <si>
    <t>Comarca de Sousa</t>
  </si>
  <si>
    <t>Comarca de Cabedelo</t>
  </si>
  <si>
    <t>Comarca de Patos</t>
  </si>
  <si>
    <t>Comarca de Guarabira</t>
  </si>
  <si>
    <t>Comarca de Ingá</t>
  </si>
  <si>
    <t>Vara única de Sumé</t>
  </si>
  <si>
    <t>Vara única de Serra Branca</t>
  </si>
  <si>
    <t>Vara única de Belém</t>
  </si>
  <si>
    <t>Vara única de Pocinhos</t>
  </si>
  <si>
    <t>Vara única de São Bento</t>
  </si>
  <si>
    <t>Comarca de João Pessoa</t>
  </si>
  <si>
    <t>200.2003.515.780-5</t>
  </si>
  <si>
    <t>3ª Vara de Itaporanga</t>
  </si>
  <si>
    <t>Comarca de Itaporanga</t>
  </si>
  <si>
    <t>(vazio)</t>
  </si>
  <si>
    <t xml:space="preserve">VALORES </t>
  </si>
  <si>
    <t>COMARCAS</t>
  </si>
  <si>
    <t>2021088891</t>
  </si>
  <si>
    <t>0826213-52.2019.8.15.0001</t>
  </si>
  <si>
    <t>AMBROSINA PEREIRA DE SOUSA NEVES</t>
  </si>
  <si>
    <t>072.546.204-30</t>
  </si>
  <si>
    <t>2021075935</t>
  </si>
  <si>
    <t>0806820-44.2019.8.15.0001</t>
  </si>
  <si>
    <t>ALEXANDRE ARRUDA DAS MERCÊS</t>
  </si>
  <si>
    <t>EDILEUSA RODRIGUES SILVA</t>
  </si>
  <si>
    <t>Adja Maria da Silva Pereira</t>
  </si>
  <si>
    <t>042.007.234-92</t>
  </si>
  <si>
    <t>2021047827</t>
  </si>
  <si>
    <t>0818794-78.2019.8.15.0001</t>
  </si>
  <si>
    <t>ADEMAR VILAR DE MIRANDA JÚNIOR</t>
  </si>
  <si>
    <t>GABRIELLY FARIAS COSTA</t>
  </si>
  <si>
    <t>0803833-
77.2019.815.0181</t>
  </si>
  <si>
    <t>JOSEFA DA COSTA SILVA</t>
  </si>
  <si>
    <t>2021091696</t>
  </si>
  <si>
    <t>0800235-89.2018.815.1171</t>
  </si>
  <si>
    <t>MARIA LUCIA DE SOUSA</t>
  </si>
  <si>
    <t>INSTITUTO NACIONAL DO SEGURO SOCIAL e outros</t>
  </si>
  <si>
    <t>044.220.834-06</t>
  </si>
  <si>
    <t>2021091723</t>
  </si>
  <si>
    <t>0801406-44.2019.815.0881</t>
  </si>
  <si>
    <t>DOMINGUINHOS DE SOUZA LINHARES</t>
  </si>
  <si>
    <t>FRANCISCO RAIMUNDO NETO</t>
  </si>
  <si>
    <t>INGRÁCIA MARIA DE LIMA FERREIRA DUTRA</t>
  </si>
  <si>
    <t>044.060.764-76</t>
  </si>
  <si>
    <t>2020152974</t>
  </si>
  <si>
    <t>0800199-27.2015.8.15.0371</t>
  </si>
  <si>
    <t>MARIA SUSANA DA
SILVA</t>
  </si>
  <si>
    <t>PARAÍBA PREVIDÊNCIA - PBPREV e outro</t>
  </si>
  <si>
    <t>Cláudia Sarmento Gadelha</t>
  </si>
  <si>
    <t>011.871.344-22</t>
  </si>
  <si>
    <t>2021091637</t>
  </si>
  <si>
    <t>0801793-38.2021.8.15.0251</t>
  </si>
  <si>
    <t>RAIMUNDA LUCENA DOS SANTOS</t>
  </si>
  <si>
    <t>BP PROMOTORA DE
VENDAS LTDA</t>
  </si>
  <si>
    <t>2021091740</t>
  </si>
  <si>
    <t xml:space="preserve"> 08000906-46.2017.815.0881</t>
  </si>
  <si>
    <t>SONIA MARIA DE SOUZA</t>
  </si>
  <si>
    <t>CLEVIANA NUNES FÉLIX</t>
  </si>
  <si>
    <t xml:space="preserve"> 044.060.764-76</t>
  </si>
  <si>
    <t>2021092050</t>
  </si>
  <si>
    <t>0802243-65.2019.8.15.0181</t>
  </si>
  <si>
    <t>MARIA ACELINO DA SILVA</t>
  </si>
  <si>
    <t>SABEMI
SEGURADORA S.A.</t>
  </si>
  <si>
    <t>2021093542</t>
  </si>
  <si>
    <t>4ª Vara de Guarabira</t>
  </si>
  <si>
    <t>0800034-41.2017.8.15.1201</t>
  </si>
  <si>
    <t>JOSEFA MARIA LIMA BENTO</t>
  </si>
  <si>
    <t>2021093591</t>
  </si>
  <si>
    <t>0800044-22.2016.8.15.1201</t>
  </si>
  <si>
    <t>MARIA JOSE CARDOSO</t>
  </si>
  <si>
    <t>2021094096</t>
  </si>
  <si>
    <t>0800309-20.2016.8.15.0491</t>
  </si>
  <si>
    <t>IRANI AVANI DE MENEZES OLIVEIRA</t>
  </si>
  <si>
    <t>BANCO BMG AS</t>
  </si>
  <si>
    <t>2021094246</t>
  </si>
  <si>
    <t>Vara Única de São Bento</t>
  </si>
  <si>
    <t>0800185-97.2017.8.15.1171</t>
  </si>
  <si>
    <t>IZABEL GUEDES DE OLIVEIRA FARIAS</t>
  </si>
  <si>
    <t>INSTITUTO NACIONAL DO SEGURO SOCIAL</t>
  </si>
  <si>
    <t>2021095195</t>
  </si>
  <si>
    <t>0087532-
15.2012.8.15.2001</t>
  </si>
  <si>
    <t>EUZENI PEREIRA DE SOUZA</t>
  </si>
  <si>
    <t xml:space="preserve">SANTANDER LEASING S.A.
ARRENDAMENTO MERCANTIL
</t>
  </si>
  <si>
    <t>Antônio Leite Loureiro Neto</t>
  </si>
  <si>
    <t>027.962.114-01</t>
  </si>
  <si>
    <t>0800438-57.2019.8.15.0511</t>
  </si>
  <si>
    <t>MARIA LUCIA DOS SANTOS SILVA</t>
  </si>
  <si>
    <t>AÉCIO DA SILVA</t>
  </si>
  <si>
    <t>FRANCINALDO VICTOR DE SOUSA</t>
  </si>
  <si>
    <t>JOSE HUMBERTO GOMES DA SILVA</t>
  </si>
  <si>
    <t>WILTON SILVA LOPES</t>
  </si>
  <si>
    <t>SUELY LINS PEREIRA</t>
  </si>
  <si>
    <t>PETRUCIO ELIAS DO NASCIMENTO QUIRINO</t>
  </si>
  <si>
    <t>ANIZIO JOAQUIM ALVES NETO</t>
  </si>
  <si>
    <t>MARIA APARECIDA DE LIMA</t>
  </si>
  <si>
    <t>MUNICIPIO DE SERTAOZINHO</t>
  </si>
  <si>
    <t>INSTITUTO DE ASSISTENCIA E PREVIDENCIA MUNICIPAL DE GUARABIRA e outro</t>
  </si>
  <si>
    <t>MARIA JOSÉ SOBRAL LOPES</t>
  </si>
  <si>
    <t>JEYSE KELLY DA SILVA GOMES</t>
  </si>
  <si>
    <t>CENTRO DE MATERIAL DE CONSTRUCAO LTDA e outro</t>
  </si>
  <si>
    <t>ANDRÉ CRISTIANO DA COSTA LIMA</t>
  </si>
  <si>
    <t>013.589.374-78</t>
  </si>
  <si>
    <t>Vara única de São José de Piranhas</t>
  </si>
  <si>
    <t>Vara Única de São José de Piranhas</t>
  </si>
  <si>
    <t>LUANA DANTAS DE OLIVEIRA MENDES</t>
  </si>
  <si>
    <t>RONIERY AGOSTINHO DA SILVA</t>
  </si>
  <si>
    <t>JOSE SILVA GONCALVES</t>
  </si>
  <si>
    <t>MARIA DOLORES LEITE</t>
  </si>
  <si>
    <t>EZILDA COELHO ARAUJO</t>
  </si>
  <si>
    <t>GERALDA CASIMIRO FERREIRA</t>
  </si>
  <si>
    <t>MARIA PEREIRA DA SILVA</t>
  </si>
  <si>
    <t>FRANCISCO FABIO AMORIM DO NASCIMENTO</t>
  </si>
  <si>
    <t>MARIA VILANI MARAVILHA DA SILVA</t>
  </si>
  <si>
    <t>JOAO AILTON LEITE</t>
  </si>
  <si>
    <t>MARIA COELHO DE ARAUJO</t>
  </si>
  <si>
    <t>ANIELE CASSIMIRO FERREIRA</t>
  </si>
  <si>
    <t>JOAO PEREIRA DA SILVA FILHO</t>
  </si>
  <si>
    <t>CLAUDIA CORDEIRO DE AMORIM</t>
  </si>
  <si>
    <t>JULIANA MARAVILHA DE QUEIROS</t>
  </si>
  <si>
    <t xml:space="preserve">MANUEL CAETANO DE BRITO NETO </t>
  </si>
  <si>
    <t>2019276862</t>
  </si>
  <si>
    <t>2020184049</t>
  </si>
  <si>
    <t>2021024958</t>
  </si>
  <si>
    <t>2020174301</t>
  </si>
  <si>
    <t>2021027181</t>
  </si>
  <si>
    <t>2021027296</t>
  </si>
  <si>
    <t>2021028131</t>
  </si>
  <si>
    <t>2021027237</t>
  </si>
  <si>
    <t>2021028096</t>
  </si>
  <si>
    <t>2021027288</t>
  </si>
  <si>
    <t>2021028140</t>
  </si>
  <si>
    <t>2021026822</t>
  </si>
  <si>
    <t>2021026806</t>
  </si>
  <si>
    <t>2021028070</t>
  </si>
  <si>
    <t>2021026855</t>
  </si>
  <si>
    <t>2020075794</t>
  </si>
  <si>
    <t>2020151539</t>
  </si>
  <si>
    <t>2021010037</t>
  </si>
  <si>
    <t>2021031065</t>
  </si>
  <si>
    <t>2020093712</t>
  </si>
  <si>
    <t>2021030683</t>
  </si>
  <si>
    <t>2ª Vara de Cabedelo</t>
  </si>
  <si>
    <t>2017212038</t>
  </si>
  <si>
    <t>2017104376</t>
  </si>
  <si>
    <t>2019172921</t>
  </si>
  <si>
    <t>17ª Vara Cível de João Pessoa</t>
  </si>
  <si>
    <t>217</t>
  </si>
  <si>
    <t xml:space="preserve">0800104-70.2017.815.0241 </t>
  </si>
  <si>
    <t xml:space="preserve">0837663-11.2016.8.15.2001 </t>
  </si>
  <si>
    <t xml:space="preserve">0801662-28.2020.8.15.0371 </t>
  </si>
  <si>
    <t xml:space="preserve">0800768-32.2019.8.15.0001 </t>
  </si>
  <si>
    <t xml:space="preserve">0800441-10.2020.8.15.0371 </t>
  </si>
  <si>
    <t xml:space="preserve">: 0000705-74.2010.815.0221 </t>
  </si>
  <si>
    <t xml:space="preserve">0800146-56.2016.815.0421 </t>
  </si>
  <si>
    <t xml:space="preserve">0800453-23.2019.815.0221 </t>
  </si>
  <si>
    <t xml:space="preserve">0001076-96.2014.8.15.0221 </t>
  </si>
  <si>
    <t xml:space="preserve">0000806-43.2012.815.0221 </t>
  </si>
  <si>
    <t xml:space="preserve">0800431-33.2017.815.0221 </t>
  </si>
  <si>
    <t xml:space="preserve">080011-80.2017.8.815.0421 </t>
  </si>
  <si>
    <t>0800473-19.2016.815.0221</t>
  </si>
  <si>
    <t xml:space="preserve">0000126-35.2015.8.15.0421 </t>
  </si>
  <si>
    <t xml:space="preserve">000066-80.2015.8.15.0221 </t>
  </si>
  <si>
    <t xml:space="preserve">0800410-57.2017.8.15.0221 </t>
  </si>
  <si>
    <t>0000294-37.8.15.0421</t>
  </si>
  <si>
    <t xml:space="preserve">0803898-72.2019.8.15.0181 </t>
  </si>
  <si>
    <t xml:space="preserve">0803408-62.2019.8.15.0371 </t>
  </si>
  <si>
    <t xml:space="preserve">0800814-34.2018.8.15.0881 </t>
  </si>
  <si>
    <t xml:space="preserve">0800435-05.2019.8.15.0511 </t>
  </si>
  <si>
    <t xml:space="preserve">0803238-78.2019.8.15.0181 </t>
  </si>
  <si>
    <t xml:space="preserve">0802883-67.2019.8.15.0731 </t>
  </si>
  <si>
    <t xml:space="preserve">0816548-17.2016.8.15.0001 </t>
  </si>
  <si>
    <t xml:space="preserve"> 0807064-75.2016.8.15.0001 </t>
  </si>
  <si>
    <t xml:space="preserve">0821185-06.2019.8.15.0001 </t>
  </si>
  <si>
    <t xml:space="preserve">0821771-43.2019.8.15.0001 </t>
  </si>
  <si>
    <t xml:space="preserve">0813882-72.2018.815.0001 </t>
  </si>
  <si>
    <t xml:space="preserve">0009796-66.2015.815.0001 </t>
  </si>
  <si>
    <t>0011408-83.2015.815.2001</t>
  </si>
  <si>
    <t>0800091-14.2017.8.15.0731</t>
  </si>
  <si>
    <t>MARIA DA NATIVIDADE ALVES</t>
  </si>
  <si>
    <t>FRANCISCA BATISTA DE MOURA</t>
  </si>
  <si>
    <t>MEIRECELLY INACIO DE SOUSA</t>
  </si>
  <si>
    <t>PEDRINA DE OLIVEIRA SOUSA</t>
  </si>
  <si>
    <t>FRANCISCA LUZIVANIA SILVA DE SOUSA</t>
  </si>
  <si>
    <t>JOSE CARVALHO SOBRINHO</t>
  </si>
  <si>
    <t>FRANCISCA MARIA DE SOUSA MARQUES</t>
  </si>
  <si>
    <t>MARIA DE LOURDES SILVA</t>
  </si>
  <si>
    <t>ANA VIEIRA DA SILVA</t>
  </si>
  <si>
    <t>MARIA ILZA CAJU DE LACERDA FILHA</t>
  </si>
  <si>
    <t xml:space="preserve">MARIA LUCINEIDE ROCHA DA SILVA </t>
  </si>
  <si>
    <t xml:space="preserve">CHARMENIA BRAZ DE LIMA </t>
  </si>
  <si>
    <t>JOSE RIBAMAR DIAS DE SOUSA</t>
  </si>
  <si>
    <t>MANOEL ERNANI DA SILVA</t>
  </si>
  <si>
    <t>MARIA DO SOCORRO LOPES FERREIRA</t>
  </si>
  <si>
    <t>DELAN ANISIO DE SOUSA</t>
  </si>
  <si>
    <t>MARIA DO ROSARIO FEITOZA PALITOT</t>
  </si>
  <si>
    <t>DAMIAO HENRIQUE DE OLIVEIRA</t>
  </si>
  <si>
    <t>LUCICLEIDE MANGUEIRA DE OLIVEIRA</t>
  </si>
  <si>
    <t>HILDA GALDINO DE SOUSA</t>
  </si>
  <si>
    <t>DIOGO MARTINS DE MEDEIROS</t>
  </si>
  <si>
    <t>ROCILDA MARIA DE OLIVEIRA CRUZ</t>
  </si>
  <si>
    <t>RAIMUNDA MARIA DA SILVA</t>
  </si>
  <si>
    <t>ANA LUCIA FLORIANO BEZERRA</t>
  </si>
  <si>
    <t>Tainy Fernandes da Silva</t>
  </si>
  <si>
    <t>MARIA ELIZABETE ARAUJO DE LIMA</t>
  </si>
  <si>
    <t>ITAMAR FINIZOLA DE SA NETO</t>
  </si>
  <si>
    <t>Rejane Monteiro da Silva Farias</t>
  </si>
  <si>
    <t>Katullo Sampaio Nunes</t>
  </si>
  <si>
    <t>ANTÔNIO SEBASTIÃO DE
LIMA</t>
  </si>
  <si>
    <t>FRANCISCA MARIA DA SILVA DE OLIVEIRA</t>
  </si>
  <si>
    <t xml:space="preserve">FRANCILEUDA BATISTA DE MOURA </t>
  </si>
  <si>
    <t>JUDITH INACIO DE SOUSA</t>
  </si>
  <si>
    <t>GILMARA DE OLIVEIRA SOUSA</t>
  </si>
  <si>
    <t>FRANCISCA LUSINEIDE SILVA DE SOUSA</t>
  </si>
  <si>
    <t>BANCO PAN S.A.</t>
  </si>
  <si>
    <t xml:space="preserve">SANDRA HELENA NASCIMENTO DINIZ </t>
  </si>
  <si>
    <t>MARIA BETANIA ALVES</t>
  </si>
  <si>
    <t xml:space="preserve">VESPASIANO LACERDA CAJU </t>
  </si>
  <si>
    <t>VITÓRIA DA SILVA CONCEIÇÃO</t>
  </si>
  <si>
    <t>MARIA DAS GRACAS BRAZ</t>
  </si>
  <si>
    <t>MARIA MARLUCE ROLIM DA SILVA</t>
  </si>
  <si>
    <t>ANTONIO FERREIRA ALVES</t>
  </si>
  <si>
    <t>MANOEL ANISIO DE SOUSA</t>
  </si>
  <si>
    <t>MARIA DO SOCORRO FEITOZA PALITOT</t>
  </si>
  <si>
    <t>FRANCISCA DE OLIVEIRA</t>
  </si>
  <si>
    <t>MARIA ISADORA MANGUEIRA DE OLIVEIRA</t>
  </si>
  <si>
    <t>VANESSA GALDINO DE SOUSA</t>
  </si>
  <si>
    <t xml:space="preserve">MUNICIPIO DE GUARABIRA </t>
  </si>
  <si>
    <t>FRANCISCO BEZERRA DA SILVA e outro</t>
  </si>
  <si>
    <t>Município de Guarabira</t>
  </si>
  <si>
    <t>MICILENE MARIA RAMOS DA SILVA</t>
  </si>
  <si>
    <t>José Robson
Sousa Farias</t>
  </si>
  <si>
    <t>BANCO ITAÚ CONSIGNADO
S.A.</t>
  </si>
  <si>
    <t>Banco BMG S/A</t>
  </si>
  <si>
    <t>BANCO BRADESCO S.A.</t>
  </si>
  <si>
    <t xml:space="preserve">HENRIQUE RODRIGUES GOMES DA SILVA </t>
  </si>
  <si>
    <t xml:space="preserve">DAVES BARBOSA LUCAS </t>
  </si>
  <si>
    <t xml:space="preserve">MARY SANDRA DA SILVA </t>
  </si>
  <si>
    <t>ALISSON ALVES MAGALHAES</t>
  </si>
  <si>
    <t>089.524.654-66</t>
  </si>
  <si>
    <t>018.641.074-30</t>
  </si>
  <si>
    <t>009.525.424.20</t>
  </si>
  <si>
    <t>Comarca de São José de Piranhas</t>
  </si>
  <si>
    <t>ESTATÍSTICA DE PERITOS</t>
  </si>
  <si>
    <t>2021095525</t>
  </si>
  <si>
    <t>0801357-
49.2017.815.0371</t>
  </si>
  <si>
    <t>ROSEANE SEIXAS XAVIER ABRANTES</t>
  </si>
  <si>
    <t>Município de Sousa</t>
  </si>
  <si>
    <t>2021095710</t>
  </si>
  <si>
    <t>Maria Eunice do Vale Silva</t>
  </si>
  <si>
    <t>0804777-
44.2020.815.0731</t>
  </si>
  <si>
    <t>Associação Nacional de Aposentados e
Pensionistas da Previdência Social - ANAPPS</t>
  </si>
  <si>
    <t xml:space="preserve">2021096761 </t>
  </si>
  <si>
    <t>0800179-23.2021.8.15.0081</t>
  </si>
  <si>
    <t>JOSE WERTON DE OLIVEIRA
ALVES</t>
  </si>
  <si>
    <t>MUNICIPIO DE BANANEIRAS</t>
  </si>
  <si>
    <t>Vara única de Bananeiras</t>
  </si>
  <si>
    <t>Comarca de Bananeiras</t>
  </si>
  <si>
    <t>097.100.844-29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</si>
  <si>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</si>
  <si>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</si>
  <si>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</si>
  <si>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</si>
  <si>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</si>
  <si>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</si>
  <si>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</si>
  <si>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</si>
  <si>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</si>
  <si>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</si>
  <si>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</si>
  <si>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</si>
  <si>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</si>
  <si>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</si>
  <si>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</si>
  <si>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</si>
  <si>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</si>
  <si>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</si>
  <si>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</si>
  <si>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</si>
  <si>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</si>
  <si>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</si>
  <si>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</si>
  <si>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</si>
  <si>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</si>
  <si>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</si>
  <si>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</si>
  <si>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</si>
  <si>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</si>
  <si>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</si>
  <si>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</si>
  <si>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</si>
  <si>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</si>
  <si>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</si>
  <si>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</si>
  <si>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</si>
  <si>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</si>
  <si>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</si>
  <si>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</si>
  <si>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</si>
  <si>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</si>
  <si>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</si>
  <si>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</si>
  <si>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</si>
  <si>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</si>
  <si>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</si>
  <si>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</si>
  <si>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</si>
  <si>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</si>
  <si>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</si>
  <si>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</si>
  <si>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</si>
  <si>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</si>
  <si>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</si>
  <si>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</si>
  <si>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</si>
  <si>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</si>
  <si>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</si>
  <si>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</si>
  <si>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</si>
  <si>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</si>
  <si>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</si>
  <si>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</si>
  <si>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</si>
  <si>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</si>
  <si>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</si>
  <si>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</si>
  <si>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</si>
  <si>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</si>
  <si>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</si>
  <si>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</si>
  <si>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</si>
  <si>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</si>
  <si>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</si>
  <si>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</si>
  <si>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</si>
  <si>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</si>
  <si>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</si>
  <si>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</si>
  <si>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</si>
  <si>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</si>
  <si>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</si>
  <si>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</si>
  <si>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</si>
  <si>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0802125-38.2018.8.15.0371</t>
  </si>
  <si>
    <t>outras</t>
  </si>
  <si>
    <t>Cícero da Costa Cirne</t>
  </si>
  <si>
    <t>2021100657</t>
  </si>
  <si>
    <t>0000436-19.2014.8.15.0181</t>
  </si>
  <si>
    <t>JOSEFA PEREIRA DA SILVA</t>
  </si>
  <si>
    <t xml:space="preserve">MUNICIPIO DE PILOEZINHOS
</t>
  </si>
  <si>
    <t>2021100745</t>
  </si>
  <si>
    <t>4ª Vara de Santa Rita</t>
  </si>
  <si>
    <t>Comarca de Santa Rita</t>
  </si>
  <si>
    <t>0802979-55.2018.8.15.0331</t>
  </si>
  <si>
    <t>ARIELSON GOMES DA SILVA</t>
  </si>
  <si>
    <t>BV FINANCEIRA</t>
  </si>
  <si>
    <t>Anastácio Alonso Varela</t>
  </si>
  <si>
    <t>701.876.111-57</t>
  </si>
  <si>
    <t>ESPECIALIDADES</t>
  </si>
  <si>
    <t>Comarcas</t>
  </si>
  <si>
    <t>Peritos</t>
  </si>
  <si>
    <t>Data da Autorização da Despesa</t>
  </si>
  <si>
    <t>2021102755</t>
  </si>
  <si>
    <t>0800692-15.2018.815.0881</t>
  </si>
  <si>
    <t>TEREZINHA
CAVALCANTI DOS SANTOS</t>
  </si>
  <si>
    <t>IZAIRANE DUTRA DE SOUSA</t>
  </si>
  <si>
    <t>075.538.374-58</t>
  </si>
  <si>
    <t>2020133640</t>
  </si>
  <si>
    <t xml:space="preserve"> 0049351-
76.2011.8.15.2001</t>
  </si>
  <si>
    <t>JOSÉ ANTONIO DA SILVA FRANCISCO</t>
  </si>
  <si>
    <t>COLÉGIO MARISTA PIO X</t>
  </si>
  <si>
    <t>Carlos José Cartaxo</t>
  </si>
  <si>
    <t>203.489.404-91</t>
  </si>
  <si>
    <t>PARECER PLÁGIO</t>
  </si>
  <si>
    <t>VARAS</t>
  </si>
  <si>
    <t>2021103522</t>
  </si>
  <si>
    <t>AUBANETE DUTRA DE ALMEIDA</t>
  </si>
  <si>
    <t>NADJA NATALIA DUTRA DOS SANTOS</t>
  </si>
  <si>
    <t>0000139-78.2016.8.15.1171</t>
  </si>
  <si>
    <t>2021103555</t>
  </si>
  <si>
    <t>0800549-32.2018.8.15.0881</t>
  </si>
  <si>
    <t>MARIA DE LOURDES DE OLIVEIRA</t>
  </si>
  <si>
    <t>MARA DE OLIVEIRA LIMA</t>
  </si>
  <si>
    <t>2021105276</t>
  </si>
  <si>
    <t>0001152-
47.2014.815.0601</t>
  </si>
  <si>
    <t>GERALDO FLOR DOS SANTOS</t>
  </si>
  <si>
    <t>MUNICIPIO DE DONA INES</t>
  </si>
  <si>
    <t>2021105186</t>
  </si>
  <si>
    <t>0000125-
29.2014.815.0601</t>
  </si>
  <si>
    <t>JOSÉ ANTÔNIO DA SILVA</t>
  </si>
  <si>
    <t>MUNICÍPIO DE DONA INÊS</t>
  </si>
  <si>
    <t>2021105209</t>
  </si>
  <si>
    <t>0000356-
56.2014.815.0601</t>
  </si>
  <si>
    <t>JOÃO CIPRIANO DA SILVA</t>
  </si>
  <si>
    <t>2021105268</t>
  </si>
  <si>
    <t>º 0800096-
38.2017.815.0601</t>
  </si>
  <si>
    <t>JOSEFA DELFINO DE OLIVEIRA</t>
  </si>
  <si>
    <t>2021105217</t>
  </si>
  <si>
    <t>JOEL BENTO DA SILVA</t>
  </si>
  <si>
    <t>0000124-
44.2014.815.0601</t>
  </si>
  <si>
    <t>2021105250</t>
  </si>
  <si>
    <t>0001151-
62.2014.815.0601</t>
  </si>
  <si>
    <t>JOSÉ AURITÔNIO DE SOUSA LEAL</t>
  </si>
  <si>
    <t>2021105241</t>
  </si>
  <si>
    <t>0800581-38.2017.815.0601</t>
  </si>
  <si>
    <t>JÉSSICA RAYANA CHIANCA DOS SANTOS</t>
  </si>
  <si>
    <t>2021105151</t>
  </si>
  <si>
    <t>0800580.53.2017.815.0601</t>
  </si>
  <si>
    <t>EDILUCE CÂNDIDO</t>
  </si>
  <si>
    <t>2021104167</t>
  </si>
  <si>
    <t>0000117-51.2015.815.0881</t>
  </si>
  <si>
    <t>LINDALVA VIEIRA DE
ANDRADE LIMA</t>
  </si>
  <si>
    <t>ELCILENE GRANGEIRO ALVES</t>
  </si>
  <si>
    <t>2021104003</t>
  </si>
  <si>
    <t>0800365-56.2017.8.15.0511</t>
  </si>
  <si>
    <t>HERCILIO MONTEIRO
DE LIMA</t>
  </si>
  <si>
    <t>2021103952</t>
  </si>
  <si>
    <t>0800674-92.2020.8.15.0181</t>
  </si>
  <si>
    <t>MARINALVA PEREIRA DE ARAUJO</t>
  </si>
  <si>
    <t>2021103944</t>
  </si>
  <si>
    <t>0800245-28.2020.8.15.0181</t>
  </si>
  <si>
    <t>VALDECI
RODRIGUES DE SOUSA</t>
  </si>
  <si>
    <t>BANCO VOTORANTIM S.A.</t>
  </si>
  <si>
    <t>2021103936</t>
  </si>
  <si>
    <t>0800002-03.2016.8.15.0221</t>
  </si>
  <si>
    <t>FATIMA DE CASSIA ALCANTARA DA SILVA</t>
  </si>
  <si>
    <t>MARIA LEILA BELIZARIO DA SILVA</t>
  </si>
  <si>
    <t>2021097465</t>
  </si>
  <si>
    <t>0000071-38.2016.8.15.1201</t>
  </si>
  <si>
    <t>ANTONIA FELIX DA
SILVA</t>
  </si>
  <si>
    <t>BV FINANCEIRA SA CREDITO FINANCIAMENTO E INVESTIMENTO</t>
  </si>
  <si>
    <t>2021097424</t>
  </si>
  <si>
    <t>0800332-32.2018.8.15.0511</t>
  </si>
  <si>
    <t>MARIA MACENA DOS SANTOS</t>
  </si>
  <si>
    <t>BANCO ITAU CONSIGNADO
S.A.</t>
  </si>
  <si>
    <t>2021097393</t>
  </si>
  <si>
    <t>0800111-50.2017.8.15.1201</t>
  </si>
  <si>
    <t>JULIA SOUZA DE
OLIVEIRA</t>
  </si>
  <si>
    <t>2021097310</t>
  </si>
  <si>
    <t>0802837-79.2019.815.0181</t>
  </si>
  <si>
    <t>MARIA DA LUZ
GALDINO RIBEIRO</t>
  </si>
  <si>
    <t>BANCO SANTADER</t>
  </si>
  <si>
    <t>2021091469</t>
  </si>
  <si>
    <t>0000284-54.2001.815.0731</t>
  </si>
  <si>
    <t>Odéner Barbosa Filho</t>
  </si>
  <si>
    <t>Associação de
Poupança e Empréstimo - poupex</t>
  </si>
  <si>
    <t>Eldemar Moreira de Oliveira</t>
  </si>
  <si>
    <t>051.922.348-91</t>
  </si>
  <si>
    <t>2021084964</t>
  </si>
  <si>
    <t>0800877-54.2020.8.15.0181</t>
  </si>
  <si>
    <t>José Araújo Sobrinho</t>
  </si>
  <si>
    <t>Banco do Brasil. S.A.</t>
  </si>
  <si>
    <t>2021083236</t>
  </si>
  <si>
    <t>0800282-04.2014.8.15.0751</t>
  </si>
  <si>
    <t>Luiza Rita da Silva</t>
  </si>
  <si>
    <t>2021080776</t>
  </si>
  <si>
    <t>0800817-44.2017.8.15.0001</t>
  </si>
  <si>
    <t>JAIRLAN PEDROSA DE OLIVEIRA e outra</t>
  </si>
  <si>
    <t>RAUL AGRIPINO SANTOS e outro</t>
  </si>
  <si>
    <t>2021079430</t>
  </si>
  <si>
    <t>0002882-
36.2011.8.15.0751</t>
  </si>
  <si>
    <t>JANIERES GONZAGA DA SILVA SOUZA</t>
  </si>
  <si>
    <t>2021075076</t>
  </si>
  <si>
    <t>6ª Vara Cível de Campina Grande</t>
  </si>
  <si>
    <t>0829576-13.2020.8.15.0001</t>
  </si>
  <si>
    <t>CLAUDIANO LOPES DA SILVA</t>
  </si>
  <si>
    <t>BANCO TOYOTA DO BRASIL</t>
  </si>
  <si>
    <t>886.232.114-72</t>
  </si>
  <si>
    <t>2021073409</t>
  </si>
  <si>
    <t>0808079-66.2020.8.15.0251</t>
  </si>
  <si>
    <t>MARIA DE LOURDES
ALVES FERNANDES</t>
  </si>
  <si>
    <t>BANCO MERCANTIL DO BRASIL S.A. e outro</t>
  </si>
  <si>
    <t>2021071587</t>
  </si>
  <si>
    <t>0071072-50.2012.8.15.2001</t>
  </si>
  <si>
    <t>EDINALDO DANTAS DA NOBREGA e outro</t>
  </si>
  <si>
    <t>EMCONVI EMPRESA DE SERVICOS DE VIGILANCIA LTDA</t>
  </si>
  <si>
    <t>ALEXANDRA KALLYNE LUCENA LIRA LIMA</t>
  </si>
  <si>
    <t>2021069730</t>
  </si>
  <si>
    <t>0000642-25.2011.8.15.0541</t>
  </si>
  <si>
    <t>RAI IDELFONSO GONCALVES</t>
  </si>
  <si>
    <t>2021069713</t>
  </si>
  <si>
    <t>0000019-97.2007.8.15.0541</t>
  </si>
  <si>
    <t>CICERO ROMAO DE ARAUJO</t>
  </si>
  <si>
    <t>2021069174</t>
  </si>
  <si>
    <t>0004594-32.2009.8.15.0751</t>
  </si>
  <si>
    <t>ARNALDO DA
SILVA LIRA</t>
  </si>
  <si>
    <t>INSS INSTITUTO NACIONAL DOSEGURO SOCIAL - INSS</t>
  </si>
  <si>
    <t>2021067775</t>
  </si>
  <si>
    <t>0802344-09.2016.8.15.0731</t>
  </si>
  <si>
    <t>Thays Santana Barbosa</t>
  </si>
  <si>
    <t>Dyego Maradona Assis de Moura</t>
  </si>
  <si>
    <t>2021066194</t>
  </si>
  <si>
    <t>0805078-73.2020.8.15.0251</t>
  </si>
  <si>
    <t>LINDACIR DAS NEVES SILVA</t>
  </si>
  <si>
    <t>2021060402</t>
  </si>
  <si>
    <t>0809405-61.2020.8.15.0251</t>
  </si>
  <si>
    <t>MARIA DE FATIMA DA SILVA</t>
  </si>
  <si>
    <t>BANCO CETELEM S/A</t>
  </si>
  <si>
    <t>2021060371</t>
  </si>
  <si>
    <t>0802543-73.2013.8.15.0751</t>
  </si>
  <si>
    <t>CLAUDENICE
DA COSTA FONSECA</t>
  </si>
  <si>
    <t>INSTITUTO NACIONAL DO SEGURO</t>
  </si>
  <si>
    <t>2021059742</t>
  </si>
  <si>
    <t>0809398-69.2020.8.15.0251</t>
  </si>
  <si>
    <t>BANCO BMG SA.</t>
  </si>
  <si>
    <t>2021051560</t>
  </si>
  <si>
    <t>0801629-18.2019.8.15.0001</t>
  </si>
  <si>
    <t>IVANEIDE JORGE DA SILVA</t>
  </si>
  <si>
    <t>FABRÍCIA DA SILVA CÂNDIDO</t>
  </si>
  <si>
    <t>2021045770</t>
  </si>
  <si>
    <t>0803401-
08.2020.8.15.0251</t>
  </si>
  <si>
    <t>SANTANA SHIRLEY ROMANO DE LUCENA e outra</t>
  </si>
  <si>
    <t>BANCO SAFRA S.A.</t>
  </si>
  <si>
    <t>2021045753</t>
  </si>
  <si>
    <t>0804005-66.2020.8.15.0251</t>
  </si>
  <si>
    <t>Dalvanete Monteiro Linhares</t>
  </si>
  <si>
    <t>Banco Olé Bonsucesso
Consignado S.A.</t>
  </si>
  <si>
    <t>2021034540</t>
  </si>
  <si>
    <t>0115322.71.2012.8.15.2001</t>
  </si>
  <si>
    <t>Maria Iêda Souza Costa  e outra</t>
  </si>
  <si>
    <t>Marliete Arruda de Lima e outra</t>
  </si>
  <si>
    <t>2021034365</t>
  </si>
  <si>
    <t>0839025-14.2017.8.15.2001</t>
  </si>
  <si>
    <t>CLEANTONY RIBEIRO DE MEDEIROS</t>
  </si>
  <si>
    <t>GILBERTO OLIVEIRA PEREIRA</t>
  </si>
  <si>
    <t>054.931.394-05</t>
  </si>
  <si>
    <t>2021024693</t>
  </si>
  <si>
    <t>MARCUS VINICIUS FERREIRA
CAMPOS</t>
  </si>
  <si>
    <t>BANCO FINASA S.A.</t>
  </si>
  <si>
    <t>0827320-87.2015.8.15.2001</t>
  </si>
  <si>
    <t>2020146791</t>
  </si>
  <si>
    <t>5ª Vara Cível de João Pessoa</t>
  </si>
  <si>
    <t>0835932-77.2016.8.15.2001</t>
  </si>
  <si>
    <t>MARIA ANTONIA NASCIMENTO DE LIMA</t>
  </si>
  <si>
    <t>Marcela Martins de Vasconcelos</t>
  </si>
  <si>
    <t>063.085.394-06</t>
  </si>
  <si>
    <t>2020090382</t>
  </si>
  <si>
    <t>0000141-46.2010.8.15.0011</t>
  </si>
  <si>
    <t>AMOS DINIZ FERREIRA</t>
  </si>
  <si>
    <t>FABIO KENEDY ALMEIDA TRIGUEIRO e outro</t>
  </si>
  <si>
    <t>Antônio Nelbi Fernandes</t>
  </si>
  <si>
    <t>323.570.574-72</t>
  </si>
  <si>
    <t>.0123356-
35.2012.8.15.2001</t>
  </si>
  <si>
    <t>Josinaldo Resende Soares</t>
  </si>
  <si>
    <t>BV FINANCEIRA S.A.</t>
  </si>
  <si>
    <t>2019260028</t>
  </si>
  <si>
    <t>2ª Vara da Infância de João Pessoa</t>
  </si>
  <si>
    <t>0803659-72.2016.815.0731</t>
  </si>
  <si>
    <t>Maria Guedes da Silva</t>
  </si>
  <si>
    <t>Panasonic do Brasil e outro</t>
  </si>
  <si>
    <t>Emerson Lopes de Araújo Pereira</t>
  </si>
  <si>
    <t>475.328.744-00</t>
  </si>
  <si>
    <t>2019147862</t>
  </si>
  <si>
    <t>16ª Vara Cível de João Pessoa</t>
  </si>
  <si>
    <t>0021824-62.2005.815.2001</t>
  </si>
  <si>
    <t>Condomínio Residencial Ipanema</t>
  </si>
  <si>
    <t>Maurício Pereira Braz</t>
  </si>
  <si>
    <t>Júlio César Lopes Serpa</t>
  </si>
  <si>
    <t>953.809.904-44</t>
  </si>
  <si>
    <t>2020097757</t>
  </si>
  <si>
    <t>0803984-35.2018.815.0001</t>
  </si>
  <si>
    <t>FRANCISCO DE ASSIS PEIXOTO DOS SANTOS</t>
  </si>
  <si>
    <t>EUGÊNIA MARIA NÓBREGA DA SILVA e outro</t>
  </si>
  <si>
    <t>Adrineide Martins Pamplona de Sousa</t>
  </si>
  <si>
    <t>Fábio Kenedy Almeida Trigueiro</t>
  </si>
  <si>
    <t>Thiago Chaves Leite</t>
  </si>
  <si>
    <t>0800049-02.2017.815.0751</t>
  </si>
  <si>
    <t>2021107591</t>
  </si>
  <si>
    <t>ERLANDA DOS
SANTOS MORAIS</t>
  </si>
  <si>
    <t>MUNICÍPIO DE BAYEUX</t>
  </si>
  <si>
    <t>Diogo da Fonseca Soares</t>
  </si>
  <si>
    <t>104955027-74</t>
  </si>
  <si>
    <t>2021107575</t>
  </si>
  <si>
    <t>0800458-75.2017.815.0751</t>
  </si>
  <si>
    <t>JOSILENE ALVES
LEITE MACIEIRA</t>
  </si>
  <si>
    <t>2021108498</t>
  </si>
  <si>
    <t>0008774-45.2015.8.15.0181</t>
  </si>
  <si>
    <t>GERALDO GOMES
LEITE MACIEIRA</t>
  </si>
  <si>
    <t>2021108527</t>
  </si>
  <si>
    <t>0001322-62.2008.815.0881</t>
  </si>
  <si>
    <t>MIRELI MARIA DE FRANCA</t>
  </si>
  <si>
    <t>2021110562</t>
  </si>
  <si>
    <t>FRANSOENHO TOMAZ DE ARAUJO</t>
  </si>
  <si>
    <t>0000986-82.2013.8.15.0881</t>
  </si>
  <si>
    <t>JOSEDILMA ARAÚJO DOS SANTO</t>
  </si>
  <si>
    <t>039.441.894-85</t>
  </si>
  <si>
    <t>2021111660</t>
  </si>
  <si>
    <t>0804185-35.2019.8.15.0181</t>
  </si>
  <si>
    <t>JOSE
GERALDO DA SILVA MELO</t>
  </si>
  <si>
    <t>BANCO BMG S.A</t>
  </si>
  <si>
    <t>2021111635</t>
  </si>
  <si>
    <t>0802664-55.2019.8.15.0181</t>
  </si>
  <si>
    <t>JOSE GERALDO DA
SILVA MELO</t>
  </si>
  <si>
    <t>2021111643</t>
  </si>
  <si>
    <t>0803865-14.2021.8.15.0181</t>
  </si>
  <si>
    <t>JOSE ARAUJO FILHO</t>
  </si>
  <si>
    <t xml:space="preserve">BANCO BMG SA
</t>
  </si>
  <si>
    <t>2021111651</t>
  </si>
  <si>
    <t>0801215-91.2021.8.15.0181</t>
  </si>
  <si>
    <t>DAMIAO LUIZ
PEREIRA</t>
  </si>
  <si>
    <t>2021111475</t>
  </si>
  <si>
    <t>0802368-46.2021.8.15.0251</t>
  </si>
  <si>
    <t>ZULEIDE HONORIO DA SILVA</t>
  </si>
  <si>
    <t>LIBERTY SEGUROS S/A</t>
  </si>
  <si>
    <t>2021111694</t>
  </si>
  <si>
    <t>0827683-21.2019.8.15.0001</t>
  </si>
  <si>
    <t>JOSE ROBERTO DO NASCIMENTO</t>
  </si>
  <si>
    <t>MARIANA COSTA SEVERO</t>
  </si>
  <si>
    <t>091.592.874-46</t>
  </si>
  <si>
    <t>2021112191</t>
  </si>
  <si>
    <t>0801092-77.2021.8.15.0251</t>
  </si>
  <si>
    <t>VERA LÚCIA RAMOS DOS SANTOS</t>
  </si>
  <si>
    <t xml:space="preserve"> BANCO ITAÚ
CONSIGNADOS AS</t>
  </si>
  <si>
    <t>2021112677</t>
  </si>
  <si>
    <t>0801612-87.2020.8.15.0181</t>
  </si>
  <si>
    <t>EDMILSON BENTO
FERREIRA</t>
  </si>
  <si>
    <t>BANCO VOTORANTIM S.A</t>
  </si>
  <si>
    <t>2021112931</t>
  </si>
  <si>
    <t>0803837-17.2019.8.15.0181</t>
  </si>
  <si>
    <t>JOSEFA DA COSTA
SILVA</t>
  </si>
  <si>
    <t>BANCO ITAU BMG CONSIGNADO S.A</t>
  </si>
  <si>
    <t>2021112923</t>
  </si>
  <si>
    <t>0805807-18.2020.815.0181</t>
  </si>
  <si>
    <t>MARIA DE FÁTIMA
FRANCO DE SOUSA</t>
  </si>
  <si>
    <t>2021113160</t>
  </si>
  <si>
    <t>0009802-39.2016.8.15.0011</t>
  </si>
  <si>
    <t>ELIETE BATISTA DE MIRANDA</t>
  </si>
  <si>
    <t>SALVIANO AMARAL DE MEDEIROS JUNIOR</t>
  </si>
  <si>
    <t>2021113975</t>
  </si>
  <si>
    <t>0800096-71.2017.815.0881</t>
  </si>
  <si>
    <t>OSEIRA MARIA DE ARAUJO</t>
  </si>
  <si>
    <t>BRUNA ARAUJO VIEIRA</t>
  </si>
  <si>
    <t>032.441.324-64</t>
  </si>
  <si>
    <t>2021113959</t>
  </si>
  <si>
    <t>JOSE SOARES AMARANTE</t>
  </si>
  <si>
    <t>0001016-49.2015.815.0881</t>
  </si>
  <si>
    <t>2021114759</t>
  </si>
  <si>
    <t>0800853-09.2018.8.15.0371</t>
  </si>
  <si>
    <t>R FRANCISCO JOSE
DE OLIVEIRA</t>
  </si>
  <si>
    <t>MUNICIPIO DE NAZAREZINHO</t>
  </si>
  <si>
    <t>2021115181</t>
  </si>
  <si>
    <t>0802803-36.2021.8.15.0181</t>
  </si>
  <si>
    <t xml:space="preserve"> SEVERINO MASSENA
DA SILVA
DE OLIVEIRA</t>
  </si>
  <si>
    <t>BANCO C6 CONSIGNADO</t>
  </si>
  <si>
    <t>2021114700</t>
  </si>
  <si>
    <t>0800284-76.2016.8.15.0371</t>
  </si>
  <si>
    <t>DESTERRO ALEX SANDRA
DA SILVA
DE OLIVEIRA</t>
  </si>
  <si>
    <t>2021115044</t>
  </si>
  <si>
    <t>0000195-28.2016.8.15.0261</t>
  </si>
  <si>
    <t xml:space="preserve"> RITA
ZACARIAS DOS SANTOS LIMA
DA SILVA
DE OLIVEIRA</t>
  </si>
  <si>
    <t>ADRIANO ZACARIAS DOS SANTOS</t>
  </si>
  <si>
    <t>617.215.84-73</t>
  </si>
  <si>
    <t>2021115680</t>
  </si>
  <si>
    <t>0800029-31.2017.8.15.0421</t>
  </si>
  <si>
    <t>JOSE ELIAS DA SILVA FILHO</t>
  </si>
  <si>
    <t>MARIA LUCIENE DE OLIVEIRA SILVA</t>
  </si>
  <si>
    <t>2021037769</t>
  </si>
  <si>
    <t>Comarca de Alagoa Nova</t>
  </si>
  <si>
    <t>0800156-08.2018.815.0041</t>
  </si>
  <si>
    <t>RILDO PASCOAL DOS
SANTOS</t>
  </si>
  <si>
    <t>GABRIELLE VIDERES DE ALMEIDA MARQUES</t>
  </si>
  <si>
    <t>2021118026</t>
  </si>
  <si>
    <t>0802788-51.2021.8.15.0251</t>
  </si>
  <si>
    <t>MARIA DO CEU
FONTES DE FARIAS</t>
  </si>
  <si>
    <t>0802286-31.2021.8.15.0181</t>
  </si>
  <si>
    <t>RIVONE MARQUES DE
ALMEIDA</t>
  </si>
  <si>
    <t>BANCO ITAÚ CONSIGNADO S.A</t>
  </si>
  <si>
    <t>2021117937</t>
  </si>
  <si>
    <t xml:space="preserve">2021080215 </t>
  </si>
  <si>
    <t>0801380-25.2021.8.15.0251</t>
  </si>
  <si>
    <t>MARIA JOSÉ DA SILVA
DINIZ</t>
  </si>
  <si>
    <t>BANCO BRADESCO S.A e BANCO MERCANTIL DO BRASIL S.A</t>
  </si>
  <si>
    <t>2019167672</t>
  </si>
  <si>
    <t>0804305-61.2017.8.15.0371</t>
  </si>
  <si>
    <t>SEBASTIAO SARMENTO BRAGA</t>
  </si>
  <si>
    <t>ESTADO DA PARAIBA</t>
  </si>
  <si>
    <t>2021118657</t>
  </si>
  <si>
    <t>0801624-38.2019.8.15.0181</t>
  </si>
  <si>
    <t>SIMONE MACIEL DO
NASCIMENTO</t>
  </si>
  <si>
    <t>2021120838</t>
  </si>
  <si>
    <t>0801832-51.2021.8.15.0181</t>
  </si>
  <si>
    <t>IVANILDE NUNES
DOS ANJOS</t>
  </si>
  <si>
    <t>BANCO BRADESCO SA</t>
  </si>
  <si>
    <t>2021120723</t>
  </si>
  <si>
    <t>VALCLECIO e outro
ALEXANDRE MENDES</t>
  </si>
  <si>
    <t>O BANCO DO BRASIL S.A. e outro</t>
  </si>
  <si>
    <t>0802911-41.2016.8.15.0181</t>
  </si>
  <si>
    <t>2021121496</t>
  </si>
  <si>
    <t>080236-74.2018.815.1171</t>
  </si>
  <si>
    <t>FRANCISCA GERACINA NETA</t>
  </si>
  <si>
    <t>ANTONIO ALVARES DE FARIA</t>
  </si>
  <si>
    <t>2021121507</t>
  </si>
  <si>
    <t>080436-18.2017.815.1171</t>
  </si>
  <si>
    <t>ADEMAR DE OLIVEIRA</t>
  </si>
  <si>
    <t>2021122307</t>
  </si>
  <si>
    <t>0802402-13.2016.8.15.0181</t>
  </si>
  <si>
    <t>EDITE MARIA DA CONCEICAO</t>
  </si>
  <si>
    <t>2021039561</t>
  </si>
  <si>
    <t>0804038-21.2019.8.15.0371</t>
  </si>
  <si>
    <t>MUNICIPIO DE VIEIROPOLIS</t>
  </si>
  <si>
    <t>2021123455</t>
  </si>
  <si>
    <t>Vara única de Santa Luzia</t>
  </si>
  <si>
    <t>Comarca de Santa Luzia</t>
  </si>
  <si>
    <t>0800072-06.2019.8.15.0321</t>
  </si>
  <si>
    <t>PEDRO SEVERINO DE ANDRADE</t>
  </si>
  <si>
    <t>BANCO DO BRASIL S.A. (</t>
  </si>
  <si>
    <t>2021123367</t>
  </si>
  <si>
    <t>0802205-82.2021.8.15.0181</t>
  </si>
  <si>
    <t>2021123447</t>
  </si>
  <si>
    <t>0803841-83.2021.815.0181</t>
  </si>
  <si>
    <t>2021112940</t>
  </si>
  <si>
    <t>0805446-98.2020.8.15.0181</t>
  </si>
  <si>
    <t>34.352.738/0001-30</t>
  </si>
  <si>
    <t>BANCO OLÉ BONSUCESSO CONSIGNADO S.A</t>
  </si>
  <si>
    <t>JOSÉ FERREIRA DE
LIMA SEGUNDO</t>
  </si>
  <si>
    <t>2021128320</t>
  </si>
  <si>
    <t>2ª Vara de Catolé do Rocha</t>
  </si>
  <si>
    <t>Comarca de Catolé do Rocha</t>
  </si>
  <si>
    <t>0801987-53.2016.8.15.0141</t>
  </si>
  <si>
    <t>JOÃO
LOURENÇO CARNEIRO FILHO</t>
  </si>
  <si>
    <t>2021059197</t>
  </si>
  <si>
    <t>4ª Vara de Cajazeiras</t>
  </si>
  <si>
    <t>0001612-52.2015.815.0131</t>
  </si>
  <si>
    <t>RANIELY DANTAS RODRIGUES</t>
  </si>
  <si>
    <t>Aline Almeida Leitão Braga</t>
  </si>
  <si>
    <t>LAUDO MÉDICO PERICIAL</t>
  </si>
  <si>
    <t>2021091653</t>
  </si>
  <si>
    <t>0000126-
76.2016.815.0881</t>
  </si>
  <si>
    <t>ALEXANDRE DE MORAIS</t>
  </si>
  <si>
    <t>CARLOS ALEXANDRE DE
ALMEIDA</t>
  </si>
  <si>
    <t>2021099137</t>
  </si>
  <si>
    <t>0800368-60.2020.815.0881</t>
  </si>
  <si>
    <t xml:space="preserve"> RAQUEL DA SILVA
ALVES</t>
  </si>
  <si>
    <t xml:space="preserve">MARIA MILLENA ALVES DOS SANTOS
</t>
  </si>
  <si>
    <t>2021129644</t>
  </si>
  <si>
    <t>Vara única de Alagoa Nova</t>
  </si>
  <si>
    <t xml:space="preserve"> 0800711-88.2019.8.15.0041</t>
  </si>
  <si>
    <t xml:space="preserve"> JOSEFA
VICENTE DA SILVA</t>
  </si>
  <si>
    <t>PAULO JOSE MANOEL DA SILVA</t>
  </si>
  <si>
    <t>Carlos Pedro Sousa Marques</t>
  </si>
  <si>
    <t>070.453.594-70</t>
  </si>
  <si>
    <t>2021131391</t>
  </si>
  <si>
    <t>1ª Vara de Mamanguape</t>
  </si>
  <si>
    <t>Comarca de Mamanguape</t>
  </si>
  <si>
    <t>0001282-17.2013.8.15.0231</t>
  </si>
  <si>
    <t>SEVERINO ANTONIO DA SILVA</t>
  </si>
  <si>
    <t>José Brasileiro Dourado Júnior</t>
  </si>
  <si>
    <t>2021117621</t>
  </si>
  <si>
    <t>2021115639</t>
  </si>
  <si>
    <t>2021107237</t>
  </si>
  <si>
    <t>2021120250</t>
  </si>
  <si>
    <t>2021027786</t>
  </si>
  <si>
    <t>0000682-16.2014.8.15.0601</t>
  </si>
  <si>
    <t>0800002-10.2020.8.15.0141</t>
  </si>
  <si>
    <t xml:space="preserve"> 0819354-88.2017.8.15.0001</t>
  </si>
  <si>
    <t>0031654-27.2013.8.15.0011</t>
  </si>
  <si>
    <t xml:space="preserve"> 0826048-
68.2020.8.15.0001</t>
  </si>
  <si>
    <t>JULIO LOPES DA SILVA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</si>
  <si>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</si>
  <si>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</si>
  <si>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</si>
  <si>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</si>
  <si>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</si>
  <si>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</si>
  <si>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</si>
  <si>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</si>
  <si>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</si>
  <si>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</si>
  <si>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</si>
  <si>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</si>
  <si>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</si>
  <si>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</si>
  <si>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</si>
  <si>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</si>
  <si>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</si>
  <si>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</si>
  <si>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</si>
  <si>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</si>
  <si>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</si>
  <si>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</si>
  <si>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</si>
  <si>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</si>
  <si>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</si>
  <si>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</si>
  <si>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</si>
  <si>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</si>
  <si>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</si>
  <si>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</si>
  <si>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</si>
  <si>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</si>
  <si>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</si>
  <si>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</si>
  <si>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</si>
  <si>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</si>
  <si>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</si>
  <si>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</si>
  <si>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</si>
  <si>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</si>
  <si>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</si>
  <si>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</si>
  <si>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</si>
  <si>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</si>
  <si>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</si>
  <si>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</si>
  <si>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</si>
  <si>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</si>
  <si>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</si>
  <si>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</si>
  <si>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</si>
  <si>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</si>
  <si>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</si>
  <si>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</si>
  <si>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</si>
  <si>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</si>
  <si>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</si>
  <si>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</si>
  <si>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</si>
  <si>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</si>
  <si>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</si>
  <si>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</si>
  <si>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</si>
  <si>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</si>
  <si>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</si>
  <si>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</si>
  <si>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</si>
  <si>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</si>
  <si>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</si>
  <si>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</si>
  <si>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</si>
  <si>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</si>
  <si>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</si>
  <si>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</si>
  <si>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</si>
  <si>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</si>
  <si>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</si>
  <si>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</si>
  <si>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</si>
  <si>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</si>
  <si>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</si>
  <si>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</si>
  <si>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</si>
  <si>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</si>
  <si>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</si>
  <si>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</si>
  <si>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</si>
  <si>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</si>
  <si>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</si>
  <si>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</si>
  <si>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</si>
  <si>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</si>
  <si>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</si>
  <si>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</si>
  <si>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</si>
  <si>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</si>
  <si>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</si>
  <si>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</si>
  <si>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</si>
  <si>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</si>
  <si>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</si>
  <si>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</si>
  <si>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</si>
  <si>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</si>
  <si>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</si>
  <si>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</si>
  <si>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</si>
  <si>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</si>
  <si>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</si>
  <si>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</si>
  <si>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</si>
  <si>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</si>
  <si>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</si>
  <si>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</si>
  <si>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</si>
  <si>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</si>
  <si>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</si>
  <si>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</si>
  <si>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</si>
  <si>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</si>
  <si>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</si>
  <si>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</si>
  <si>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</si>
  <si>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</si>
  <si>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</si>
  <si>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</si>
  <si>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</si>
  <si>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</si>
  <si>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</si>
  <si>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</si>
  <si>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</si>
  <si>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</si>
  <si>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</si>
  <si>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</si>
  <si>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</si>
  <si>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</si>
  <si>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</si>
  <si>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</si>
  <si>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</si>
  <si>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</si>
  <si>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</si>
  <si>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</si>
  <si>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</si>
  <si>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</si>
  <si>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</si>
  <si>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</si>
  <si>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</si>
  <si>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</si>
  <si>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2020039207</t>
  </si>
  <si>
    <t>0800382-41.2015.815.0011</t>
  </si>
  <si>
    <t>2021117710</t>
  </si>
  <si>
    <t>0834262-38.2015.8.15.2001</t>
  </si>
  <si>
    <t>2021106332</t>
  </si>
  <si>
    <t>0802677-54.2019.8.15.0181</t>
  </si>
  <si>
    <t>2021110878</t>
  </si>
  <si>
    <t>0800040-48.2017.815.1201</t>
  </si>
  <si>
    <t>2021078103</t>
  </si>
  <si>
    <t>0802446-73.2013.8.15.0751</t>
  </si>
  <si>
    <t>2021108053</t>
  </si>
  <si>
    <t>0802785-83.2018.8.15.2003</t>
  </si>
  <si>
    <t>2021110482</t>
  </si>
  <si>
    <t>0001480-60.2014.8.15.0541</t>
  </si>
  <si>
    <t>2021126867</t>
  </si>
  <si>
    <t>0801821-87.2015 8.15.0001</t>
  </si>
  <si>
    <t>2021131844</t>
  </si>
  <si>
    <t>0800076-46.2018.815.0881</t>
  </si>
  <si>
    <t>2021131852</t>
  </si>
  <si>
    <t>0800245-67.2017.815.0881</t>
  </si>
  <si>
    <t>2021131070</t>
  </si>
  <si>
    <t>BANCO BV FINANCEIRA S/A</t>
  </si>
  <si>
    <t>2ª Vara da Fazenda de Campina Grande</t>
  </si>
  <si>
    <t xml:space="preserve"> CLAUBERT
ANDRADE LEAL</t>
  </si>
  <si>
    <t xml:space="preserve"> FUSEM FUNDO MUNICIPAL DE PREVIDENCIA SOCIAL M BOA VISTA</t>
  </si>
  <si>
    <t>Igor Gondim</t>
  </si>
  <si>
    <t>GIZELIA TAVARES DE LIMA</t>
  </si>
  <si>
    <t>TAINARA CAMILA TAVARES DE LIMA e outra</t>
  </si>
  <si>
    <t xml:space="preserve"> 042.007.234-92</t>
  </si>
  <si>
    <t>ALIAN HUDSON DE LIMA SUASSUNA</t>
  </si>
  <si>
    <t>JAILTON DA SILVA ANDRADE e outra</t>
  </si>
  <si>
    <t>Micael Guedes da Silva</t>
  </si>
  <si>
    <t>121.436.844-10</t>
  </si>
  <si>
    <t>JOSÉ ARNALDO DE OLIVEIRA</t>
  </si>
  <si>
    <t xml:space="preserve"> PBPREV e MUNICIPIO DE
DONA INÊS</t>
  </si>
  <si>
    <t xml:space="preserve"> 000.827.794-06</t>
  </si>
  <si>
    <t>ERALDO MONTEIRO DE FREITAS e outra</t>
  </si>
  <si>
    <t>E EDYLA VIEIRA
DUTRA - ME - SIEL EMPREENDIMENTOS</t>
  </si>
  <si>
    <t>Rômulo Hamad Pereira Filho</t>
  </si>
  <si>
    <t>AGENOR
DIAS MONTENEGRO FILHO</t>
  </si>
  <si>
    <t>FRANCKLIN CLAYTON OLIVEIRA VENTURA</t>
  </si>
  <si>
    <t>035.435.064-12</t>
  </si>
  <si>
    <t>JOSE GERALDO DA SILVA
MELO</t>
  </si>
  <si>
    <t>JOSEFA MARIA LIMA
BENTO</t>
  </si>
  <si>
    <t xml:space="preserve">BANCO ITAÚ CONSIGNADO S/A </t>
  </si>
  <si>
    <t>SEVERINO DA SILVA SENA</t>
  </si>
  <si>
    <t>1ª Vara Regional Cível de Mangabeira</t>
  </si>
  <si>
    <t>Daniel de Sousa Santos</t>
  </si>
  <si>
    <t>Movida locação de Veículos S.A.</t>
  </si>
  <si>
    <t>Pedro Valentim Dantas Júnior</t>
  </si>
  <si>
    <t>021.100.344-16</t>
  </si>
  <si>
    <t>CASSIO GUIMARAES ARAUJO</t>
  </si>
  <si>
    <t>FACE DO INSS INSTITUTO NACIONAL DO SEGURO SOCIAL</t>
  </si>
  <si>
    <t>José Alves Costa e Outros</t>
  </si>
  <si>
    <t>Maria do Socorro Alves e outro
Costa</t>
  </si>
  <si>
    <t>Daniel Ferreira Guimarães</t>
  </si>
  <si>
    <t>322.419.638-60</t>
  </si>
  <si>
    <t>CARLOS
ALEXANDRE DE ALMEIDA</t>
  </si>
  <si>
    <t>FLABIO CARDOSO DANTAS</t>
  </si>
  <si>
    <t>MARIA LUCIA CARDOSO DOS SANTOS</t>
  </si>
  <si>
    <t>0801029-68.2021.8.15.0181</t>
  </si>
  <si>
    <t>MARIA DE LOURDES
OLERIANO DOS SANTOS</t>
  </si>
  <si>
    <t>BANCO C6 CONSIGNADO S.A</t>
  </si>
  <si>
    <t>2021130719</t>
  </si>
  <si>
    <t>0800570-66.2021.815.0181</t>
  </si>
  <si>
    <t>LUZIA MARIA DA
SILVA SANTOS</t>
  </si>
  <si>
    <t>BANCO BMG S.A.</t>
  </si>
  <si>
    <t>Raul Felipe Montenegro dos Santos</t>
  </si>
  <si>
    <t>2021133796</t>
  </si>
  <si>
    <t>0859668-90.2017.8.15.2001</t>
  </si>
  <si>
    <t>DINAH
DIRLEY DA SILVA</t>
  </si>
  <si>
    <t>MAGAZINE LUIZA E SAMSUNG ELETRONICA DA AMAZONIA LTDA.</t>
  </si>
  <si>
    <t>Tiago Henrique Wanderley Monteiro</t>
  </si>
  <si>
    <t>053.883.634-22</t>
  </si>
  <si>
    <t>0800453-23.2019.815.0221</t>
  </si>
  <si>
    <t>Maria Lucineide Rocha da Silva</t>
  </si>
  <si>
    <t>Vitória
da Silva Conceição</t>
  </si>
  <si>
    <t>Manuel Caetano de Brito</t>
  </si>
  <si>
    <t>2021135021</t>
  </si>
  <si>
    <t>0804441-88.2021.8.15.0251</t>
  </si>
  <si>
    <t>ROBSON TORRES
DOS SANTOS</t>
  </si>
  <si>
    <t>2021135312</t>
  </si>
  <si>
    <t xml:space="preserve"> 0800736-69.2019.8.15.0181</t>
  </si>
  <si>
    <t>JOSE NORBERTO DA
SILVA</t>
  </si>
  <si>
    <t>2021135329</t>
  </si>
  <si>
    <t>0804837-81.2021.8.15.0181</t>
  </si>
  <si>
    <t>ANTONIO JOSE DA
SILVA</t>
  </si>
  <si>
    <t>2021135370</t>
  </si>
  <si>
    <t>0813948-18.2019.8.15.0001</t>
  </si>
  <si>
    <t>Maria Ana de Jesus Macedo</t>
  </si>
  <si>
    <t>Banco Itaú
Consignado</t>
  </si>
  <si>
    <t>JULIANA BESERRA DE LIMA</t>
  </si>
  <si>
    <t>040.140.334-30</t>
  </si>
  <si>
    <t>2021135546</t>
  </si>
  <si>
    <t>KACILENE
AUGUSTA DA SILVA</t>
  </si>
  <si>
    <t>MUNICÍPIO DE LASTRO</t>
  </si>
  <si>
    <t>2021135474</t>
  </si>
  <si>
    <t>0801907-73.2019.8.15.0371</t>
  </si>
  <si>
    <t>FRANCISCO
JOSE DA SILVA JUNIOR
AUGUSTA DA SILVA</t>
  </si>
  <si>
    <t>2021136555</t>
  </si>
  <si>
    <t>0800429-23.2017.815.1171</t>
  </si>
  <si>
    <t>JONATHAS DA SILVA FIDELES e outra</t>
  </si>
  <si>
    <t>2021136547</t>
  </si>
  <si>
    <t>0800575-64.2017.815.1171</t>
  </si>
  <si>
    <t>AUGILEIDE SOARES DE LIM</t>
  </si>
  <si>
    <t>AMINADABI SOARES DE LIMA</t>
  </si>
  <si>
    <t>2021136539</t>
  </si>
  <si>
    <t>0800185-97.2017.815.1171</t>
  </si>
  <si>
    <t>INSTITUTO
NACIONAL DO SEGURO SOCIAL</t>
  </si>
  <si>
    <t>2021079106</t>
  </si>
  <si>
    <t>0818474-28.2019.8.15.0001</t>
  </si>
  <si>
    <t>ELIZINETH LUCENA COSTA
TEOFILO</t>
  </si>
  <si>
    <t>CRISTOVAO BRANDAO COSTA</t>
  </si>
  <si>
    <t>Silvio Romero Suassuna Primeiro</t>
  </si>
  <si>
    <t>096.725.134-61</t>
  </si>
  <si>
    <t>2021081394</t>
  </si>
  <si>
    <t>0800252-60.2020.8.15.0491</t>
  </si>
  <si>
    <t>ANTONIO ESTRELA DA SILVA e outra</t>
  </si>
  <si>
    <t>DEPARTAMENTO DE ESTRADAS DE RODAGEM DO ESTADO DA PARAÍBA</t>
  </si>
  <si>
    <t>2021126703</t>
  </si>
  <si>
    <t>0803831-
10.2019.815.0181</t>
  </si>
  <si>
    <t>BANCO ITAU BMG CONSIGNADO
S.A..</t>
  </si>
  <si>
    <t>2021037306</t>
  </si>
  <si>
    <t>0800499-38.2017.8.15.0041</t>
  </si>
  <si>
    <t>RAFAEL CASSIMIRO PEREIRA</t>
  </si>
  <si>
    <t>2021138217</t>
  </si>
  <si>
    <t>0005798-37.2015.8.15.2001</t>
  </si>
  <si>
    <t>ANA CLAUDIA DA SILVA ALVE</t>
  </si>
  <si>
    <t xml:space="preserve">CAPITAL DISTRIBUIDORA DE VEICULOS LTDA E FIAT AUTOMOVEIS S/A </t>
  </si>
  <si>
    <t>ALMI FERNANDES RIBEIRO JÚNIOR</t>
  </si>
  <si>
    <t>042.713.264-96</t>
  </si>
  <si>
    <t>2021138014</t>
  </si>
  <si>
    <t>MARIA DE LOURDES
ROSAS DE OLIVEIRA</t>
  </si>
  <si>
    <t>0803755-15.2021.8.15.0181</t>
  </si>
  <si>
    <t>2021138508</t>
  </si>
  <si>
    <t>0000829-97.2014.8.15.0421</t>
  </si>
  <si>
    <t>MARIA RODRIGUES DE
QUEIROZ</t>
  </si>
  <si>
    <t>ANIZIO RODRIGUES DE QUEIROZ</t>
  </si>
  <si>
    <t>2021138707</t>
  </si>
  <si>
    <t>0801891-39.2021.815.0181</t>
  </si>
  <si>
    <t>NIVALDO MARTINS DE ALMEIDA</t>
  </si>
  <si>
    <t xml:space="preserve">ITAÚ UNIBANCO S.A. </t>
  </si>
  <si>
    <t>2021139759</t>
  </si>
  <si>
    <t>0801702-66.2018.8.15.0181</t>
  </si>
  <si>
    <t>MARIA DA LUZ ALVES DOS SANTOS</t>
  </si>
  <si>
    <t>2021139540</t>
  </si>
  <si>
    <t>0803836-61.2021.8.15.0181</t>
  </si>
  <si>
    <t>2021139726</t>
  </si>
  <si>
    <t>0804382-19.2021.8.15.0181</t>
  </si>
  <si>
    <t>MARIA DAS DORES FIRMINO
GOMES</t>
  </si>
  <si>
    <t>2021139687</t>
  </si>
  <si>
    <t>0802552-18.2021.8.15.0181</t>
  </si>
  <si>
    <t>PAULO ROGERIO DE PONTES SILVA</t>
  </si>
  <si>
    <t>MAPFRE SEGUROS GERAIS S.A.</t>
  </si>
  <si>
    <t>2021140154</t>
  </si>
  <si>
    <t>0800094-33.2019.815.0881</t>
  </si>
  <si>
    <t>P. A. M. P</t>
  </si>
  <si>
    <t>2021141552</t>
  </si>
  <si>
    <t>0800573-21.2021.8.15.0181</t>
  </si>
  <si>
    <t>LUZIA MARIA DA SILVA SANTOS</t>
  </si>
  <si>
    <t xml:space="preserve"> BANCO CETELEM S/A</t>
  </si>
  <si>
    <t>2021141528</t>
  </si>
  <si>
    <t>0801677-48.2021.8.15.0181</t>
  </si>
  <si>
    <t>MARIA DE LOURDES
CASSIMIRO FLORIANO</t>
  </si>
  <si>
    <t>BRADESCARD S/A</t>
  </si>
  <si>
    <t>2021141593</t>
  </si>
  <si>
    <t>0805242-20.2021.8.15.0181</t>
  </si>
  <si>
    <t>GERLANE MARINHO DA
SILVA</t>
  </si>
  <si>
    <t>BANCO DO ESTADO DO RIO GRANDE DO SUL AS</t>
  </si>
  <si>
    <t>2021140904</t>
  </si>
  <si>
    <t>0803275-37.2021.8.15.0181</t>
  </si>
  <si>
    <t>JULIO MARINHO DE
ARAUJO</t>
  </si>
  <si>
    <t>2021139349</t>
  </si>
  <si>
    <t>0824179-07.2019.8.15.0001</t>
  </si>
  <si>
    <t>FABRICIO DA SILVA</t>
  </si>
  <si>
    <t>BRENDA SILVESTRE FARIAS DA SILVA</t>
  </si>
  <si>
    <t>Bianca Martins</t>
  </si>
  <si>
    <t>086792134-03</t>
  </si>
  <si>
    <t>2021143281</t>
  </si>
  <si>
    <t>080170261.2021.8.15.0181</t>
  </si>
  <si>
    <t>IRACEMA DE LIMA DUARTE</t>
  </si>
  <si>
    <t>BANCO BRADESCO S/A.</t>
  </si>
  <si>
    <t>2021143232</t>
  </si>
  <si>
    <t>0805132-55.2020.8.15.0181</t>
  </si>
  <si>
    <t>SEVERINA LOURENCO DOS
SANTOS</t>
  </si>
  <si>
    <t>2021140031</t>
  </si>
  <si>
    <t>0803703-36.2018.8.15.0371</t>
  </si>
  <si>
    <t>Glenio Paulo da Silva</t>
  </si>
  <si>
    <t>Município de Sousa.</t>
  </si>
  <si>
    <t>2021144602</t>
  </si>
  <si>
    <t>0800302-83.2017.8.15.0041</t>
  </si>
  <si>
    <t>GIVANILDO ALVES PEQUENO</t>
  </si>
  <si>
    <t>094.143.164-93</t>
  </si>
  <si>
    <t>2021144081</t>
  </si>
  <si>
    <t>0800544-08.2018.8.15.0041</t>
  </si>
  <si>
    <t>VERA LUCIA PAULINO DE SOUZA</t>
  </si>
  <si>
    <t>ERASMO FERREIRA DA SILVA</t>
  </si>
  <si>
    <t>Mirtes de Figueiredo Brito</t>
  </si>
  <si>
    <t>076.367.414-15</t>
  </si>
  <si>
    <t>2021144188</t>
  </si>
  <si>
    <t>0804879-33.2021.8.15.0181</t>
  </si>
  <si>
    <t>Antônio José da Silva</t>
  </si>
  <si>
    <t>2021120305</t>
  </si>
  <si>
    <t>2ª Vara Cível de Campina Grande</t>
  </si>
  <si>
    <t>0828895-77.2019.8.15.0001</t>
  </si>
  <si>
    <t>RONDINELE GOMES DE MOURA</t>
  </si>
  <si>
    <t>CARAJAS MATERIAL DE CONSTRUCAO LTDA. E outra</t>
  </si>
  <si>
    <t>Amanda Maria Alves do Amaral</t>
  </si>
  <si>
    <t>092.181.164-01</t>
  </si>
  <si>
    <t>2020178967</t>
  </si>
  <si>
    <t>0806524-75.2015.8.15.2001</t>
  </si>
  <si>
    <t>RANYERY DE SOUTO PEREIRA</t>
  </si>
  <si>
    <t>MRV ENGENHARIA E PARTICIPACOES SA e outro</t>
  </si>
  <si>
    <t>2021106574</t>
  </si>
  <si>
    <t>0811051-51.2018.8.15.0001</t>
  </si>
  <si>
    <t>Elizabeth Figueiredo Agra
Marinheiro</t>
  </si>
  <si>
    <t>Banco do Brasil AS</t>
  </si>
  <si>
    <t>2021017926</t>
  </si>
  <si>
    <t>0816252-87.2019.8.15.0001</t>
  </si>
  <si>
    <t>WAGNER FERREIRA SILVA</t>
  </si>
  <si>
    <t>ISLANE LOPES DA SILVA</t>
  </si>
  <si>
    <t>2021110136</t>
  </si>
  <si>
    <t>0801649-16.2020.815.0731</t>
  </si>
  <si>
    <t>EDIFICIO RESIDENCIAL
MAR MEDITERRANEO</t>
  </si>
  <si>
    <t>GFT CONSTRUIÇÕES E INCORPORAÇÕES LTDA e outro</t>
  </si>
  <si>
    <t>Fabiano Gomes Cabral</t>
  </si>
  <si>
    <t>023.230.684-23</t>
  </si>
  <si>
    <t>2021097168</t>
  </si>
  <si>
    <t>0003919-85.2016.8.15.0731</t>
  </si>
  <si>
    <t>VISA ENGENHARIA E SERVIÇOS
LTDA</t>
  </si>
  <si>
    <t>ASFALTOS NORDESTES LTDA</t>
  </si>
  <si>
    <t>2020136572</t>
  </si>
  <si>
    <t>0807264-14.2018.8.15.0001</t>
  </si>
  <si>
    <t>ANDRESSA CRISTINA SANTOS
RODRIGUES</t>
  </si>
  <si>
    <t>MARX HENRIQUE ALMEIDA NUNES e outros</t>
  </si>
  <si>
    <t>047.164.824-80</t>
  </si>
  <si>
    <t>2021078138</t>
  </si>
  <si>
    <t>0802569-61.2019.8.15.0751</t>
  </si>
  <si>
    <t>ROSA
MARIA IZIDRO DE OLIVEIRA</t>
  </si>
  <si>
    <t>2018198741</t>
  </si>
  <si>
    <t>0028841-13.2009.815.2001</t>
  </si>
  <si>
    <t>MARIA DE FATIMA FERNANDES DOS SANTOS e outros</t>
  </si>
  <si>
    <t>Marta Liane de Almeida Ramalho Loureiro</t>
  </si>
  <si>
    <t>185.804.594-00</t>
  </si>
  <si>
    <t>2021146590</t>
  </si>
  <si>
    <t>1ª Vara de Esperança</t>
  </si>
  <si>
    <t>Comarca de Esperança</t>
  </si>
  <si>
    <t>0800051-97.2016.8.15.0171</t>
  </si>
  <si>
    <t xml:space="preserve"> MARIA
GISELDA DA COSTA OLIVEIRA</t>
  </si>
  <si>
    <t>FUNDO DE PREVIDÊNCIA SOCIAL DOS SERVIDORES DO
MUNICÍPIO DE ESPERANÇA</t>
  </si>
  <si>
    <t>HEUDER ROMERO LIBERALINO DA NÓBREGA</t>
  </si>
  <si>
    <t>759.709.294-68</t>
  </si>
  <si>
    <t>2021147332</t>
  </si>
  <si>
    <t>0802270-77.2021.815.0181</t>
  </si>
  <si>
    <t>Maria Isabel Ferreira Alves</t>
  </si>
  <si>
    <t>2021146820</t>
  </si>
  <si>
    <t>0000079-95.2014.8.15.0421</t>
  </si>
  <si>
    <t>MARIA APARECIDA
PEREIRA RAMOS</t>
  </si>
  <si>
    <t>FRANCINALDO PEREIRA RAMOS</t>
  </si>
  <si>
    <t>2021148190</t>
  </si>
  <si>
    <t>0800794-
09.2019.8.15.0881</t>
  </si>
  <si>
    <t>MARILENE DE FIGUEREDO SILVA</t>
  </si>
  <si>
    <t>CARRILHO DE FIGUEIREDO
SILVA</t>
  </si>
  <si>
    <t>RONIVALDO DE OLIVEIRA BARROS</t>
  </si>
  <si>
    <t>753.109.024-49</t>
  </si>
  <si>
    <t>2021130817</t>
  </si>
  <si>
    <t>MARIA NEUMA DE FIGUEIREDO</t>
  </si>
  <si>
    <t>0805001-46.2021.8.15.0181</t>
  </si>
  <si>
    <t>2021141979</t>
  </si>
  <si>
    <t>0800873-92.2021.8.15.0371</t>
  </si>
  <si>
    <t>MIRIAN KARLA
FERNANDES PEREIRA</t>
  </si>
  <si>
    <t>2021126297</t>
  </si>
  <si>
    <t>0801468-91.2021.8.15.0371</t>
  </si>
  <si>
    <t>ROBERIANIA GOMES DA SILVA</t>
  </si>
  <si>
    <t>2021148542</t>
  </si>
  <si>
    <t>0801577-29.2020.815.0731</t>
  </si>
  <si>
    <t>WALDECY POMPILIO
DE SOUZA</t>
  </si>
  <si>
    <t xml:space="preserve"> BANCO ITAU S.A.</t>
  </si>
  <si>
    <t>2021151089</t>
  </si>
  <si>
    <t>0803695-54.2016.815.0751</t>
  </si>
  <si>
    <t>SINDICATO DOS TRABALHADORES MUNICIPAL DE BAYEUX</t>
  </si>
  <si>
    <t>ANTONIO FERREIRA LIMA NETO e Outro</t>
  </si>
  <si>
    <t>Francisco de Assis dos Santos</t>
  </si>
  <si>
    <t>011.948.398-00</t>
  </si>
  <si>
    <t>Vara única de Pedras de Fogo</t>
  </si>
  <si>
    <t>Comarca de Pedras de Fogo</t>
  </si>
  <si>
    <t>MUNICÍPIO DE PEDRAS DE FOGO</t>
  </si>
  <si>
    <t>0800270-06.2018.8.15.0571</t>
  </si>
  <si>
    <t>2021152475</t>
  </si>
  <si>
    <t>SANDRO
RODRIGUES FERRAZ</t>
  </si>
  <si>
    <t>2021152426</t>
  </si>
  <si>
    <t>0800081-57.2020.8.15.0571</t>
  </si>
  <si>
    <t>JACIENE
BATISTA DE OLIVEIRA</t>
  </si>
  <si>
    <t>2021152346</t>
  </si>
  <si>
    <t>º 0000258-93.2016.8.15.0571</t>
  </si>
  <si>
    <t xml:space="preserve"> IVANILDA DE
ANDRADE PONCE LORDAO</t>
  </si>
  <si>
    <t>2021152395</t>
  </si>
  <si>
    <t>0000374-70.2014.8.15.0571</t>
  </si>
  <si>
    <t>CARLOS
ROBERTO DE MENDONCA</t>
  </si>
  <si>
    <t>2021152459</t>
  </si>
  <si>
    <t xml:space="preserve"> 0800232-91.2018.8.15.0571</t>
  </si>
  <si>
    <t xml:space="preserve"> EDLENE
FRANCISCA SILVA DE VASCONCELOS</t>
  </si>
  <si>
    <t>2021152491</t>
  </si>
  <si>
    <t>0800439-90.2018.8.15.0571</t>
  </si>
  <si>
    <t>EDIMILSON
FELIX DE MENDONCA</t>
  </si>
  <si>
    <t>2021152442</t>
  </si>
  <si>
    <t>0800091-72.2018.8.15.0571</t>
  </si>
  <si>
    <t>HUGO
LEONARDO ANDRADE DA ROCHA</t>
  </si>
  <si>
    <t>2021152506</t>
  </si>
  <si>
    <t>0800490-04.2018.8.15.0571</t>
  </si>
  <si>
    <t>JOSINEIDE
BORGES OLIVEIRA DA SILVA</t>
  </si>
  <si>
    <t>2021152563</t>
  </si>
  <si>
    <t>0800671-68.2019.8.15.0571</t>
  </si>
  <si>
    <t xml:space="preserve"> MOSELITA
MISAEL DE SOUZA</t>
  </si>
  <si>
    <t>2021152539</t>
  </si>
  <si>
    <t>0800659-54.2019.8.15.0571</t>
  </si>
  <si>
    <t>RENATA
LYGIA MACEDO VIANA DE ANDRADE</t>
  </si>
  <si>
    <t>2021152522</t>
  </si>
  <si>
    <t>0800658-69.2019.8.15.0571</t>
  </si>
  <si>
    <t>R MIRIAN
REGINA REICHERT MARTINS</t>
  </si>
  <si>
    <t>2021152547</t>
  </si>
  <si>
    <t>0800663-91.2019.8.15.0571</t>
  </si>
  <si>
    <t>RAIMUNDA
JEAN RODRIGUES CUNHA</t>
  </si>
  <si>
    <t>2021152555</t>
  </si>
  <si>
    <t xml:space="preserve"> 0800668-16.2019.8.15.0571</t>
  </si>
  <si>
    <t xml:space="preserve">  MARIA JOSE
DA CONCEICAO</t>
  </si>
  <si>
    <t>2021152830</t>
  </si>
  <si>
    <t>0800440-75.2018.8.15.0571</t>
  </si>
  <si>
    <t>MARIA JOSE
BARBOSA DA SILVA</t>
  </si>
  <si>
    <t>2021152872</t>
  </si>
  <si>
    <t>0800035-73.2017.8.15.0571</t>
  </si>
  <si>
    <t>SUELY MARIA
DA CONCEICAO</t>
  </si>
  <si>
    <t>2021152864</t>
  </si>
  <si>
    <t>0800080-72.2020.8.15.0571</t>
  </si>
  <si>
    <t>NEIDE
MARCOS</t>
  </si>
  <si>
    <t>2021152792</t>
  </si>
  <si>
    <t>0808480-81.2019.8.15.2003</t>
  </si>
  <si>
    <t>ELISANGELA
PESSOA DA SILVA</t>
  </si>
  <si>
    <t xml:space="preserve">MUNICÍPIO DE BANCO ITAU CONSIGNADO S.A. e ITAU UNIBANCO HOLDING
S.A. </t>
  </si>
  <si>
    <t>2021144207</t>
  </si>
  <si>
    <t>0804808-31.2021.815.0181</t>
  </si>
  <si>
    <t>Maria da Silva Soares</t>
  </si>
  <si>
    <t>Banco C6
Consignado</t>
  </si>
  <si>
    <t>2021140074</t>
  </si>
  <si>
    <t>0803893-71.2020.8.15.0001</t>
  </si>
  <si>
    <t>AILMA DE MACEDO RODRIGUES</t>
  </si>
  <si>
    <t>OSMAR DA SILVA MACEDO</t>
  </si>
  <si>
    <t>ADRIANA VIEIRA ALVES</t>
  </si>
  <si>
    <t>275.900.448-14</t>
  </si>
  <si>
    <t>2021140099</t>
  </si>
  <si>
    <t>0834613-21.2020.8.15.0001</t>
  </si>
  <si>
    <t>ISABEL CRISTINA NASCIMENTO
DOS SANTOS</t>
  </si>
  <si>
    <t xml:space="preserve">YAN EMANOEL NASCIMENTO DA SILVA
</t>
  </si>
  <si>
    <t>2021140082</t>
  </si>
  <si>
    <t>0811360-04.2020.8.15.0001</t>
  </si>
  <si>
    <t>RIAN BARRETO DE BRITO</t>
  </si>
  <si>
    <t>LEONARA DOS SANTOS QUEIROZ</t>
  </si>
  <si>
    <t>2021135780</t>
  </si>
  <si>
    <t xml:space="preserve"> 0805033-
09.2021.8.15.0001</t>
  </si>
  <si>
    <t xml:space="preserve"> MARIA GORETTE DA SILVA LEITE</t>
  </si>
  <si>
    <t>JOÃO PAULO DA SILVA</t>
  </si>
  <si>
    <t>RAVEL CARNEIRO EVARISTO</t>
  </si>
  <si>
    <t>061.473.314-69</t>
  </si>
  <si>
    <t>2021155324</t>
  </si>
  <si>
    <t>0804437-
67.2021.8.15.0181</t>
  </si>
  <si>
    <t>MARIA DO LIVRAMENTO DA COSTA</t>
  </si>
  <si>
    <t>BP PROMOTORA DE
VENDAS LTDA.</t>
  </si>
  <si>
    <t>2021155252</t>
  </si>
  <si>
    <t>0804932-14.2021.8.15.0181</t>
  </si>
  <si>
    <t>SEVERINO PORFIRIO SOBRINHO</t>
  </si>
  <si>
    <t>2021156876</t>
  </si>
  <si>
    <t>0001816-47.2012.8.15.0731</t>
  </si>
  <si>
    <t>MARIA DAS DORES ROSELY FALCONI DE OLIVEIRA</t>
  </si>
  <si>
    <t>ARTUR CORREIA DE BRITO FILHO</t>
  </si>
  <si>
    <t>2021156663</t>
  </si>
  <si>
    <t>0804466-20.2021.8.15.0181</t>
  </si>
  <si>
    <t xml:space="preserve"> ANÁLIA
GOMES DE SANTANA</t>
  </si>
  <si>
    <t>BANCO AGIBANK S/A.</t>
  </si>
  <si>
    <t>2021145159</t>
  </si>
  <si>
    <t xml:space="preserve"> 0826206-60.2019.8.15.0001</t>
  </si>
  <si>
    <t>MARIA DO SOCORRO LIMA CRUZ</t>
  </si>
  <si>
    <t>HERON ANDRADE MARINHO LMF CONSTRUÇÕES LTDA</t>
  </si>
  <si>
    <t>2021143064</t>
  </si>
  <si>
    <t>0800449-86.2019.8.15.0511</t>
  </si>
  <si>
    <t>Damiana Rodrigues Cordeiro</t>
  </si>
  <si>
    <t>BANCO PAN.</t>
  </si>
  <si>
    <t>2021150545</t>
  </si>
  <si>
    <t>0809665-54.2016.8.15.0001</t>
  </si>
  <si>
    <t>Anderson Samuel da Silva</t>
  </si>
  <si>
    <t>Marcello de Macedo Freire Duarte.</t>
  </si>
  <si>
    <t>Daiane Silva de Abreu</t>
  </si>
  <si>
    <t>095.711.584-96</t>
  </si>
  <si>
    <t>2020103603</t>
  </si>
  <si>
    <t>0809595-71.2015.815.0001</t>
  </si>
  <si>
    <t>SIMONE RAMALHO DE
ARAUJO</t>
  </si>
  <si>
    <t>RAUL AGRIPINO SANTOS e BANCO DO BRASIL S.A</t>
  </si>
  <si>
    <t>Sérgio Maurício Valois Pina Moreira</t>
  </si>
  <si>
    <t>032.595.324-47</t>
  </si>
  <si>
    <t>2021113127</t>
  </si>
  <si>
    <t>0840387-
80.2019.8.15.2001</t>
  </si>
  <si>
    <t>JOÃO EVANGELISTA VITAL</t>
  </si>
  <si>
    <t>SABEMI SEGURADORA S.A.</t>
  </si>
  <si>
    <t>027.962.114.01</t>
  </si>
  <si>
    <t>2021123287</t>
  </si>
  <si>
    <t>0815952-33.2016.8.15.0001</t>
  </si>
  <si>
    <t>L. V. B. B. e outra</t>
  </si>
  <si>
    <t>MUNICIPIO DE CAMPINA GRANDE e outro</t>
  </si>
  <si>
    <t>MARCELO GAUDÊNCIO PONCE DE LEON</t>
  </si>
  <si>
    <t>424.255.904-63</t>
  </si>
  <si>
    <t>2021035794</t>
  </si>
  <si>
    <t>0802207-06.2017.8.15.0371</t>
  </si>
  <si>
    <t>JULIANA QUEIROGA DE OLIVEIRA</t>
  </si>
  <si>
    <t>MUNICIPIO
DE SOUSA</t>
  </si>
  <si>
    <t>2021157318</t>
  </si>
  <si>
    <t xml:space="preserve"> 0804959-31.2020.8.15.0181</t>
  </si>
  <si>
    <t>JOSEFA MARTINS DO NASCIMENTO</t>
  </si>
  <si>
    <t>BANCO MERCANTIL DO BRASIL S.A</t>
  </si>
  <si>
    <t>2021157295</t>
  </si>
  <si>
    <t>0800209-49.2021.815.0181</t>
  </si>
  <si>
    <t xml:space="preserve"> Município de Guarabira</t>
  </si>
  <si>
    <t>Sergio Novaque</t>
  </si>
  <si>
    <t>2021039922</t>
  </si>
  <si>
    <t>3ª Vara Cível de João Pessoa</t>
  </si>
  <si>
    <t>0000104-
66.2021.815.0000</t>
  </si>
  <si>
    <t>Luzivaldo Gadelha Silvestre</t>
  </si>
  <si>
    <t xml:space="preserve"> Banco Itaú Consignado S.A. </t>
  </si>
  <si>
    <t>Giovanna Vilar Frazão Marques</t>
  </si>
  <si>
    <t>2021157650</t>
  </si>
  <si>
    <t>0807708-68.2021.8.15.0251</t>
  </si>
  <si>
    <t>CLODOALDO
RIBEIRO DA SILVA</t>
  </si>
  <si>
    <t>2021157535</t>
  </si>
  <si>
    <t>0000967-85.2014.8.15.0511</t>
  </si>
  <si>
    <t>EDNALDO FREIRE DE SOUZA</t>
  </si>
  <si>
    <t>2021157037</t>
  </si>
  <si>
    <t>0801763-19.2021.8.15.0181</t>
  </si>
  <si>
    <t>MARIA DE LOURDES OLERIANO
DOS SANTOS</t>
  </si>
  <si>
    <t>2021156997</t>
  </si>
  <si>
    <t>0804357-06.2021.8.15.0181</t>
  </si>
  <si>
    <t>RITA DOS SANTOS
PAULINO</t>
  </si>
  <si>
    <t xml:space="preserve"> Banco C6 Consignado</t>
  </si>
  <si>
    <t>2021158808</t>
  </si>
  <si>
    <t>0801285-92.2021.8.15.0251</t>
  </si>
  <si>
    <t>JOSE PERAZZO
MONTENEGRO</t>
  </si>
  <si>
    <t>2021159608</t>
  </si>
  <si>
    <t>0803998-40.2021.8.15.0251</t>
  </si>
  <si>
    <t>FRANCISCO DE ASSIS ARAUJO DA
SILVA</t>
  </si>
  <si>
    <t>2021159325</t>
  </si>
  <si>
    <t>0000555-60.2016.8.15.0261</t>
  </si>
  <si>
    <t xml:space="preserve"> ROZENO PEDRO LUIZ E
NADIR SINHORINHA PESSOA LUIZ</t>
  </si>
  <si>
    <t xml:space="preserve"> ROGÉRIO LUIZ PESSOA</t>
  </si>
  <si>
    <t>2021160153</t>
  </si>
  <si>
    <t>0000260-59.2010.8.15.0511</t>
  </si>
  <si>
    <t>SERVERINO RAMOS DA COSTA</t>
  </si>
  <si>
    <t>2021160580</t>
  </si>
  <si>
    <t>0800450-08.2018.8.15.0511</t>
  </si>
  <si>
    <t>JOAO
PAULINO DE MENDONCA</t>
  </si>
  <si>
    <t>2021160571</t>
  </si>
  <si>
    <t>0803119-20.2019.8.15.0181</t>
  </si>
  <si>
    <t xml:space="preserve"> ELDA MARIA MARIANO DOS
SANTOS</t>
  </si>
  <si>
    <t>2021160563</t>
  </si>
  <si>
    <t xml:space="preserve"> 0801069-84.2020.8.15.0181</t>
  </si>
  <si>
    <t xml:space="preserve">JOSE NUNES NETO </t>
  </si>
  <si>
    <t>BANCO ITAU CONSIGNADO S.A. e outro</t>
  </si>
  <si>
    <t>2021160320</t>
  </si>
  <si>
    <t>0802319-89.2019.8.15.0181</t>
  </si>
  <si>
    <t>SEVERINO AGUIAR</t>
  </si>
  <si>
    <t xml:space="preserve">LUIZACRED S.A. SOCIEDADE DE CREDITO, FINANCIAMENTO E INVESTIMENTO </t>
  </si>
  <si>
    <t>2021160090</t>
  </si>
  <si>
    <t>0800211-23.2016.815.0301</t>
  </si>
  <si>
    <t>FRANCISCA SEVERINA DE SOUTO SILVA</t>
  </si>
  <si>
    <t>M.H.S.</t>
  </si>
  <si>
    <t>Amanda Kivia Dantas de Oliveira</t>
  </si>
  <si>
    <t>088.498.784-19</t>
  </si>
  <si>
    <t>2022004428</t>
  </si>
  <si>
    <t>0805540-46.2020.815.0181</t>
  </si>
  <si>
    <t>MARIA JOSE SOUSA SILVA</t>
  </si>
  <si>
    <t>2022008195</t>
  </si>
  <si>
    <t>0801139-
72.2019.815.0881</t>
  </si>
  <si>
    <t>Sebastião Alves dos Santos</t>
  </si>
  <si>
    <t>2022014479</t>
  </si>
  <si>
    <t>0800609-74.2020.8.15.0221</t>
  </si>
  <si>
    <t>CLAUDIANA DE
SOUSA BRITO</t>
  </si>
  <si>
    <t>ITAICIRA DE SOUSA BRITO</t>
  </si>
  <si>
    <t>2022014462</t>
  </si>
  <si>
    <t>0800279-64.2017.8.15.0421</t>
  </si>
  <si>
    <t>EDNA
DE SOUSA CAJU</t>
  </si>
  <si>
    <t>2022017665</t>
  </si>
  <si>
    <t>2022017673</t>
  </si>
  <si>
    <t>0800044-
07.2019.8.15.0881</t>
  </si>
  <si>
    <t>LEIDIANA DANTAS DE OLIVEIRA</t>
  </si>
  <si>
    <t>MARIA SUZANA FILHA</t>
  </si>
  <si>
    <t>021. 205.144-02</t>
  </si>
  <si>
    <t>FRANCISCA MARIA DOS SANTOS ALVES</t>
  </si>
  <si>
    <t>0800664-
53.2018.8.15.0881</t>
  </si>
  <si>
    <t xml:space="preserve"> CLARA HELOISA DOS
SANTOS VIEIRA</t>
  </si>
  <si>
    <t>2022018432</t>
  </si>
  <si>
    <t>0860713-95.2018.8.15.2001</t>
  </si>
  <si>
    <t>NORMA MARIA DE LIMA</t>
  </si>
  <si>
    <t>BV
FINANCEIRA AS</t>
  </si>
  <si>
    <t>2022023671</t>
  </si>
  <si>
    <t>0805086-66.2020.8.15.0181</t>
  </si>
  <si>
    <t>Severino Luiz dos Santos</t>
  </si>
  <si>
    <t xml:space="preserve"> Banco Itaú Consignado S.A.</t>
  </si>
  <si>
    <t>2021154766</t>
  </si>
  <si>
    <t>0802627-69.2021.8.15.0371</t>
  </si>
  <si>
    <t>MARYNICE MENDES SARMENTO</t>
  </si>
  <si>
    <t>MUNICIPIO DE APARECIDA</t>
  </si>
  <si>
    <t>2021095550</t>
  </si>
  <si>
    <t>FRANCISCO VALDIVAM DE LIRA</t>
  </si>
  <si>
    <t>DACI RODRIGUES BARBOSA</t>
  </si>
  <si>
    <t>0800729-
94.2016.8.15.0371</t>
  </si>
  <si>
    <t>Breno Francisco Pereira</t>
  </si>
  <si>
    <t>108.609.184-16</t>
  </si>
  <si>
    <t>2021128426</t>
  </si>
  <si>
    <t>0800917-02.2021.815.0181</t>
  </si>
  <si>
    <t xml:space="preserve"> BANCO AGIBANK S/A
</t>
  </si>
  <si>
    <t>2021133042</t>
  </si>
  <si>
    <t xml:space="preserve"> 0801637-03.2020.8.15.0181</t>
  </si>
  <si>
    <t>BANCO BRADESCO FINANCIAMENTO S.A</t>
  </si>
  <si>
    <t>2021138477</t>
  </si>
  <si>
    <t>0802751-40.2021.8.15.0181</t>
  </si>
  <si>
    <t xml:space="preserve"> MARIA VICENTE DA SILVA</t>
  </si>
  <si>
    <t>MARIA DO
CARMO PAULINO DA SILVA</t>
  </si>
  <si>
    <t>2021156190</t>
  </si>
  <si>
    <t>0803113-76.2020.8.15.0181</t>
  </si>
  <si>
    <t>EVERALDO FERREIRA DA SILVA</t>
  </si>
  <si>
    <t xml:space="preserve"> BANCO PAN
</t>
  </si>
  <si>
    <t>2021142529</t>
  </si>
  <si>
    <t xml:space="preserve"> 0000157-36.2015.815.1171</t>
  </si>
  <si>
    <t>MEIRE MAJELE DE SOUSA SANTOS</t>
  </si>
  <si>
    <t>MUNICIPIO DE PAULISTA</t>
  </si>
  <si>
    <t>2021135511</t>
  </si>
  <si>
    <t>0026548-89.2010.8.15.0011</t>
  </si>
  <si>
    <t>AURI
NUNES CAMBOIM</t>
  </si>
  <si>
    <t>JOSÉ HILTON BATISTA LEITE COSTA</t>
  </si>
  <si>
    <t>Luiz Brito de Souza Júnior</t>
  </si>
  <si>
    <t>007.811.414-43</t>
  </si>
  <si>
    <t>2021139558</t>
  </si>
  <si>
    <t>0803832-92.2019.8.15.0181</t>
  </si>
  <si>
    <t>ITAU BMG CONSIGNADO S.A.</t>
  </si>
  <si>
    <t>2020185054</t>
  </si>
  <si>
    <t>1ª Regional Cível de Mangabeira</t>
  </si>
  <si>
    <t>0012001-53.2008.8.15.2003</t>
  </si>
  <si>
    <t>ADAILTON PEREIRA DA SILVA M E</t>
  </si>
  <si>
    <t>ELLO DISTRIBUIDORA DE COMBUSTIVEIS S/A e outro</t>
  </si>
  <si>
    <t>009.525.424-20</t>
  </si>
  <si>
    <t>2022022390</t>
  </si>
  <si>
    <t>1ª Vara de Pombal</t>
  </si>
  <si>
    <t>0800981-45.2018.8.15.0301</t>
  </si>
  <si>
    <t>MARIA DE FATIMA DANTAS PEREIRA FERNANDES</t>
  </si>
  <si>
    <t>BANCO
BMG S.A e outro</t>
  </si>
  <si>
    <t>2021137685</t>
  </si>
  <si>
    <t>0003303-60.2010.8.15.0751</t>
  </si>
  <si>
    <t>JOSE MARIANO DOS
SANTOS</t>
  </si>
  <si>
    <t>2022023972</t>
  </si>
  <si>
    <t>0087532-15.2012.8.15.2001</t>
  </si>
  <si>
    <t>SANTANDER LEASING S.A. ARRENDAMENTO MERCANTIL</t>
  </si>
  <si>
    <t>2022024439</t>
  </si>
  <si>
    <t>0800488-63.2021.8.15.0301</t>
  </si>
  <si>
    <t>JULIO CESAR DA SILVA
URTIGA</t>
  </si>
  <si>
    <t>JANIO CLEUDISON DA SILVA URTIGA</t>
  </si>
  <si>
    <t>Dalianny Arruda Formiga</t>
  </si>
  <si>
    <t>065.459.954-80</t>
  </si>
  <si>
    <t>2021042261</t>
  </si>
  <si>
    <t>0800796-20.2020.8.15.0371</t>
  </si>
  <si>
    <t>EDILEUZA DUARTE DA SILVA</t>
  </si>
  <si>
    <t>2021140451</t>
  </si>
  <si>
    <t>0800486-77.2021.8.15.0371</t>
  </si>
  <si>
    <t>MARIA VERONICA DE ANDRADE MOREIRA</t>
  </si>
  <si>
    <t>2021140517</t>
  </si>
  <si>
    <t>0814393-
0.2020.8.15.0001</t>
  </si>
  <si>
    <t>NEFI DE OLIVEIRA BARBOSA</t>
  </si>
  <si>
    <t>KALINE ALENCAR NUNES</t>
  </si>
  <si>
    <t>2022024455</t>
  </si>
  <si>
    <t>0806040-41.2018.8.15.0001</t>
  </si>
  <si>
    <t>Terezinha Costa Lima</t>
  </si>
  <si>
    <t>Francisco Clementino de
Carvalho</t>
  </si>
  <si>
    <t>2021139172</t>
  </si>
  <si>
    <t>0801423-87.2021.8.15.037</t>
  </si>
  <si>
    <t>FRANCISCA DANTAS DE SOUSA</t>
  </si>
  <si>
    <t>2021139986</t>
  </si>
  <si>
    <t>0824071-75.2019.8.15.0001</t>
  </si>
  <si>
    <t>ANDREA SILVA
ARAUJO</t>
  </si>
  <si>
    <t>ALDENI ALVES DA SILVA</t>
  </si>
  <si>
    <t>2021138047</t>
  </si>
  <si>
    <t>0803638-16.2020.8.15.0001</t>
  </si>
  <si>
    <t>2021079091</t>
  </si>
  <si>
    <t>SEVERINA GOMES DOS SANTOS</t>
  </si>
  <si>
    <t>BANCO DO BRASIL S.A.</t>
  </si>
  <si>
    <t>Romero Suassuna Primeiro</t>
  </si>
  <si>
    <t>0812384-04.2019.8.15.0001</t>
  </si>
  <si>
    <t>2021155285</t>
  </si>
  <si>
    <t>0800064-39.2020.815.0371</t>
  </si>
  <si>
    <t>GIRLENE ROCHA DO
NASCIMENTO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</si>
  <si>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</si>
  <si>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</si>
  <si>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</si>
  <si>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</si>
  <si>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</si>
  <si>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</si>
  <si>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</si>
  <si>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</si>
  <si>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</si>
  <si>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</si>
  <si>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</si>
  <si>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</si>
  <si>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</si>
  <si>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</si>
  <si>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</si>
  <si>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</si>
  <si>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</si>
  <si>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</si>
  <si>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</si>
  <si>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</si>
  <si>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</si>
  <si>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</si>
  <si>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</si>
  <si>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</si>
  <si>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</si>
  <si>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</si>
  <si>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</si>
  <si>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</si>
  <si>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</si>
  <si>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</si>
  <si>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</si>
  <si>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</si>
  <si>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</si>
  <si>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</si>
  <si>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</si>
  <si>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</si>
  <si>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</si>
  <si>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</si>
  <si>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</si>
  <si>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</si>
  <si>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</si>
  <si>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</si>
  <si>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</si>
  <si>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</si>
  <si>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</si>
  <si>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</si>
  <si>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</si>
  <si>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</si>
  <si>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</si>
  <si>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</si>
  <si>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</si>
  <si>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</si>
  <si>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</si>
  <si>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</si>
  <si>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</si>
  <si>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</si>
  <si>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</si>
  <si>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</si>
  <si>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</si>
  <si>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</si>
  <si>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</si>
  <si>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</si>
  <si>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</si>
  <si>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</si>
  <si>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</si>
  <si>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</si>
  <si>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</si>
  <si>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</si>
  <si>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</si>
  <si>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</si>
  <si>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</si>
  <si>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</si>
  <si>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</si>
  <si>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</si>
  <si>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</si>
  <si>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</si>
  <si>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</si>
  <si>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</si>
  <si>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</si>
  <si>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</si>
  <si>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</si>
  <si>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</si>
  <si>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</si>
  <si>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</si>
  <si>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</si>
  <si>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</si>
  <si>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</si>
  <si>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</si>
  <si>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</si>
  <si>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</si>
  <si>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</si>
  <si>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</si>
  <si>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</si>
  <si>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</si>
  <si>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</si>
  <si>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</si>
  <si>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</si>
  <si>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</si>
  <si>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</si>
  <si>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</si>
  <si>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</si>
  <si>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</si>
  <si>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</si>
  <si>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</si>
  <si>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</si>
  <si>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</si>
  <si>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</si>
  <si>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</si>
  <si>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</si>
  <si>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</si>
  <si>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</si>
  <si>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</si>
  <si>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</si>
  <si>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</si>
  <si>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</si>
  <si>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</si>
  <si>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</si>
  <si>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</si>
  <si>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</si>
  <si>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</si>
  <si>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</si>
  <si>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</si>
  <si>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</si>
  <si>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</si>
  <si>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</si>
  <si>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</si>
  <si>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</si>
  <si>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</si>
  <si>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</si>
  <si>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</si>
  <si>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</si>
  <si>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</si>
  <si>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</si>
  <si>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</si>
  <si>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</si>
  <si>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</si>
  <si>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</si>
  <si>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</si>
  <si>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</si>
  <si>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</si>
  <si>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</si>
  <si>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</si>
  <si>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</si>
  <si>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</si>
  <si>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</si>
  <si>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</si>
  <si>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</si>
  <si>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</si>
  <si>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</si>
  <si>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</si>
  <si>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</si>
  <si>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</si>
  <si>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</si>
  <si>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</si>
  <si>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</si>
  <si>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</si>
  <si>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</si>
  <si>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</si>
  <si>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</si>
  <si>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</si>
  <si>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</si>
  <si>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</si>
  <si>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</si>
  <si>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</si>
  <si>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</si>
  <si>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</si>
  <si>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</si>
  <si>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</si>
  <si>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</si>
  <si>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</si>
  <si>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</si>
  <si>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</si>
  <si>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</si>
  <si>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</si>
  <si>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</si>
  <si>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</si>
  <si>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</si>
  <si>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</si>
  <si>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</si>
  <si>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</si>
  <si>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</si>
  <si>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</si>
  <si>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</si>
  <si>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</si>
  <si>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</si>
  <si>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</si>
  <si>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</si>
  <si>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</si>
  <si>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</si>
  <si>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</si>
  <si>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</si>
  <si>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</si>
  <si>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</si>
  <si>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</si>
  <si>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</si>
  <si>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</si>
  <si>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</si>
  <si>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</si>
  <si>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</si>
  <si>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</si>
  <si>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</si>
  <si>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</si>
  <si>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</si>
  <si>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</si>
  <si>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</si>
  <si>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</si>
  <si>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</si>
  <si>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</si>
  <si>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</si>
  <si>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</si>
  <si>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</si>
  <si>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</si>
  <si>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</si>
  <si>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</si>
  <si>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</si>
  <si>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</si>
  <si>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</si>
  <si>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</si>
  <si>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</si>
  <si>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</si>
  <si>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</si>
  <si>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</si>
  <si>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</si>
  <si>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</si>
  <si>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</si>
  <si>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</si>
  <si>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</si>
  <si>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</si>
  <si>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</si>
  <si>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</si>
  <si>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</si>
  <si>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</si>
  <si>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</si>
  <si>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</si>
  <si>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</si>
  <si>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</si>
  <si>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</si>
  <si>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</si>
  <si>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</si>
  <si>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</si>
  <si>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</si>
  <si>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</si>
  <si>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</si>
  <si>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</si>
  <si>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</si>
  <si>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</si>
  <si>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</si>
  <si>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</si>
  <si>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</si>
  <si>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</si>
  <si>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</si>
  <si>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</si>
  <si>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</si>
  <si>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</si>
  <si>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</si>
  <si>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</si>
  <si>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</si>
  <si>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</si>
  <si>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</si>
  <si>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</si>
  <si>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</si>
  <si>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</si>
  <si>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</si>
  <si>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</si>
  <si>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</si>
  <si>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</si>
  <si>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</si>
  <si>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</si>
  <si>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</si>
  <si>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</si>
  <si>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</si>
  <si>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</si>
  <si>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</si>
  <si>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</si>
  <si>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</si>
  <si>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</si>
  <si>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</si>
  <si>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</si>
  <si>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</si>
  <si>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</si>
  <si>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</si>
  <si>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</si>
  <si>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</si>
  <si>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</si>
  <si>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</si>
  <si>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</si>
  <si>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</si>
  <si>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</si>
  <si>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</si>
  <si>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</si>
  <si>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</si>
  <si>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</si>
  <si>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</si>
  <si>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</si>
  <si>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</si>
  <si>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</si>
  <si>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</si>
  <si>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</si>
  <si>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</si>
  <si>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</si>
  <si>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</si>
  <si>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</si>
  <si>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</si>
  <si>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</si>
  <si>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</si>
  <si>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</si>
  <si>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</si>
  <si>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</si>
  <si>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</si>
  <si>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</si>
  <si>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</si>
  <si>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</si>
  <si>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</si>
  <si>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</si>
  <si>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</si>
  <si>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</si>
  <si>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</si>
  <si>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</si>
  <si>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</si>
  <si>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</si>
  <si>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</si>
  <si>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</si>
  <si>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</si>
  <si>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</si>
  <si>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</si>
  <si>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</si>
  <si>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</si>
  <si>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</si>
  <si>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</si>
  <si>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</si>
  <si>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</si>
  <si>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</si>
  <si>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</si>
  <si>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</si>
  <si>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</si>
  <si>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</si>
  <si>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</si>
  <si>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</si>
  <si>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</si>
  <si>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</si>
  <si>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</si>
  <si>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</si>
  <si>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</si>
  <si>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</si>
  <si>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</si>
  <si>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</si>
  <si>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</si>
  <si>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</si>
  <si>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</si>
  <si>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</si>
  <si>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</si>
  <si>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</si>
  <si>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</si>
  <si>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</si>
  <si>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</si>
  <si>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2021151894</t>
  </si>
  <si>
    <t>0802118-41.2021.8.15.0371</t>
  </si>
  <si>
    <t>RONIVONI ALVES DA SILVA</t>
  </si>
  <si>
    <t>2021140541</t>
  </si>
  <si>
    <t>0801359-62.2017.8.15.0001</t>
  </si>
  <si>
    <t>ALBERTO DOS SANTOS SILVA</t>
  </si>
  <si>
    <t>MARILENE MARIA DOS
SANTOS SILVA.</t>
  </si>
  <si>
    <t>2021140023</t>
  </si>
  <si>
    <t>0819009-20.2020.8.15.0001</t>
  </si>
  <si>
    <t>JAQUELINE DA SILVA BESERRA</t>
  </si>
  <si>
    <t>ANDERSON JOSÉ DE SOUZA SILVA</t>
  </si>
  <si>
    <t>2021126570</t>
  </si>
  <si>
    <t>MUNICIPIO DE JOCA CLAUDINO</t>
  </si>
  <si>
    <t>0000228-
07.2016.8.15.0491</t>
  </si>
  <si>
    <t>MANOEL MACENA DUARTE</t>
  </si>
  <si>
    <t>2022027971</t>
  </si>
  <si>
    <t>0801120-
73.2021.8.15.0371</t>
  </si>
  <si>
    <t>MARIA DOS REMEDIOS SARMENTO DA SILVA</t>
  </si>
  <si>
    <t xml:space="preserve">MUNICIPIO DO LASTRO
</t>
  </si>
  <si>
    <t>2022025541</t>
  </si>
  <si>
    <t>0801286-81.2020.815.0261</t>
  </si>
  <si>
    <t>Francisca Lúcia Leite de Melo</t>
  </si>
  <si>
    <t>Damiana Leite de Melo</t>
  </si>
  <si>
    <t>Marcelo Tolentino Avelino de Almeida</t>
  </si>
  <si>
    <t>042.815.284-82</t>
  </si>
  <si>
    <t>2019032469</t>
  </si>
  <si>
    <t>0002232-
98.2014.815.0131</t>
  </si>
  <si>
    <t>r Edilma Vieira de Abreu</t>
  </si>
  <si>
    <t>Waydson Basílio das Santos</t>
  </si>
  <si>
    <t>539.203.764-04</t>
  </si>
  <si>
    <t>2020075358</t>
  </si>
  <si>
    <t>0800156-
44.2016.8.15.0181</t>
  </si>
  <si>
    <t>ANGELISE VANESSA CORREIA VAZ CORDEIRO</t>
  </si>
  <si>
    <t>MUNICIPIO DE
GUARABIRA</t>
  </si>
  <si>
    <t>2022033322</t>
  </si>
  <si>
    <t xml:space="preserve"> 0801530-
27.2019.8.15.0881</t>
  </si>
  <si>
    <t>JOANEUMA DE FARIAS DANTAS</t>
  </si>
  <si>
    <t xml:space="preserve">MUNICIPIO DE SAO BENTO
</t>
  </si>
  <si>
    <t>2022030611</t>
  </si>
  <si>
    <t xml:space="preserve"> 0800071-61.2017.815.1171</t>
  </si>
  <si>
    <t>GLORIA MARIA DE SOUSA SILVA</t>
  </si>
  <si>
    <t xml:space="preserve">075.538.374-58
</t>
  </si>
  <si>
    <t>0802883-
67.2019.8.15.0731</t>
  </si>
  <si>
    <t>2020104614</t>
  </si>
  <si>
    <t>2ª Vara de Mamanguape</t>
  </si>
  <si>
    <t>0000603-
80.2014.8.15.0231</t>
  </si>
  <si>
    <t>ANTÔNIO PAULO RAMOS DA SILVA</t>
  </si>
  <si>
    <t>INSTITUTO NACIONAL DO
SEGURO SOCIAL- INSS.</t>
  </si>
  <si>
    <t>485.549.104-78</t>
  </si>
  <si>
    <t>2020106138</t>
  </si>
  <si>
    <t>0001893-
33.2014.8.15.0231</t>
  </si>
  <si>
    <t>ERINALDO JOSÉ DO NASCIMENTO</t>
  </si>
  <si>
    <t>2020104358</t>
  </si>
  <si>
    <t>0001123-45.2011.8.15.0231</t>
  </si>
  <si>
    <t>JOSÉ
GOMES PEREIRA</t>
  </si>
  <si>
    <t>2020104559</t>
  </si>
  <si>
    <t>0802281-29.2016.8.15.0231</t>
  </si>
  <si>
    <t xml:space="preserve"> SEBASTIÃO
JOAQUIM DE SANTANA</t>
  </si>
  <si>
    <t>2020104591</t>
  </si>
  <si>
    <t>0000970-75.2012.8.15.0231</t>
  </si>
  <si>
    <t>CANINDE INÁCIO DA SILVA</t>
  </si>
  <si>
    <t>2020104296</t>
  </si>
  <si>
    <t>0002167-31.2013.8.15.0231</t>
  </si>
  <si>
    <t>JOÃO
SANTOS DE ARAÚJO</t>
  </si>
  <si>
    <t>2020106120</t>
  </si>
  <si>
    <t>0801697-25.2017.8.15.0231</t>
  </si>
  <si>
    <t>AGNALDO SEVERINO DOS SANTOS</t>
  </si>
  <si>
    <t>2020106187</t>
  </si>
  <si>
    <t>0801907-42.2018.8.15.0231</t>
  </si>
  <si>
    <t>GILMAR BARBOSA CABRAL</t>
  </si>
  <si>
    <t>2020106179</t>
  </si>
  <si>
    <t>0800503-87.2017.815.0231</t>
  </si>
  <si>
    <t>EDMILSON RODRIGUES DE ALMEIDA</t>
  </si>
  <si>
    <t>2020106154</t>
  </si>
  <si>
    <t>0000476-45.2014.8.15.0231</t>
  </si>
  <si>
    <t>JOSÉ
SANTOS DE SOUZA</t>
  </si>
  <si>
    <t>2020106074</t>
  </si>
  <si>
    <t xml:space="preserve"> 0801719-83.2017.815.0231</t>
  </si>
  <si>
    <t>r Pedro Francelino dos Santos</t>
  </si>
  <si>
    <t>2020104181</t>
  </si>
  <si>
    <t>0824355-68.2017.8.15.2001</t>
  </si>
  <si>
    <t>MAYKON FERNANDO PEREIRA DA SILVA</t>
  </si>
  <si>
    <t>2020104534</t>
  </si>
  <si>
    <t xml:space="preserve"> 0800549-76.2017.8.15.0231</t>
  </si>
  <si>
    <t xml:space="preserve"> Ivanil Felix da Silva,</t>
  </si>
  <si>
    <t>2022034067</t>
  </si>
  <si>
    <t>LEIDIMAR FERREIRA SERAFIM</t>
  </si>
  <si>
    <t xml:space="preserve">MUNICIPIO DE sANTA Cruz
</t>
  </si>
  <si>
    <t>0805087-
97.2019.8.15.0371</t>
  </si>
  <si>
    <t>2022035631</t>
  </si>
  <si>
    <t>0800092-96.2017.8.15.0731</t>
  </si>
  <si>
    <t xml:space="preserve"> Antônio Sebastião de Lima</t>
  </si>
  <si>
    <t>Banco Itau BMG</t>
  </si>
  <si>
    <t>2021160016</t>
  </si>
  <si>
    <t>2ª Vara da Fazenda Pública de Campina Grande</t>
  </si>
  <si>
    <t>0015219-75.2013.8.15.0011</t>
  </si>
  <si>
    <t>JOSEFA TEREZA DE JESUS</t>
  </si>
  <si>
    <t>MUNICIPIO DE CAMPINA GRANDE</t>
  </si>
  <si>
    <t>Luanna Bezerra de Luna Lins</t>
  </si>
  <si>
    <t>2021154006</t>
  </si>
  <si>
    <t>0800731-76.2021.8.15.0181</t>
  </si>
  <si>
    <t>SEVERINA ALVES DE SOUZA e outra</t>
  </si>
  <si>
    <t>Banco C6 consignado e outra</t>
  </si>
  <si>
    <t>2021147654</t>
  </si>
  <si>
    <t xml:space="preserve"> 0001652-77.2013.8.15.0301</t>
  </si>
  <si>
    <t>EVALDO JOSE DA SILVA</t>
  </si>
  <si>
    <t>VALDEMI VIEIRA DA
SILVA e outros</t>
  </si>
  <si>
    <t>Eduardo Pereira de Sousa Neto</t>
  </si>
  <si>
    <t>097.601.714-81</t>
  </si>
  <si>
    <t>2021145167</t>
  </si>
  <si>
    <t>0012816-70.2012.8.15.0011</t>
  </si>
  <si>
    <t>SEVERINA FARIAS LOPES</t>
  </si>
  <si>
    <t>Massa Falida da Federal de Seguros S/A</t>
  </si>
  <si>
    <t>2021105436</t>
  </si>
  <si>
    <t>0801258-98.2018.8.15.0321</t>
  </si>
  <si>
    <t>HERCULES
DE MEDEIROS MARINHO</t>
  </si>
  <si>
    <t>2021158494</t>
  </si>
  <si>
    <t>5ª Vara de Cabedelo</t>
  </si>
  <si>
    <t xml:space="preserve"> 0800320-18.2019.815.1211</t>
  </si>
  <si>
    <t>DOMINGOS CRISTINO DA SILVA</t>
  </si>
  <si>
    <t>2019158029</t>
  </si>
  <si>
    <t>MARIA JOSINETE SOUSA DO NASCIMENTO</t>
  </si>
  <si>
    <t>0000474-11.2014.815.0511</t>
  </si>
  <si>
    <t>Municipio de Pirpirituba</t>
  </si>
  <si>
    <t>2019158045</t>
  </si>
  <si>
    <t>0000045-78.2013.815.0511</t>
  </si>
  <si>
    <t>JOSE LUIZ DE FRANCA SEGUNDO</t>
  </si>
  <si>
    <t>2019158012</t>
  </si>
  <si>
    <t>0000333-21.2016.815.0511</t>
  </si>
  <si>
    <t>JOSE OSMAR RODRIGUES DOS SANTOS</t>
  </si>
  <si>
    <t>2019157972</t>
  </si>
  <si>
    <t>Vara única de Pirpirituba</t>
  </si>
  <si>
    <t>Comarca de Pirpirituba</t>
  </si>
  <si>
    <t>0000865-68.2011.815.0511</t>
  </si>
  <si>
    <t>Eliete Rafael dos Santos Cardoso</t>
  </si>
  <si>
    <t>MUNICIPIO DE Duas Estradas</t>
  </si>
  <si>
    <t>2021140402</t>
  </si>
  <si>
    <t>0806133-64.2017.8.15.0251</t>
  </si>
  <si>
    <t>JOSEMAR DE ARAUJO OLIVEIRA</t>
  </si>
  <si>
    <t xml:space="preserve"> EMPRESA
GONTIJO DE TRANSPORTES LTDA.
</t>
  </si>
  <si>
    <t>Giordano Mouzalas de Souza e Silva</t>
  </si>
  <si>
    <t>008.076.984-58</t>
  </si>
  <si>
    <t>2019158037</t>
  </si>
  <si>
    <t>0000481-71.2012.815.0511</t>
  </si>
  <si>
    <t>Maria Lícia Nogueira
Santos</t>
  </si>
  <si>
    <t>2019157989</t>
  </si>
  <si>
    <t>0000631-13.2016.815.0511</t>
  </si>
  <si>
    <t>JOSEFA GOMES DA SILVA</t>
  </si>
  <si>
    <t>2019157997</t>
  </si>
  <si>
    <t>0000335-88.2016.815.0511</t>
  </si>
  <si>
    <t>José Adeilzo da Silva</t>
  </si>
  <si>
    <t>3ª Vara de Cabedelo</t>
  </si>
  <si>
    <t>Simone Ferreira da Cruz</t>
  </si>
  <si>
    <t>Francisco Guedes de Souza Neto</t>
  </si>
  <si>
    <t>2021140015</t>
  </si>
  <si>
    <t>0818468-84.2020.8.15.0001</t>
  </si>
  <si>
    <t>RAIANY DE ALMEIDA FERNANDES</t>
  </si>
  <si>
    <t>JULIO ACACIO DE ANDRADE MAIA</t>
  </si>
  <si>
    <t>2021139978</t>
  </si>
  <si>
    <t>0805074-49.2016.8.15.0001</t>
  </si>
  <si>
    <t>JOSE ALENCAR ROLIM FILHO</t>
  </si>
  <si>
    <t>FERNANDA FARIAS ALENCAR</t>
  </si>
  <si>
    <t>2021139332</t>
  </si>
  <si>
    <t>0803302-12.2020.8.15.0001</t>
  </si>
  <si>
    <t>EMANUELA DOS SANTOS RIBEIRO</t>
  </si>
  <si>
    <t>SILVANO ARRUDA ALVES</t>
  </si>
  <si>
    <t>086792134-
03</t>
  </si>
  <si>
    <t>2022041961</t>
  </si>
  <si>
    <t>0000208-81.2011.8.15.0041</t>
  </si>
  <si>
    <t>MESSIAS DE SOUZA</t>
  </si>
  <si>
    <t xml:space="preserve"> PSF - PROCURADORIA SECCIONAL FEDERAL</t>
  </si>
  <si>
    <t>2022042198</t>
  </si>
  <si>
    <t>0801820-88.2017.8.15.0371</t>
  </si>
  <si>
    <t>RAIMUNDA MOREIRA DE ABRANTES</t>
  </si>
  <si>
    <t>2022042608</t>
  </si>
  <si>
    <t>0000168-31.2013.8.15.0041</t>
  </si>
  <si>
    <t xml:space="preserve"> MARIA
DO CEU SOUSA</t>
  </si>
  <si>
    <t xml:space="preserve"> INSS- INSTITUTO NACIONAL DO SEGURO SOCIAL</t>
  </si>
  <si>
    <t>2021139620</t>
  </si>
  <si>
    <t>0801141-
18.2020.8.15.0231</t>
  </si>
  <si>
    <t>PAULO ABÍLIO DO NASCIMENTO</t>
  </si>
  <si>
    <t>485.549.104- 78</t>
  </si>
  <si>
    <t>2019157964</t>
  </si>
  <si>
    <t xml:space="preserve"> 0000632-66.2014.815.0511</t>
  </si>
  <si>
    <t>ROBERTO LIRA DE OLIVEIRA</t>
  </si>
  <si>
    <t>2022042544</t>
  </si>
  <si>
    <t>0800049-35.2020.815.0221</t>
  </si>
  <si>
    <t>JOSEFA IRANEIDE DE
LACERDA</t>
  </si>
  <si>
    <t>FAGNER LACERDA GALDINO</t>
  </si>
  <si>
    <t>2022038351</t>
  </si>
  <si>
    <t>2022038378</t>
  </si>
  <si>
    <t>2022038335</t>
  </si>
  <si>
    <t>2022038812</t>
  </si>
  <si>
    <t>2022038417</t>
  </si>
  <si>
    <t>2022040174</t>
  </si>
  <si>
    <t>2022032797</t>
  </si>
  <si>
    <t>2022039862</t>
  </si>
  <si>
    <t>2022041200</t>
  </si>
  <si>
    <t>2022041226</t>
  </si>
  <si>
    <t>2022039225</t>
  </si>
  <si>
    <t>0803369-94.2021.8.15.037</t>
  </si>
  <si>
    <t xml:space="preserve"> JOSÉ MÁRIO PEREIRA</t>
  </si>
  <si>
    <t>0804114-74.2021.8.15.0371</t>
  </si>
  <si>
    <t xml:space="preserve"> ERIVANIA MOREIRA DE OLIVEIERA</t>
  </si>
  <si>
    <t>0801461-42.2019.8.15.0251</t>
  </si>
  <si>
    <t>CELI OSVALDO SOARES DIAS</t>
  </si>
  <si>
    <t>0803829-81.2021.8.15.0371</t>
  </si>
  <si>
    <t xml:space="preserve"> MARIA DO SOCORRO FERREIRA DA SILVA</t>
  </si>
  <si>
    <t>0800984-98.2021.8.15.0881</t>
  </si>
  <si>
    <t xml:space="preserve"> EUCILENE DANTAS PEREIRA</t>
  </si>
  <si>
    <t>ERICA DAYANE DANTAS DOS SANTOS</t>
  </si>
  <si>
    <t>0802648-45.2021.8.15.0371</t>
  </si>
  <si>
    <t xml:space="preserve"> MARIA DOS REMEDIOS XAVIER LACERDA</t>
  </si>
  <si>
    <t>0828313-77.2019.8.15.0001</t>
  </si>
  <si>
    <t>KLEVERTON HARTUR FERREIRA MIRANDA</t>
  </si>
  <si>
    <t>ODONTO
SYSTEM PLANOS</t>
  </si>
  <si>
    <t>ISABEL PORTELA RABELLO</t>
  </si>
  <si>
    <t>069.915.284-47</t>
  </si>
  <si>
    <t>0000326-57.2011.815.0041</t>
  </si>
  <si>
    <t xml:space="preserve"> ANTÔNIO
JOSÉ DA SILVA</t>
  </si>
  <si>
    <t xml:space="preserve"> 0800525-36.2017.815.0041</t>
  </si>
  <si>
    <t>ANTONIO RODRIGUES MARTINS</t>
  </si>
  <si>
    <t>0803859-19.2021.8.15.0371</t>
  </si>
  <si>
    <t>DENIS ALEXANDRE TARGINO
LACEERDA</t>
  </si>
  <si>
    <t>2022047508</t>
  </si>
  <si>
    <t>0802623-32.2021.8.15.0371</t>
  </si>
  <si>
    <t xml:space="preserve"> ANA
PAULA MARQUES GUIMARÂES</t>
  </si>
  <si>
    <t xml:space="preserve"> MUNICÍPIO DE APARECIDA</t>
  </si>
  <si>
    <t>2022017807</t>
  </si>
  <si>
    <t>0804117-29.2021.8.15.0371</t>
  </si>
  <si>
    <t>FRANCISCA MARIA ALFREDO e outros</t>
  </si>
  <si>
    <t xml:space="preserve"> MUNICÍPIO DE VIEIRÓPOLIS</t>
  </si>
  <si>
    <t xml:space="preserve">2022041793 </t>
  </si>
  <si>
    <t>2022058797</t>
  </si>
  <si>
    <t>0814708-93.2021.8.15.0001</t>
  </si>
  <si>
    <t>Maria do Socorro Diniz Pereira Teófilo</t>
  </si>
  <si>
    <t xml:space="preserve">Banco Mercantil do
Brasil S.A.
</t>
  </si>
  <si>
    <t>2022045467</t>
  </si>
  <si>
    <t>2022045506</t>
  </si>
  <si>
    <t>2022050219</t>
  </si>
  <si>
    <t>2022042059</t>
  </si>
  <si>
    <t>2022053024</t>
  </si>
  <si>
    <t>2022052917</t>
  </si>
  <si>
    <t>2021064065</t>
  </si>
  <si>
    <t>2021051965</t>
  </si>
  <si>
    <t>2019153223</t>
  </si>
  <si>
    <t>2021027382</t>
  </si>
  <si>
    <t>2021153829</t>
  </si>
  <si>
    <t>2021032669</t>
  </si>
  <si>
    <t>2021085535</t>
  </si>
  <si>
    <t>2022055284</t>
  </si>
  <si>
    <t>2022054982</t>
  </si>
  <si>
    <t>2022052925</t>
  </si>
  <si>
    <t>2022054974</t>
  </si>
  <si>
    <t>2022017657</t>
  </si>
  <si>
    <t>2022059138</t>
  </si>
  <si>
    <t>2022018248</t>
  </si>
  <si>
    <t>2022058957</t>
  </si>
  <si>
    <t>0819056-28.2019.8.15.0001</t>
  </si>
  <si>
    <t>Josete Alves de Luna</t>
  </si>
  <si>
    <t>IPSEM - Instituto de Previdência dos Servidores Municipais de Campina Grande</t>
  </si>
  <si>
    <t>Márcio Ubiratan de Morais Santos</t>
  </si>
  <si>
    <t>028.634.594-30</t>
  </si>
  <si>
    <t>2022059785</t>
  </si>
  <si>
    <t>0805159-
38.2020.8.15.0181</t>
  </si>
  <si>
    <t xml:space="preserve">BANCO BMG S.A.
</t>
  </si>
  <si>
    <t>2022060917</t>
  </si>
  <si>
    <t>0816394-91.2019.8.15.0001</t>
  </si>
  <si>
    <t>JOSE BALBINO DA SILVA</t>
  </si>
  <si>
    <t>Banco Pan</t>
  </si>
  <si>
    <t>2022061240</t>
  </si>
  <si>
    <t>0000919-26.2014.8.15.0221</t>
  </si>
  <si>
    <t>Maria Alves de Sousa</t>
  </si>
  <si>
    <t>Ionara Alves de Sousa</t>
  </si>
  <si>
    <t>2021139316</t>
  </si>
  <si>
    <t>0824365-93.2020.8.15.0001</t>
  </si>
  <si>
    <t>RUBENS ALVES DA SILVA</t>
  </si>
  <si>
    <t>INGRID SANTOS OLIVEIRA</t>
  </si>
  <si>
    <t>2021139308</t>
  </si>
  <si>
    <t>0808920-35.2020.8.15.0001</t>
  </si>
  <si>
    <t>Flávio Roberto de Arruda Ribeiro</t>
  </si>
  <si>
    <t xml:space="preserve">Jéssica Louise Gomes dos Santos
</t>
  </si>
  <si>
    <t>2022062038</t>
  </si>
  <si>
    <t>0803862-51.2020.8.15.0001</t>
  </si>
  <si>
    <t>Lindalva Pereira da Costa</t>
  </si>
  <si>
    <t>Banco Bradesco</t>
  </si>
  <si>
    <t>2022062095</t>
  </si>
  <si>
    <t>0805513-13.2021.8.15.0251</t>
  </si>
  <si>
    <t>Manuel Barbosa</t>
  </si>
  <si>
    <t xml:space="preserve"> Banco Itau Consignado S.A</t>
  </si>
  <si>
    <t>0000146-47.2016.8.15.1211</t>
  </si>
  <si>
    <t>Município de LUCENA</t>
  </si>
  <si>
    <t>0800154-63.2020.8.15.0301</t>
  </si>
  <si>
    <t>FRANCISCA MARIA DA COSTA</t>
  </si>
  <si>
    <t>banco pan</t>
  </si>
  <si>
    <t>0802714-25.2021.8.15.0371</t>
  </si>
  <si>
    <t>ANNA KARLA NOGUEIRA LOPES</t>
  </si>
  <si>
    <t>0803370-
79.2021.8.15.0371</t>
  </si>
  <si>
    <t>MARCELO ABRANTES PEREIRA e outro</t>
  </si>
  <si>
    <t xml:space="preserve"> MUNICIPIO DE
NAZAREZINHO</t>
  </si>
  <si>
    <t>0802636-31.2021.8.15.0371</t>
  </si>
  <si>
    <t>DIRCEU PEREIRA BRASILEIRO</t>
  </si>
  <si>
    <t>0807055-40.2021.8.15.0001</t>
  </si>
  <si>
    <t>GILVANDRO DE LIRA SANTOS</t>
  </si>
  <si>
    <t>GERLANY PEREIRA DOS SANTOS</t>
  </si>
  <si>
    <t xml:space="preserve"> 086792134-03</t>
  </si>
  <si>
    <t>0805080-08.2019.8.15.0371</t>
  </si>
  <si>
    <t>R ELIZIANA DE SOUSA AIRES</t>
  </si>
  <si>
    <t>0827689-28.2019.8.15.0001</t>
  </si>
  <si>
    <t xml:space="preserve"> Maria
Aparecida da Silva</t>
  </si>
  <si>
    <t>Heron Andrade Marinho</t>
  </si>
  <si>
    <t>0804373-83.2019.8.15.0001</t>
  </si>
  <si>
    <t>JANAILMA AIRES BARBOSA</t>
  </si>
  <si>
    <t>JONATHAS DO
NASCIMENTO ALMEIDA</t>
  </si>
  <si>
    <t>JACQUELINE LEITE IMPERIANO</t>
  </si>
  <si>
    <t xml:space="preserve"> 0809043-
59.2020.8.15.0251</t>
  </si>
  <si>
    <t>GIRLANE MEDEIROS PALMEIRA</t>
  </si>
  <si>
    <t xml:space="preserve"> 0002632-
92.2012.815.0031</t>
  </si>
  <si>
    <t>Vara única de Alagoa Grande</t>
  </si>
  <si>
    <t>Comarca de Alagoa Grande</t>
  </si>
  <si>
    <t>Danyelle Cunha de Andrade</t>
  </si>
  <si>
    <t xml:space="preserve"> Maria Lúcia Gomes Oliveira e Silva</t>
  </si>
  <si>
    <t>ADNEY JOSÉ DUARTE DE SOUZA</t>
  </si>
  <si>
    <t>798.029.744-04</t>
  </si>
  <si>
    <t>BANCO DAYCOVAL S/A</t>
  </si>
  <si>
    <t>0801325-
83.2017.8.15.0261</t>
  </si>
  <si>
    <t>PEDRO CARVALHO DE SOUZA</t>
  </si>
  <si>
    <t>Francisco Leite Melo (Vulgo - Chico
Melo) e Cleonice Sampaio Leite (REU).</t>
  </si>
  <si>
    <t>0800317-
26.2018.8.15.0491</t>
  </si>
  <si>
    <t>MARIA FERNANDES DE SOUSA</t>
  </si>
  <si>
    <t>BANCO BMG SA</t>
  </si>
  <si>
    <t>0802613-75.2014.8.15.0001</t>
  </si>
  <si>
    <t xml:space="preserve"> ANA PAULA DE SOUZA COSTA e outro</t>
  </si>
  <si>
    <t>ESPÓLIO DE JOSÉ EPAMINONDAS BRAGA, ROBERTO MAGNO
MEIRA BRAGA e UNIDADE ENGENHARIA LTDA.</t>
  </si>
  <si>
    <t>marcos Tiago de
Sousa Victor</t>
  </si>
  <si>
    <t>0800128-71.2019.815.0181</t>
  </si>
  <si>
    <t>GERALDO TELES DE ARAUJO</t>
  </si>
  <si>
    <t>0803189-50.2021.8.15.0251,</t>
  </si>
  <si>
    <t>Maria Nilda Nunes de Araújo</t>
  </si>
  <si>
    <t>Banco Itaú Consignado S.A</t>
  </si>
  <si>
    <t>0801693-14.2021.8.15.0371</t>
  </si>
  <si>
    <t xml:space="preserve"> JOSE GELSON DOS SANTOS</t>
  </si>
  <si>
    <t>0804961-76.2021.8.15.0371</t>
  </si>
  <si>
    <t xml:space="preserve"> EDNA FERREIRA DA
SILVA</t>
  </si>
  <si>
    <t>MUNICÍPIO DE SANTA CRUZ</t>
  </si>
  <si>
    <t>0801024-51.2019.8.15.0881</t>
  </si>
  <si>
    <t>GUTEFRAN DA SILVA LUCIO</t>
  </si>
  <si>
    <t>DAMIANA RITA DA SILVA LUCIO.</t>
  </si>
  <si>
    <t>Vara única de Coremas</t>
  </si>
  <si>
    <t>Comarca de Coremas</t>
  </si>
  <si>
    <t>0800134-
52.2018.8.15.1171</t>
  </si>
  <si>
    <t>MARIA MONTEIRO DA SILVA</t>
  </si>
  <si>
    <t>ANA LUCIA MONTEIRO DA SILVA</t>
  </si>
  <si>
    <t>800147-54.2018.8.15.0491</t>
  </si>
  <si>
    <t>FRANCISCA GOMES DE SOUSA</t>
  </si>
  <si>
    <t>OLAVO ROMÃO DANTAS E MARIA DO SOCORRO BRASIL</t>
  </si>
  <si>
    <t>2022054829</t>
  </si>
  <si>
    <t>7ª Vara Cível de Campina Grande</t>
  </si>
  <si>
    <t>0820646-45.2016.8.15.0001</t>
  </si>
  <si>
    <t>WENNIA KALLINE DE
OLIVEIRA SANTOS</t>
  </si>
  <si>
    <t xml:space="preserve"> EDVANDRO BARBOSA DE SANTANA</t>
  </si>
  <si>
    <t>Guilherme Matias Da Silva Sousa</t>
  </si>
  <si>
    <t>096.877.954-92</t>
  </si>
  <si>
    <t>2021097184</t>
  </si>
  <si>
    <t>0817892-
13.2017.8.15.2001</t>
  </si>
  <si>
    <t xml:space="preserve"> RAIMUNDO NONATO MOTA</t>
  </si>
  <si>
    <t xml:space="preserve"> RUTH BEZERRA MOTA</t>
  </si>
  <si>
    <t>Adamis Ricardo da Silva Santos</t>
  </si>
  <si>
    <t>009.416.684-60</t>
  </si>
  <si>
    <t>2022063508</t>
  </si>
  <si>
    <t>0800462-
69.2021.8.15.0041</t>
  </si>
  <si>
    <t>Carlos Alberto de Brito</t>
  </si>
  <si>
    <t xml:space="preserve"> Rosilda Miranda de Brito</t>
  </si>
  <si>
    <t>2022008339</t>
  </si>
  <si>
    <t>0801649-79.2021.8.15.0731</t>
  </si>
  <si>
    <t>LAYZZA SEVERO DA SILVA</t>
  </si>
  <si>
    <t>Município de Cabedelo</t>
  </si>
  <si>
    <t>2021156165</t>
  </si>
  <si>
    <t>0803843-24.2019.8.15.0181</t>
  </si>
  <si>
    <t>JOSE ROBERTO MENDONCA DE
OLIVEIRA</t>
  </si>
  <si>
    <t>2021140291</t>
  </si>
  <si>
    <t xml:space="preserve"> 0800121-45.2020.815.0181</t>
  </si>
  <si>
    <t>MARIA
APARECIDA ARAUJO GALVAO</t>
  </si>
  <si>
    <t>2022035826</t>
  </si>
  <si>
    <t xml:space="preserve"> 0800127-86.2019.815.0181</t>
  </si>
  <si>
    <t>2019084960</t>
  </si>
  <si>
    <t>0003046-69.2014.8.15.0371</t>
  </si>
  <si>
    <t>MARIA BETANIA DE LIRA NOGUEIRA</t>
  </si>
  <si>
    <t>0000199-60.2015.8.15.0371</t>
  </si>
  <si>
    <t>ANTONIA FURTADO DO NASCIMENTO e outros</t>
  </si>
  <si>
    <t>Município de lastro</t>
  </si>
  <si>
    <t>0003252-
88.2011.8.15.0371</t>
  </si>
  <si>
    <t>ELANIA CRISTINA DA SILVA</t>
  </si>
  <si>
    <t>2021157300</t>
  </si>
  <si>
    <t>0008459-80.2016.815.0181</t>
  </si>
  <si>
    <t xml:space="preserve"> Maria José de Souza</t>
  </si>
  <si>
    <t>Banco Bradesco
Financiamentos S/A</t>
  </si>
  <si>
    <t>2020166615</t>
  </si>
  <si>
    <t>5ª Vara de Cajazeiras</t>
  </si>
  <si>
    <t>0801267-82.2017.8.15.0131</t>
  </si>
  <si>
    <t>ORBERLANGE ALVES E LUIZ MACENA ARAGAO JUNIOR</t>
  </si>
  <si>
    <t xml:space="preserve"> MARIA JOSE QUIRINO DE SOUZA</t>
  </si>
  <si>
    <t>2022065149</t>
  </si>
  <si>
    <t xml:space="preserve"> 0804409-83.2021.8.15.0251</t>
  </si>
  <si>
    <t>Maria Avani Cabral Leite</t>
  </si>
  <si>
    <t>2022063102</t>
  </si>
  <si>
    <t>0800108-
84.2018.815.1161</t>
  </si>
  <si>
    <t>Carlos Manoel Martins Da Silva</t>
  </si>
  <si>
    <t>RAYANE ARAÚJO TORRES LEMOS</t>
  </si>
  <si>
    <t>052.668.804-14</t>
  </si>
  <si>
    <t>2022072237</t>
  </si>
  <si>
    <t>0808828-57.2020.8.15.0001</t>
  </si>
  <si>
    <t>AGAMENON MEDEIROS</t>
  </si>
  <si>
    <t>CENTRO DE ASSISTENCIA AO
SERVIDOR</t>
  </si>
  <si>
    <t>2022070549</t>
  </si>
  <si>
    <t>0001066-35.2015.8.15.0571</t>
  </si>
  <si>
    <t>Reginaldo Cavalcante de Oliveira</t>
  </si>
  <si>
    <t>Município de Pedras de
Fogo</t>
  </si>
  <si>
    <t>2022002555</t>
  </si>
  <si>
    <t>0840938-65.2016.815.2001</t>
  </si>
  <si>
    <t>Froisvaldo Maranhão</t>
  </si>
  <si>
    <t>Pierrey Gonçalves de
Abrantes</t>
  </si>
  <si>
    <t>Raphael Driessen
de Araújo Torres</t>
  </si>
  <si>
    <t>007.852.074-04</t>
  </si>
  <si>
    <t>2022075000</t>
  </si>
  <si>
    <t>0806654-41.2021.8.15.0001</t>
  </si>
  <si>
    <t>SEVERINO HONÓRIO DA SILVA</t>
  </si>
  <si>
    <t>2021146313</t>
  </si>
  <si>
    <t>0803233-92.2019.8.15.0751</t>
  </si>
  <si>
    <t>ANTÔNIOS DOS SANTOS</t>
  </si>
  <si>
    <t>AIG SEGUROS BRASIL S.A.</t>
  </si>
  <si>
    <t>051.944.134-
67</t>
  </si>
  <si>
    <t>2022076842</t>
  </si>
  <si>
    <t xml:space="preserve"> 0810339-
34.2020.8.15.0731</t>
  </si>
  <si>
    <t>SIMONE DE BARROS SILVA</t>
  </si>
  <si>
    <t>MUNICIPIO DE CABEDELO</t>
  </si>
  <si>
    <t>2022076826</t>
  </si>
  <si>
    <t>0806693-
92.2021.8.15.0371</t>
  </si>
  <si>
    <t xml:space="preserve"> Maria Noilda de Oliveira</t>
  </si>
  <si>
    <t>2022078651</t>
  </si>
  <si>
    <t>0821938-60.2019.815.0001</t>
  </si>
  <si>
    <t>Reinaldo do Nascimento</t>
  </si>
  <si>
    <t xml:space="preserve"> Banco Itaú Unibanco S.A</t>
  </si>
  <si>
    <t>2022078598</t>
  </si>
  <si>
    <t>0806588-61.2021.8.15.0001</t>
  </si>
  <si>
    <t xml:space="preserve"> Maria Salomé de Lima</t>
  </si>
  <si>
    <t>Banco BMG S.A</t>
  </si>
  <si>
    <t>2022078678</t>
  </si>
  <si>
    <t>0800061-
41.2019.815.0041</t>
  </si>
  <si>
    <t>Aldiane Stefane Coutinho da Silva</t>
  </si>
  <si>
    <t xml:space="preserve"> Maria José Gonçalves da Silva</t>
  </si>
  <si>
    <t>2022078299</t>
  </si>
  <si>
    <t>0800498-16.2021.8.15.0881</t>
  </si>
  <si>
    <t>LIDIANE FERNANDES DOS SANTOS</t>
  </si>
  <si>
    <t>DEUZIVAN RIBEIRO
DA SILVA.</t>
  </si>
  <si>
    <t>2022075712</t>
  </si>
  <si>
    <t>2021025194</t>
  </si>
  <si>
    <t xml:space="preserve"> 0800230-
59.2020.8.15.0181</t>
  </si>
  <si>
    <t>Valdeci Rodrigues de Sousa</t>
  </si>
  <si>
    <t>Banco Bradesco Financiamentos S.A</t>
  </si>
  <si>
    <t xml:space="preserve"> 0800136-17.2018.8.15.0041</t>
  </si>
  <si>
    <t>CICERO
GALDINO DA SILVA</t>
  </si>
  <si>
    <t>2022043607</t>
  </si>
  <si>
    <t>0802717-77.2021.8.15.0371</t>
  </si>
  <si>
    <t xml:space="preserve"> Adriana Calisto Severiano e outro</t>
  </si>
  <si>
    <t>Município de Aparecida</t>
  </si>
  <si>
    <t>2022067857</t>
  </si>
  <si>
    <t>2022068147</t>
  </si>
  <si>
    <t>2022069720</t>
  </si>
  <si>
    <t>2022069711</t>
  </si>
  <si>
    <t>2022069762</t>
  </si>
  <si>
    <t>2022060706</t>
  </si>
  <si>
    <t>2021140066</t>
  </si>
  <si>
    <t>2022045400</t>
  </si>
  <si>
    <t>0803887-84.2021.8.15.0371</t>
  </si>
  <si>
    <t>POLIANA BENIGNA SARMENTO</t>
  </si>
  <si>
    <t>0803886-02.2021.8.15.0371</t>
  </si>
  <si>
    <t xml:space="preserve"> EVA
JANUARIA SARMENTO</t>
  </si>
  <si>
    <t>0803265-32.2016.8.15.2003</t>
  </si>
  <si>
    <t>João Bosco Castro Teixeira Júnior</t>
  </si>
  <si>
    <t>Idea do Brasil - Ar Condicionado S.A.</t>
  </si>
  <si>
    <t>Fábio Queiroz Lopes</t>
  </si>
  <si>
    <t>052.220.744-80</t>
  </si>
  <si>
    <t>0800293-88.2019.8.15.1161</t>
  </si>
  <si>
    <t>FRANCISCA
IRENE DA SILVA</t>
  </si>
  <si>
    <t>JOELMA FRANCISCA DA SILVA</t>
  </si>
  <si>
    <t>0801322-31.2017.8.15.0261</t>
  </si>
  <si>
    <t>ANIZIO FELIX
QUIDUTE FILHO</t>
  </si>
  <si>
    <t>GABRIEL ALVES FRANCISCO</t>
  </si>
  <si>
    <t xml:space="preserve"> 0800233-
02.2019.8.15.0261</t>
  </si>
  <si>
    <t>BENEDITA SOARES DE SOUZA</t>
  </si>
  <si>
    <t>GLADIMARES SOARES DE
LACERDA.</t>
  </si>
  <si>
    <t xml:space="preserve"> 0800136-
81.2016.8.15.0301</t>
  </si>
  <si>
    <t>Maria Aparecida Urtiga Formiga</t>
  </si>
  <si>
    <t>0801262-
93.2021.8.15.0301</t>
  </si>
  <si>
    <t>Maria Izabel Neta</t>
  </si>
  <si>
    <t>Banco Bradesco.</t>
  </si>
  <si>
    <t>2021160299</t>
  </si>
  <si>
    <t>0805575-53.2021.815.0251</t>
  </si>
  <si>
    <t xml:space="preserve"> MARIA JOSÉ GOMES DE SOUSA</t>
  </si>
  <si>
    <t>2022083681</t>
  </si>
  <si>
    <t>0800052-54.2017.815.0751</t>
  </si>
  <si>
    <t>ANGELITA TAVARES GOMES</t>
  </si>
  <si>
    <t xml:space="preserve"> MUNICÍPIO DE BAYEUX</t>
  </si>
  <si>
    <t>2021140777</t>
  </si>
  <si>
    <t>0801402-48.2015.8.15.0751</t>
  </si>
  <si>
    <t>JEFFERSON BATISTA DE AMORIM</t>
  </si>
  <si>
    <t>NOVO MUNDO FERRAGENS LTDA</t>
  </si>
  <si>
    <t>Áurea Leite Amaral de Melo</t>
  </si>
  <si>
    <t>142.072.064-34</t>
  </si>
  <si>
    <t>2019176545</t>
  </si>
  <si>
    <t>0801057-
24.2016.8.15.037</t>
  </si>
  <si>
    <t>Raimundo Serafim de Sousa</t>
  </si>
  <si>
    <t>Município de Lastro</t>
  </si>
  <si>
    <t>2021025629</t>
  </si>
  <si>
    <t>0813157-20.2017.8.15.0001</t>
  </si>
  <si>
    <t>SANDRA MARIA SOARES DE SOUZA</t>
  </si>
  <si>
    <t>ERICH PEREIRA DE ALBUQUERQUE</t>
  </si>
  <si>
    <t>FÉLIX GUSTAVO DE ANDRADE SANTOS</t>
  </si>
  <si>
    <t>036.625.504-58</t>
  </si>
  <si>
    <t>0800949-09.2014.8.15.0001</t>
  </si>
  <si>
    <t>Geralda Gomes da Silva</t>
  </si>
  <si>
    <t>Cícero Medeiros da Silva</t>
  </si>
  <si>
    <t xml:space="preserve"> 047.164.824-80</t>
  </si>
  <si>
    <t>2020152677</t>
  </si>
  <si>
    <t>2021049046</t>
  </si>
  <si>
    <t>0802124-40.2018.8.15.0731</t>
  </si>
  <si>
    <t>JULIO CESAR TRAVASSOS DE SOUZA</t>
  </si>
  <si>
    <t>ALLIANZ SEGUROS S/A</t>
  </si>
  <si>
    <t xml:space="preserve"> 008.076.984-
58</t>
  </si>
  <si>
    <t>2021050462</t>
  </si>
  <si>
    <t>11ª Vara Cível de João Pessoa</t>
  </si>
  <si>
    <t>0814347-
61.2019.8.15.2001</t>
  </si>
  <si>
    <t>LIZONETE FERRAZ DE LIMA COSTA</t>
  </si>
  <si>
    <t xml:space="preserve">UNIMED JOAO PESSOA
COOPERATIVA DE TRABALHO MEDICO
 UNIMED JOAO PESSOA
COOPERATIVA DE TRABALHO MEDICO
</t>
  </si>
  <si>
    <t>Rodrigo de Queiroz Nóbrega</t>
  </si>
  <si>
    <t xml:space="preserve">032.733.404-52
</t>
  </si>
  <si>
    <t>2021150213</t>
  </si>
  <si>
    <t>0011455-91.2014.8.15.2001</t>
  </si>
  <si>
    <t>EDNALDO ULISSES
DA SILVA</t>
  </si>
  <si>
    <t xml:space="preserve"> BANCO ITAUCARD S.A.</t>
  </si>
  <si>
    <t>2021066401</t>
  </si>
  <si>
    <t>BANCO J. SAFRA S.A</t>
  </si>
  <si>
    <t>0800929-97.2021.8.15.0251</t>
  </si>
  <si>
    <t xml:space="preserve">MARIA FERNANDES BIZERRA SILVA </t>
  </si>
  <si>
    <t>2021104940</t>
  </si>
  <si>
    <t>0807956-
18.2015.8.15.0001</t>
  </si>
  <si>
    <t>ALEXSANDRO SOARES DE MELO</t>
  </si>
  <si>
    <t>TERRACO CONSTRUCOES
E EMPREENDIMENTOS IMOBILIARIOS LTDA - ME</t>
  </si>
  <si>
    <t>GILSON DIAS DE MELO</t>
  </si>
  <si>
    <t>541.926.504-44</t>
  </si>
  <si>
    <t>2021157949</t>
  </si>
  <si>
    <t xml:space="preserve"> 0802669-77.2019.815.0181</t>
  </si>
  <si>
    <t>JOSE GERALDO DA SILVA MELO</t>
  </si>
  <si>
    <t xml:space="preserve"> BANCO ITAU CONSIGNADO S/A</t>
  </si>
  <si>
    <t>2021145271</t>
  </si>
  <si>
    <t>0811040-64.2017.8.15.2003</t>
  </si>
  <si>
    <t xml:space="preserve"> IVONETE PEREIRA DA SILVA</t>
  </si>
  <si>
    <t>2019176658</t>
  </si>
  <si>
    <t>0804063-
39.2016.8.15.0371</t>
  </si>
  <si>
    <t>CLÁUDIA MARIA DE SOUSA</t>
  </si>
  <si>
    <t xml:space="preserve"> MUNICIPIO DE SOUSA</t>
  </si>
  <si>
    <t>2021134640</t>
  </si>
  <si>
    <t>0815779-52.2018.8.15.2001</t>
  </si>
  <si>
    <t>PAULO BATISTA DA
SILVA</t>
  </si>
  <si>
    <t xml:space="preserve"> BANCO BMG AS</t>
  </si>
  <si>
    <t>2022056767</t>
  </si>
  <si>
    <t>0806206-36.2017.8.15.0251</t>
  </si>
  <si>
    <t>OLAVO DA COSTA</t>
  </si>
  <si>
    <t>VOLKSWAGEN DO BRASIL INDUSTRIA DE VEICULOS AUTOMOTORES LTDA</t>
  </si>
  <si>
    <t>2022050632</t>
  </si>
  <si>
    <t xml:space="preserve"> 0800727-09.2017.8.15.0301</t>
  </si>
  <si>
    <t>ANTONIETA DA SILVA
FREIRE</t>
  </si>
  <si>
    <t>MILTON CESAR FREIRE</t>
  </si>
  <si>
    <t>2021156229</t>
  </si>
  <si>
    <t>0800544-68.2021.8.15.0181</t>
  </si>
  <si>
    <t>2020101183</t>
  </si>
  <si>
    <t>0803674-54.2016.8.15.0371</t>
  </si>
  <si>
    <t xml:space="preserve"> DENIS ALEXANDRE TARGINO LACERDA</t>
  </si>
  <si>
    <t>2021069617</t>
  </si>
  <si>
    <t>0001196-57.2011.8.15.0541</t>
  </si>
  <si>
    <t xml:space="preserve"> Fernando Inocêncio Júnior</t>
  </si>
  <si>
    <t>2021073351</t>
  </si>
  <si>
    <t>0812710-53.2020.8.15.0251</t>
  </si>
  <si>
    <t>MARIA DE FATIMA BEZERRA</t>
  </si>
  <si>
    <t xml:space="preserve">BANCO CREFISA </t>
  </si>
  <si>
    <t>2021013826</t>
  </si>
  <si>
    <t xml:space="preserve"> 0806928-73.2019.8.15.0001</t>
  </si>
  <si>
    <t xml:space="preserve"> MARIA DE FÁTIMA ARAÚJO DA SILVA</t>
  </si>
  <si>
    <t>EDSON BRUNO DE LIMA</t>
  </si>
  <si>
    <t>2022018336</t>
  </si>
  <si>
    <t>0803968-86.2015.8.15.0001</t>
  </si>
  <si>
    <t>DENISE MARQUES DA NOBREGA</t>
  </si>
  <si>
    <t>WEBJET.COM</t>
  </si>
  <si>
    <t>Robson Kel Batista de Lima</t>
  </si>
  <si>
    <t>097.097.924-07</t>
  </si>
  <si>
    <t>Tradução</t>
  </si>
  <si>
    <t>2021047798</t>
  </si>
  <si>
    <t xml:space="preserve">0826884-75.2019.8.15.0001
</t>
  </si>
  <si>
    <t>WANDERSON OLIVEIRA SANTOS</t>
  </si>
  <si>
    <t>EMILLY ARAUJO MARQUES e outra</t>
  </si>
  <si>
    <t>2021014851</t>
  </si>
  <si>
    <t>0820625-20.2015.8.15.2001</t>
  </si>
  <si>
    <t>MARIA LUCIA DE FIGUEIREDO MOREIRA</t>
  </si>
  <si>
    <t>e ROSELMA
GOMES DO PRADO</t>
  </si>
  <si>
    <t>2021138436</t>
  </si>
  <si>
    <t xml:space="preserve"> 0805312-37.2021.8.15.0181</t>
  </si>
  <si>
    <t>RENATO AUGUSTO GUILHERME</t>
  </si>
  <si>
    <t>2019084986</t>
  </si>
  <si>
    <t>0001939-53.2015.8.15.0371</t>
  </si>
  <si>
    <t>GIORGGIO ABRANTES PORDEUS</t>
  </si>
  <si>
    <t xml:space="preserve">Município de Aparecida
</t>
  </si>
  <si>
    <t>EDINEUZA MARIA BARBOSA</t>
  </si>
  <si>
    <t>ADONIS ROCHA DE OLIVEIRA</t>
  </si>
  <si>
    <t>2022034866</t>
  </si>
  <si>
    <t>0802484-52.2021.8.15.0251</t>
  </si>
  <si>
    <t>ADRIANA LUCENA MENDES DE LIMA</t>
  </si>
  <si>
    <t>Gouveia Construcoes
Eireli - EPP e THOMPSON JORGE GOUVEIA CAVALCANTI</t>
  </si>
  <si>
    <t>Guilherme Albuquerque Gonçalves</t>
  </si>
  <si>
    <t>046.386.874-90</t>
  </si>
  <si>
    <t>2021069519</t>
  </si>
  <si>
    <t>0814269-24.2017.8.15.0001</t>
  </si>
  <si>
    <t>JACILANE LOPES NUNES</t>
  </si>
  <si>
    <t xml:space="preserve">CLINICA SANTA MARIA LTDA e
MÁRCIO ROGÉRIO ONOFRE DUARTE
</t>
  </si>
  <si>
    <t>HEVERTON ALVES COSTA</t>
  </si>
  <si>
    <t xml:space="preserve">053.383.744-80
</t>
  </si>
  <si>
    <t>2022043666</t>
  </si>
  <si>
    <t>0802389-
61.2021.8.15.0141</t>
  </si>
  <si>
    <t>1ª Vara de Catolé do Rocha</t>
  </si>
  <si>
    <t>João Guerra Rodrigues</t>
  </si>
  <si>
    <t>Banco Daycoval S.A.</t>
  </si>
  <si>
    <t>2022091712</t>
  </si>
  <si>
    <t>0806619-
78.2019.8.15.02511</t>
  </si>
  <si>
    <t>Carlos Afonso Soares Cavalcanti</t>
  </si>
  <si>
    <t>2022089068</t>
  </si>
  <si>
    <t>0801933-
08.2018.8.15.0371</t>
  </si>
  <si>
    <t>FALYSSON GUSTAVO CORDEIRO GADELHA DE AS</t>
  </si>
  <si>
    <t xml:space="preserve">PREFEITURA
MUNICIPAL DE SOUSA.
</t>
  </si>
  <si>
    <t>2022090195</t>
  </si>
  <si>
    <t>0800206-71.2021.8.15.0221</t>
  </si>
  <si>
    <t>MINISTÉRIO PÚBLICO DO ESTADO DA PARAIBA</t>
  </si>
  <si>
    <t>FRANCISCO CLAUDINO DE OLIVEIRA.</t>
  </si>
  <si>
    <t>2022089759</t>
  </si>
  <si>
    <t>0828567-50.2019.8.15.0001</t>
  </si>
  <si>
    <t>IVONETE DOS SANTOS LIMA</t>
  </si>
  <si>
    <t xml:space="preserve"> BANCO BS2 S.A.</t>
  </si>
  <si>
    <t>2022089775</t>
  </si>
  <si>
    <t>0821526-37.2016.8.15.0001</t>
  </si>
  <si>
    <t>GERALDA DO NASCIMENTO</t>
  </si>
  <si>
    <t xml:space="preserve"> BANCO MERCANTIL DO
BRASIL S.A.
</t>
  </si>
  <si>
    <t>2022085950</t>
  </si>
  <si>
    <t>0000329-65.2013.8.15.0421</t>
  </si>
  <si>
    <t>Cícero Gabriel de Oliveira</t>
  </si>
  <si>
    <t>2021139285</t>
  </si>
  <si>
    <t xml:space="preserve"> José Carlos Pereira de Oliveira.
</t>
  </si>
  <si>
    <t>2022085976</t>
  </si>
  <si>
    <t>0802982-
78.2020.8.15.0221</t>
  </si>
  <si>
    <t>ALZIRA CARDOSO DOS SANTOS</t>
  </si>
  <si>
    <t xml:space="preserve"> MARIA IRLANDIA CARDOSO DOS
SANTOS</t>
  </si>
  <si>
    <t>2022082550</t>
  </si>
  <si>
    <t>0000716-61.2010.815.0041</t>
  </si>
  <si>
    <t>Rose Mary Borba Rodrigues</t>
  </si>
  <si>
    <t>070.453.594-
70</t>
  </si>
  <si>
    <t>2021146811</t>
  </si>
  <si>
    <t>0825438-03.2020.8.15.0001</t>
  </si>
  <si>
    <t>Iraildo José da Silva Pontes</t>
  </si>
  <si>
    <t xml:space="preserve"> Dayany Micaely Nunes Pereira.
</t>
  </si>
  <si>
    <t xml:space="preserve"> 086792134-
03</t>
  </si>
  <si>
    <t>2022058981</t>
  </si>
  <si>
    <t>0801010-96.2021.8.15.0881</t>
  </si>
  <si>
    <t>Luzinete Mendes de Lima</t>
  </si>
  <si>
    <t>Maria Lima de Castro</t>
  </si>
  <si>
    <t>Wigna Letícia Dutra dos Santos</t>
  </si>
  <si>
    <t>086.027.234-66</t>
  </si>
  <si>
    <t>2022060780</t>
  </si>
  <si>
    <t>0800400-94.2022.8.15.0881</t>
  </si>
  <si>
    <t>Cibele Azevedo da Silva</t>
  </si>
  <si>
    <t xml:space="preserve"> Francisca Azevedo da
Silva</t>
  </si>
  <si>
    <t>2022031567</t>
  </si>
  <si>
    <t>0800236-74.2018.8.15.1171</t>
  </si>
  <si>
    <t>2022094506</t>
  </si>
  <si>
    <t>0821636-60.2021.8.15.0001</t>
  </si>
  <si>
    <t>HERMES PARAIBA DE VASCONCELOS</t>
  </si>
  <si>
    <t>2022093894</t>
  </si>
  <si>
    <t>0800469-61.2021.8.15.0041</t>
  </si>
  <si>
    <t>FLAVIO JOSE DE LIMA</t>
  </si>
  <si>
    <t>2022093941</t>
  </si>
  <si>
    <t>0801009-
63.2017.8.15.0231</t>
  </si>
  <si>
    <t>João Lemos da Silva</t>
  </si>
  <si>
    <t>Claro S.A</t>
  </si>
  <si>
    <t>2022093950</t>
  </si>
  <si>
    <t>0800029-
02.2020.8.15.0041</t>
  </si>
  <si>
    <t>ANA MARIA MARQUES DA SILVA DE SOUZA</t>
  </si>
  <si>
    <t>JARDSON DERSULINO
DA SILVA</t>
  </si>
  <si>
    <t>2022093992</t>
  </si>
  <si>
    <t>0800169-
03.2019.8.15.0031</t>
  </si>
  <si>
    <t>MARIA DE LOURDES NASCIMENTO</t>
  </si>
  <si>
    <t>ANTONIO HENRIQUE DE
SOUSA</t>
  </si>
  <si>
    <t>2022094008</t>
  </si>
  <si>
    <t>0800370-33.2017.8.15.0041</t>
  </si>
  <si>
    <t>JOSÉ FELIPE EDUARDO DE PONTES</t>
  </si>
  <si>
    <t>2022093976</t>
  </si>
  <si>
    <t>0800640-18.2021.8.15.0041</t>
  </si>
  <si>
    <t>JOSE FERREIRA FILHO</t>
  </si>
  <si>
    <t>2022095433</t>
  </si>
  <si>
    <t>0801058-
87.2020.8.15.0041</t>
  </si>
  <si>
    <t>MARIA RITA DA SILVA</t>
  </si>
  <si>
    <t>Maria Rita da Silva</t>
  </si>
  <si>
    <t>2022095556</t>
  </si>
  <si>
    <t>0800284-53.2020.8.15.0301</t>
  </si>
  <si>
    <t>AVANI URTIGA DA COSTA ALVES</t>
  </si>
  <si>
    <t xml:space="preserve">B A N C O I T A U C O N S
I G N A D O S . A. </t>
  </si>
  <si>
    <t>0802313-45.2016.8.15.0001</t>
  </si>
  <si>
    <t xml:space="preserve">2021139994 </t>
  </si>
  <si>
    <t>0804629-89.2020.8.15.0001</t>
  </si>
  <si>
    <t>JOSE RICARDO PEQUENO</t>
  </si>
  <si>
    <t>PRISCILA LINHARES DA SILVA NEVES PEQUENO</t>
  </si>
  <si>
    <t>0813321-77.2020.8.15.0001</t>
  </si>
  <si>
    <t>JASON DUARTE DE MEDEIROs</t>
  </si>
  <si>
    <t>TATIANA BARROS SANTANA</t>
  </si>
  <si>
    <t>2022103245</t>
  </si>
  <si>
    <t>0800131-47.2018.8.15.0541</t>
  </si>
  <si>
    <t>Ednaldo José da Silva</t>
  </si>
  <si>
    <t>Erica Cardoso de Andrade.</t>
  </si>
  <si>
    <t>Jefferson Balduíno dos Santos</t>
  </si>
  <si>
    <t>2022109137</t>
  </si>
  <si>
    <t>0806313-
69.2021.8.15.0371</t>
  </si>
  <si>
    <t>Ana Maria da Conceição Silva</t>
  </si>
  <si>
    <t>Município de Santa Cruz</t>
  </si>
  <si>
    <t>2022111132</t>
  </si>
  <si>
    <t>0801320-
80.2021.8.15.0371</t>
  </si>
  <si>
    <t>Fabiola Alves</t>
  </si>
  <si>
    <t>2022107955</t>
  </si>
  <si>
    <t>0808519-
83.2016.8.15.2003</t>
  </si>
  <si>
    <t>Lucas Felix Galdino de Lima</t>
  </si>
  <si>
    <t>Josefa Felix Galdino</t>
  </si>
  <si>
    <t>2022109161</t>
  </si>
  <si>
    <t>Rejane Leandro de Sousa Barros</t>
  </si>
  <si>
    <t>município de Sousa.</t>
  </si>
  <si>
    <t>2022108691</t>
  </si>
  <si>
    <t>0800452-
82.2018.8.15.0541</t>
  </si>
  <si>
    <t>Gilvaneide dos Santos Oliveira</t>
  </si>
  <si>
    <t>Paulo Martins de Oliveira</t>
  </si>
  <si>
    <t>2022109196</t>
  </si>
  <si>
    <t>0807024-
74.2021.8.15.0371</t>
  </si>
  <si>
    <t>Francisca Maria Ponciano Garrido</t>
  </si>
  <si>
    <t>2022023622</t>
  </si>
  <si>
    <t>Vara única de Princesa Isabel</t>
  </si>
  <si>
    <t>Comarca de Princesa Isabel</t>
  </si>
  <si>
    <t>0800688-40.2021.8.15.0311</t>
  </si>
  <si>
    <t>MARCIO PEREIRA
DA SILVA</t>
  </si>
  <si>
    <t>2022111663</t>
  </si>
  <si>
    <t>0806388-25.2019.8.15.0001</t>
  </si>
  <si>
    <t>Maria de Lourdes Teixeira dos Reis</t>
  </si>
  <si>
    <t xml:space="preserve">
Financeira S.A. Credito, Financiamento e Investimento
</t>
  </si>
  <si>
    <t>2022112519</t>
  </si>
  <si>
    <t>0802609-53.2018.8.15.0371</t>
  </si>
  <si>
    <t>CLEIDE SARMENTO DE MELO</t>
  </si>
  <si>
    <t>2022112527</t>
  </si>
  <si>
    <t xml:space="preserve"> 0805249-92.2019.8.15.0371</t>
  </si>
  <si>
    <t>ANA LUCIA LEANDRO DIAS</t>
  </si>
  <si>
    <t>2022112498</t>
  </si>
  <si>
    <t>0807059-34.2021.8.15.0371</t>
  </si>
  <si>
    <t>ADALGIZA ALMEIDA PINTO</t>
  </si>
  <si>
    <t>2019172399</t>
  </si>
  <si>
    <t>LUZINETE ALVES SOARES GADELHA</t>
  </si>
  <si>
    <t xml:space="preserve"> 0802526-71.2017.8.15.0371</t>
  </si>
  <si>
    <t>2022112543</t>
  </si>
  <si>
    <t>0807028-
14.2021.8.15.0371</t>
  </si>
  <si>
    <t>Jane Cleide Alexandre de Lira</t>
  </si>
  <si>
    <t>2022112551</t>
  </si>
  <si>
    <t>0807088-
84.2021.8.15.0371</t>
  </si>
  <si>
    <t xml:space="preserve"> Ivanilda Fernandes da Silva</t>
  </si>
  <si>
    <t>2022050745</t>
  </si>
  <si>
    <t>0800947-07.2017.8.15.0301</t>
  </si>
  <si>
    <t xml:space="preserve"> PEDRO DA SILVA LUNA</t>
  </si>
  <si>
    <t xml:space="preserve"> PATRÍCIA DA SILVA LUNA</t>
  </si>
  <si>
    <t>2022073609</t>
  </si>
  <si>
    <t>0800580-
46.2018.8.15.0301</t>
  </si>
  <si>
    <t>Tereza da Silva Ribeiro</t>
  </si>
  <si>
    <t>Douglas Batista da Silva</t>
  </si>
  <si>
    <t>2022073594</t>
  </si>
  <si>
    <t>0800130-
74.2016.8.15.0301</t>
  </si>
  <si>
    <t>Jacinta Maria dos Santos de Lima</t>
  </si>
  <si>
    <t>Maria Jacileide dos Santos Lima</t>
  </si>
  <si>
    <t>2022053266</t>
  </si>
  <si>
    <t>0000288-65.2016.8.15.0301</t>
  </si>
  <si>
    <t>R MARIA CAVALCANTE
DUARTE</t>
  </si>
  <si>
    <t>GERLANDIA CAVALCANTE DUARTE</t>
  </si>
  <si>
    <t>2022072500</t>
  </si>
  <si>
    <t>2ª Vara de Fazenda de Campina Grande</t>
  </si>
  <si>
    <t>0010026-89.2007.815.0011</t>
  </si>
  <si>
    <t>ESTADO
DA PARAÍBA</t>
  </si>
  <si>
    <t>Káthia Batista de Asevêdo</t>
  </si>
  <si>
    <t>044.836.274-06</t>
  </si>
  <si>
    <t>2022020708</t>
  </si>
  <si>
    <t>0805530-28.2018.8.15.0001</t>
  </si>
  <si>
    <t>RENATA TITO DE PAULA</t>
  </si>
  <si>
    <t>ENERGISA BORBOREMA DISTRIBUIDORA DE ENERGIA S.A.</t>
  </si>
  <si>
    <t>053.883.634- 22</t>
  </si>
  <si>
    <t>2022112650</t>
  </si>
  <si>
    <t xml:space="preserve"> 0813347-
46.2018.8.15.0001</t>
  </si>
  <si>
    <t>CARLA KELLI ALVES DE SOUZA</t>
  </si>
  <si>
    <t>Município de Campina Grande</t>
  </si>
  <si>
    <t>Fabiana  Brasileiro Nunes Dantas Vilar</t>
  </si>
  <si>
    <t>035.276.864-95</t>
  </si>
  <si>
    <t>2021138209</t>
  </si>
  <si>
    <t>0869982-27.2019.8.15.2001</t>
  </si>
  <si>
    <t>RENATO SERGIO CARNEIRO DA CUNHA DE MIRANDA</t>
  </si>
  <si>
    <t>2022073828</t>
  </si>
  <si>
    <t>0803791-61.2018.8.15.0731</t>
  </si>
  <si>
    <t>Maria das Graças do Nascimento Bezerra</t>
  </si>
  <si>
    <t xml:space="preserve"> Marconi Water da
Fonseca</t>
  </si>
  <si>
    <t>2022070524</t>
  </si>
  <si>
    <t>0844887-58.2020.815.2001</t>
  </si>
  <si>
    <t>Severino Silva Cavalcant</t>
  </si>
  <si>
    <t>2020093384</t>
  </si>
  <si>
    <t>0819826-21.2019.8.15.0001</t>
  </si>
  <si>
    <t>ALBERTO JORGE MARQUES PEREIRA</t>
  </si>
  <si>
    <t>VOLKSWAGEN DO
BRASIL INDUSTRIA DE VEICULOS AUTOMOTORES LTDA</t>
  </si>
  <si>
    <t>2022113146</t>
  </si>
  <si>
    <t>0801549-
40.2021.8.15.0371</t>
  </si>
  <si>
    <t>Maria Estrela Bezerra</t>
  </si>
  <si>
    <t>2022125016</t>
  </si>
  <si>
    <t>0812156-58.2021.8.15.0001</t>
  </si>
  <si>
    <t>ELINETE MENDES BARBOSA</t>
  </si>
  <si>
    <t>2022124992</t>
  </si>
  <si>
    <t xml:space="preserve"> 0804050-
35.2019.8.15.0371</t>
  </si>
  <si>
    <t>Antonia Crispim da Silva</t>
  </si>
  <si>
    <t xml:space="preserve"> Município de Vieropolis</t>
  </si>
  <si>
    <t>2022128871</t>
  </si>
  <si>
    <t>0800024-
86.2022.8.15.0371</t>
  </si>
  <si>
    <t>Francisco Roque da Silva</t>
  </si>
  <si>
    <t>2022129077</t>
  </si>
  <si>
    <t xml:space="preserve"> 0800835-17.2020.8.15.0371</t>
  </si>
  <si>
    <t>CARLOS FREDERICO NOGUEIRA
DONATO</t>
  </si>
  <si>
    <t xml:space="preserve"> Município de Sousa</t>
  </si>
  <si>
    <t>2022129028</t>
  </si>
  <si>
    <t>0806694-77.2021.8.15.0371</t>
  </si>
  <si>
    <t xml:space="preserve"> JOCILEUMA SARMENTO LOPES PEREIRA</t>
  </si>
  <si>
    <t>2022129093</t>
  </si>
  <si>
    <t>0804136-35.2021.8.15.0371</t>
  </si>
  <si>
    <t>ELISIANA QUEIROGA DA
CONCEICAO ABRANTES</t>
  </si>
  <si>
    <t>2022128880</t>
  </si>
  <si>
    <t xml:space="preserve"> CARLENILSON ALVES DE MORAIS</t>
  </si>
  <si>
    <t>0801583-78.2022.8.15.0371</t>
  </si>
  <si>
    <t xml:space="preserve"> Município de Marizópolis</t>
  </si>
  <si>
    <t>2022102009</t>
  </si>
  <si>
    <t>0805442-39.2021.8.15.0371</t>
  </si>
  <si>
    <t>FRANCINALDA FERREIRA DA SILVA ALVES</t>
  </si>
  <si>
    <t>2022113363</t>
  </si>
  <si>
    <t>0803699-91.2021.8.15.0371</t>
  </si>
  <si>
    <t xml:space="preserve"> Joebson Martins Nóbrega</t>
  </si>
  <si>
    <t>2022113291</t>
  </si>
  <si>
    <t>0807089-
69.2021.8.15.0371</t>
  </si>
  <si>
    <t>Maria Aparecida de Aquino</t>
  </si>
  <si>
    <t>2022131248</t>
  </si>
  <si>
    <t>0800341-76.2017.815.0301</t>
  </si>
  <si>
    <t>ANTÔNIO MARCOS FERNANDES
DOS SANTOs</t>
  </si>
  <si>
    <t>FACE DE BANCO SEMEAR S/A</t>
  </si>
  <si>
    <t>2022129606</t>
  </si>
  <si>
    <t>0800767-
96.2022.8.15.0371</t>
  </si>
  <si>
    <t xml:space="preserve"> VALDENA MATIAS DA SILVA</t>
  </si>
  <si>
    <t>2022129614</t>
  </si>
  <si>
    <t>0800569-
30.2020.8.15.0371</t>
  </si>
  <si>
    <t xml:space="preserve"> Maria Adriana Domingos da Silva</t>
  </si>
  <si>
    <t>2022129591</t>
  </si>
  <si>
    <t>0801069-
28.2022.8.15.0371</t>
  </si>
  <si>
    <t>Cleoneide marques Sarmento de Morais</t>
  </si>
  <si>
    <t>2022129454</t>
  </si>
  <si>
    <t>0815198-91.2016.8.15.0001</t>
  </si>
  <si>
    <t>MARIA JOSE CABRAL DE BRITO</t>
  </si>
  <si>
    <t>FACE DO BANCO BMG AS</t>
  </si>
  <si>
    <t>2022097943</t>
  </si>
  <si>
    <t>EUNICE SOARES DA SILVA</t>
  </si>
  <si>
    <t>0806876-
63.2021.8.15.0371</t>
  </si>
  <si>
    <t>2022078563</t>
  </si>
  <si>
    <t>2022117864</t>
  </si>
  <si>
    <t>2022121402</t>
  </si>
  <si>
    <t>2022120560</t>
  </si>
  <si>
    <t>2022122815</t>
  </si>
  <si>
    <t>2022122807</t>
  </si>
  <si>
    <t>2022123133</t>
  </si>
  <si>
    <t>2022124329</t>
  </si>
  <si>
    <t>2022124520</t>
  </si>
  <si>
    <t>2022124538</t>
  </si>
  <si>
    <t>2022124345</t>
  </si>
  <si>
    <t>2022124370</t>
  </si>
  <si>
    <t>2022124290</t>
  </si>
  <si>
    <t>2022124273</t>
  </si>
  <si>
    <t>2022106649</t>
  </si>
  <si>
    <t>0800487-
56.2020.815.2001</t>
  </si>
  <si>
    <t>Júlia Pereira Alves</t>
  </si>
  <si>
    <t xml:space="preserve"> Banco Bradesco S.A., Banco Santander (Brasil) S.A.</t>
  </si>
  <si>
    <t>Andréa Calegar</t>
  </si>
  <si>
    <t>047.599.419-16</t>
  </si>
  <si>
    <t>0801367-
20.2022.8.15.0371</t>
  </si>
  <si>
    <t>Francisca Mendes Meira</t>
  </si>
  <si>
    <t>0807058-49.2021.8.15.0371</t>
  </si>
  <si>
    <t>MARIA IRANETE DE OLIVEIRA MORAIS</t>
  </si>
  <si>
    <t>0801596-70.2020.8.15.0881</t>
  </si>
  <si>
    <t>JOHNY
ALLEF NOGUEIRA DA SILVA</t>
  </si>
  <si>
    <t>JOSE SANTANA DE CASTRO FILHO</t>
  </si>
  <si>
    <t>0801081-
03.2019.8.15.0321</t>
  </si>
  <si>
    <t>Reginaldo Luiz de Farias</t>
  </si>
  <si>
    <t>SEGURADORA LÍDER DOS CONSÓRCIOS
DO SEGURO DPVAT S.A.</t>
  </si>
  <si>
    <t>Bruno Cesar Santos Oliveira</t>
  </si>
  <si>
    <t>028.675.435-50</t>
  </si>
  <si>
    <t>0800940-
79.2021.8.15.0881</t>
  </si>
  <si>
    <t>GLICIA DANTAS DE ARAUJO</t>
  </si>
  <si>
    <t>MARIA DO SOCORRO SILVA</t>
  </si>
  <si>
    <t>0800510-
64.2020.8.15.0881</t>
  </si>
  <si>
    <t>MARIA HELENA DE ALMEIDA</t>
  </si>
  <si>
    <t>ANDREIA DE ALMEIDA.</t>
  </si>
  <si>
    <t>Comarca de São João do Rio do Peixe</t>
  </si>
  <si>
    <t>2ª Vara de São João do Rio do Peixe</t>
  </si>
  <si>
    <t>0802320-42.2020.8.15.0051</t>
  </si>
  <si>
    <t>VERA LUCIA SOARES DANTAS</t>
  </si>
  <si>
    <t>SEBASTIANA
SOARES DANTAS</t>
  </si>
  <si>
    <t>0800007-11.2020.815.0051</t>
  </si>
  <si>
    <t>Ministério Público do Estado da Paraíba</t>
  </si>
  <si>
    <t xml:space="preserve">Justina Maria da Conceição. </t>
  </si>
  <si>
    <t>0801506-64.2019.815.0051</t>
  </si>
  <si>
    <t xml:space="preserve"> MARIA DE
LOURDES DE ABREU ALEXANDRE</t>
  </si>
  <si>
    <t xml:space="preserve"> 0800510-95.2021.815.0051</t>
  </si>
  <si>
    <t xml:space="preserve"> MARIA JOSÉ RAÍSSA BATISTA
FERNANDES</t>
  </si>
  <si>
    <t xml:space="preserve">JOSÉ FERNANDES DE OLIVEIRA. </t>
  </si>
  <si>
    <t>0800246-78.2021.8.15.0051</t>
  </si>
  <si>
    <t xml:space="preserve"> Maria de Fátima Alves dos Santos</t>
  </si>
  <si>
    <t xml:space="preserve">Damião Alves dos Santos.
</t>
  </si>
  <si>
    <t>0802291-89.2020.815.0051</t>
  </si>
  <si>
    <t>Luana Gonçalves de Oliveira</t>
  </si>
  <si>
    <t xml:space="preserve"> Victor
Gonçalves de Oliveira.</t>
  </si>
  <si>
    <t>0000095-58.2015.815.0051</t>
  </si>
  <si>
    <t xml:space="preserve">Maria Lúcia
Evangelista Rolim. </t>
  </si>
  <si>
    <t>0800239-52.2022.815.0051</t>
  </si>
  <si>
    <t>Maria do Socorro Dias Braga</t>
  </si>
  <si>
    <t>2022126804</t>
  </si>
  <si>
    <t>0800834-27.2020.815.0211</t>
  </si>
  <si>
    <t>MARIA LÚCIA
BARBOSA GAUDÊNCIO</t>
  </si>
  <si>
    <t>MÁRIO BARBOSA DE SOUSA FILHO</t>
  </si>
  <si>
    <t>2022129487</t>
  </si>
  <si>
    <t>0800206-70.2017.8.15.0881</t>
  </si>
  <si>
    <t>VALTER TARGINO DE SOUSA</t>
  </si>
  <si>
    <t xml:space="preserve"> INSTITUTO MUNICIPAL DE
PREVIDENCIA DE SAO BENTO - PB
</t>
  </si>
  <si>
    <t>2022112535</t>
  </si>
  <si>
    <t>0806684-
33.2021.8.15.0371</t>
  </si>
  <si>
    <t>Isleide Almeida Barbosa</t>
  </si>
  <si>
    <t xml:space="preserve"> Município de Sousa.</t>
  </si>
  <si>
    <t>2022125985</t>
  </si>
  <si>
    <t>Vara única de Remígio</t>
  </si>
  <si>
    <t>Comarca de Remígio</t>
  </si>
  <si>
    <t>0000992-07.2016.8.15.0551</t>
  </si>
  <si>
    <t>SALETE FRANCISCA DE LIMA</t>
  </si>
  <si>
    <t>Kádimo Artur Dutra Rolim</t>
  </si>
  <si>
    <t>033.000.114-00</t>
  </si>
  <si>
    <t>2022122712</t>
  </si>
  <si>
    <t>0800574-45.2017.8.15.0181</t>
  </si>
  <si>
    <t>ZILJANE MARQUES AMORIM</t>
  </si>
  <si>
    <t>INSTITUTO DE ASSISTENCIA E PREVIDENCIA MUNICIPAL
DE GUARABIRA.</t>
  </si>
  <si>
    <t>2022129680</t>
  </si>
  <si>
    <t>0805416-84.2021.8.15.0001</t>
  </si>
  <si>
    <t>ALICE BRITO MENDES</t>
  </si>
  <si>
    <t>2022129751</t>
  </si>
  <si>
    <t>16-0922</t>
  </si>
  <si>
    <t>0800240-80.2017.8.15.2001</t>
  </si>
  <si>
    <t>FLAVIANA DA SILVA CÂMARA e ANA GLORIA DA SILVA</t>
  </si>
  <si>
    <t>ENERGISA PARAIBA - DISTRIBUIDORA DE ENERGIA S.A.</t>
  </si>
  <si>
    <t>0000272-47.2013.8.15.0421</t>
  </si>
  <si>
    <t>2022126644</t>
  </si>
  <si>
    <t>r CÍCERO LUCENA SOMBRA</t>
  </si>
  <si>
    <t xml:space="preserve"> FRANCISCO
DOS SANTOS SOMBRA</t>
  </si>
  <si>
    <t>2022069336</t>
  </si>
  <si>
    <t>0844458-28.2019.8.15.2001</t>
  </si>
  <si>
    <t xml:space="preserve"> SEVERINO RAMOS LOURENCO</t>
  </si>
  <si>
    <t>GUSTAVO RAMOS SALUSTIANO</t>
  </si>
  <si>
    <t>2022079556</t>
  </si>
  <si>
    <t>Vara única de Conceição</t>
  </si>
  <si>
    <t>Comarca de Conceição</t>
  </si>
  <si>
    <t>0000774-54.2012.8.15.0151</t>
  </si>
  <si>
    <t xml:space="preserve"> Valnete Rodrigues de Sousa e outros</t>
  </si>
  <si>
    <t xml:space="preserve">  Sul
América Nacional de Seguro S/A</t>
  </si>
  <si>
    <t>Elves Rodolfo Rodrigues Galdino</t>
  </si>
  <si>
    <t xml:space="preserve"> 094.066.344-90</t>
  </si>
  <si>
    <t>2022082120</t>
  </si>
  <si>
    <t>0800583-
77.2016.8.15.0751</t>
  </si>
  <si>
    <t>Claudia dos Santos Alexandre</t>
  </si>
  <si>
    <t>104.955.027-
74</t>
  </si>
  <si>
    <t>2022080614</t>
  </si>
  <si>
    <t>0800114-08.2022.8.15.01411</t>
  </si>
  <si>
    <t xml:space="preserve"> Edivânia de Figueiredo Melo,</t>
  </si>
  <si>
    <t xml:space="preserve"> Banco Mercantil do Brasil, S.A</t>
  </si>
  <si>
    <t>2022133889</t>
  </si>
  <si>
    <t xml:space="preserve"> 0805317-71.2021.8.15.0371</t>
  </si>
  <si>
    <t>Maria das Graças de Lima</t>
  </si>
  <si>
    <t>Município de Santa
Cruz</t>
  </si>
  <si>
    <t>2022133872</t>
  </si>
  <si>
    <t>0805319-
41.2021.8.15.0371</t>
  </si>
  <si>
    <t>Maria Helena Sarmento</t>
  </si>
  <si>
    <t>2021092775</t>
  </si>
  <si>
    <t xml:space="preserve"> 0025793-
75.2011.815.2001</t>
  </si>
  <si>
    <t>JOAO DE BRITO DE ATHAYDE MOURA e outra</t>
  </si>
  <si>
    <t xml:space="preserve"> CASABLANCA
CONSTRUÇÕES LTDA e BRUNO STROPP GALIZA.</t>
  </si>
  <si>
    <t>2022132415</t>
  </si>
  <si>
    <t>. 0800497-77.2019.8.15.0371</t>
  </si>
  <si>
    <t>RICARDO VIEIRA PEDROSA</t>
  </si>
  <si>
    <t>2019084978</t>
  </si>
  <si>
    <t>JOSEILDO JACOME DE OLIVEIRA</t>
  </si>
  <si>
    <t>0007026-
58.2013.8.15.0371</t>
  </si>
  <si>
    <t>MUNICIPIO DE Aparecida</t>
  </si>
  <si>
    <t>; 0001930-
91.2015.8.15.0371</t>
  </si>
  <si>
    <t>LUIZ CLAUDIO DE SOUSA</t>
  </si>
  <si>
    <t>ANANELIS FERNANDES DUTRA FERREIRA</t>
  </si>
  <si>
    <t xml:space="preserve"> 0001989-
79.2015.8.15.0371</t>
  </si>
  <si>
    <t>2022069133</t>
  </si>
  <si>
    <t>0803220-
12.2021.8.15.0141</t>
  </si>
  <si>
    <t>FRANCISCA VANICLEIDE DOS SANTOS</t>
  </si>
  <si>
    <t>2019170645</t>
  </si>
  <si>
    <t>0803308-78.2017.8.15.0371</t>
  </si>
  <si>
    <t>ROVILANIO MACIEL LINS</t>
  </si>
  <si>
    <t>2019084994</t>
  </si>
  <si>
    <t>VICENTE ANTUNINO DA SILVA</t>
  </si>
  <si>
    <t>0001934-31.2015.8.15.0371</t>
  </si>
  <si>
    <t>NARGUELLTHON GUEB DE ARAUJO</t>
  </si>
  <si>
    <t>MARIA ABRANTES DE FIGUEIREDO</t>
  </si>
  <si>
    <t>0001993-19.2015.8.15.0371</t>
  </si>
  <si>
    <t xml:space="preserve"> 0001947-30.2015.8.15.0371,</t>
  </si>
  <si>
    <t>2022149658</t>
  </si>
  <si>
    <t>º 0000275-
52.2015.8.15.0511</t>
  </si>
  <si>
    <t>Maria Laurinete Fortuna de Freitas</t>
  </si>
  <si>
    <t>2022149615</t>
  </si>
  <si>
    <t>4ª Vara de Patos</t>
  </si>
  <si>
    <t>0803183-
77.2020.8.15.0251</t>
  </si>
  <si>
    <t>r ENOQUES ANTONIO PEREIRA OLIVEIRA</t>
  </si>
  <si>
    <t xml:space="preserve"> CONSTRUTORA MALLIBU
LTDA - ME e PAULO VINICIUS MARQUES PINHEIRO</t>
  </si>
  <si>
    <t>2022149289</t>
  </si>
  <si>
    <t>0811379-
02.2021.8.15.0251</t>
  </si>
  <si>
    <t>Maria Helena Fidelix de Sousa</t>
  </si>
  <si>
    <t>o Banco Mercantil do Brasil S.A.</t>
  </si>
  <si>
    <t>2022149787</t>
  </si>
  <si>
    <t>0800266-43.2017.8.15.0881</t>
  </si>
  <si>
    <t>MARIA GOMES BESERRA</t>
  </si>
  <si>
    <t xml:space="preserve">INSTITUTO MUNICIPAL DE PREVIDENCIA DE SAO BENTO e
MUNICÍPIO DE SÃO BENTO.
</t>
  </si>
  <si>
    <t>2022146203</t>
  </si>
  <si>
    <t>0805079-
23.2019.8.15.0371</t>
  </si>
  <si>
    <t>AURELIA FERREIRA DOS SANTOS</t>
  </si>
  <si>
    <t>2022144332</t>
  </si>
  <si>
    <t>0803034-41.2022.8.15.0371</t>
  </si>
  <si>
    <t>Josildo Mendes de Sousa</t>
  </si>
  <si>
    <t>2022146211</t>
  </si>
  <si>
    <t>0806695-
62.2021.8.15.0371</t>
  </si>
  <si>
    <t>Vania Viana Bezerra</t>
  </si>
  <si>
    <t>2022118378</t>
  </si>
  <si>
    <t>0803047-
40.2022.8.15.0371</t>
  </si>
  <si>
    <t xml:space="preserve"> Patrícia Valéria Sarmento Pordeus e Lincon Bezerra de Abrantes</t>
  </si>
  <si>
    <t>2022148294</t>
  </si>
  <si>
    <t>0814608-41.2021.8.15.0001</t>
  </si>
  <si>
    <t>MARIA AUXILIADORA DE FARIAS MAHON</t>
  </si>
  <si>
    <t xml:space="preserve"> BANCO CSF S/A</t>
  </si>
  <si>
    <t>2022122770</t>
  </si>
  <si>
    <t>0807025-59.2021.8.15.0371</t>
  </si>
  <si>
    <t>GEOVANIA OLIMPIO
DE ALMEIDA</t>
  </si>
  <si>
    <t>2022144121</t>
  </si>
  <si>
    <t xml:space="preserve"> 0801529-
42.2019.8.15.0881</t>
  </si>
  <si>
    <t>Jares Felix da Cruz Costa</t>
  </si>
  <si>
    <t xml:space="preserve"> Município de São Bento.</t>
  </si>
  <si>
    <t>2022122761</t>
  </si>
  <si>
    <t>. 0801205-25.2022.8.15.0371</t>
  </si>
  <si>
    <t>ANA PAULA MATIAS
DA SILVA</t>
  </si>
  <si>
    <t>2022133274</t>
  </si>
  <si>
    <t>0801200-03.2022.8.15.0371</t>
  </si>
  <si>
    <t>FRANCISCA FLAVIA LINS SARMENTO</t>
  </si>
  <si>
    <t>2022146594</t>
  </si>
  <si>
    <t>0802658-
08.2021.8.15.0301</t>
  </si>
  <si>
    <t>Josefa Maravilha dos Santos Sousa</t>
  </si>
  <si>
    <t xml:space="preserve"> BP Promotora de Vendas LTDA</t>
  </si>
  <si>
    <t>2022116101</t>
  </si>
  <si>
    <t>VICTOR HUGO CARNEIRO DE SENA</t>
  </si>
  <si>
    <t>0806644-51.2021.8.15.0371</t>
  </si>
  <si>
    <t>2022147816</t>
  </si>
  <si>
    <t>0801361-13.2022.8.15.0371</t>
  </si>
  <si>
    <t>TELANIA FLAVIA ESTRELA BATISTA</t>
  </si>
  <si>
    <t>2022123369</t>
  </si>
  <si>
    <t xml:space="preserve"> 0800515-93.2022.8.15.0371</t>
  </si>
  <si>
    <t>SICLEIDE LOPES DE MELO SILVA</t>
  </si>
  <si>
    <t>2022140659</t>
  </si>
  <si>
    <t>0800456-75.2019.8.15.0221</t>
  </si>
  <si>
    <t xml:space="preserve"> MARIA RIVANILDA MARTINS DA SILVA</t>
  </si>
  <si>
    <t xml:space="preserve"> JOSE
MARTINS DA SILVA</t>
  </si>
  <si>
    <t>2022141215</t>
  </si>
  <si>
    <t>Hermano Hedeysoncruz de Assis</t>
  </si>
  <si>
    <t xml:space="preserve">  Maria Aureni Cruz</t>
  </si>
  <si>
    <t>0800647-
86.2020.8.15.0221</t>
  </si>
  <si>
    <t>2022150766</t>
  </si>
  <si>
    <t>0001107-
53.2013.8.15.0221</t>
  </si>
  <si>
    <t>Francisco Dantas Cosmo</t>
  </si>
  <si>
    <t>José Vanderlei Dantas Cosmo</t>
  </si>
  <si>
    <t>2022073551</t>
  </si>
  <si>
    <t>0800710-
07.2016.8.15.0301</t>
  </si>
  <si>
    <t>Antônio Duarte de Souza Filho</t>
  </si>
  <si>
    <t>José Duarte Ferreira.</t>
  </si>
  <si>
    <t>2022073560</t>
  </si>
  <si>
    <t>0800630-43.2016.8.15.0301</t>
  </si>
  <si>
    <t>Djalma Ferreira de Sousa</t>
  </si>
  <si>
    <t xml:space="preserve"> Eulália Trigueiro da Costa Sousa
</t>
  </si>
  <si>
    <t>2022017260</t>
  </si>
  <si>
    <t xml:space="preserve"> 0000660-14.2016.8.15.0301</t>
  </si>
  <si>
    <t>ALINE DE OLIVEIRA SILVA</t>
  </si>
  <si>
    <t>MARIA NEUMA DA SILVA</t>
  </si>
  <si>
    <t>2022138578</t>
  </si>
  <si>
    <t xml:space="preserve"> 0840450-71.2020.8.15.2001</t>
  </si>
  <si>
    <t xml:space="preserve"> Izabel
Cristina de Azevedo Ferreira</t>
  </si>
  <si>
    <t>Oi Móvel</t>
  </si>
  <si>
    <t>2022115094</t>
  </si>
  <si>
    <t>0854623-03.2020.8.15.2001</t>
  </si>
  <si>
    <t>Maryland Lucena Peixoto Andrezza</t>
  </si>
  <si>
    <t>2022135401</t>
  </si>
  <si>
    <t>Vara única de São João do Rio do Peixe</t>
  </si>
  <si>
    <t xml:space="preserve"> 0800403-27.2016.815.0051</t>
  </si>
  <si>
    <t>RAIMUNDA LOURENÇO DE JESUS</t>
  </si>
  <si>
    <t xml:space="preserve"> FRANCISCO VITORIANO SOBRINHO.</t>
  </si>
  <si>
    <t>2022150862</t>
  </si>
  <si>
    <t xml:space="preserve"> 0800041-
19.2020.8.15.0331</t>
  </si>
  <si>
    <t>Gilson Pereira da Silva</t>
  </si>
  <si>
    <t>BANCO BMG S/A</t>
  </si>
  <si>
    <t>2022091501</t>
  </si>
  <si>
    <t>0807260-
69.2021.8.15.0001</t>
  </si>
  <si>
    <t>JEOVA ARAUJO ALVES</t>
  </si>
  <si>
    <t>THEMIS JANINE DA COSTA GURJAO</t>
  </si>
  <si>
    <t>086.792.134-03</t>
  </si>
  <si>
    <t>2022134298</t>
  </si>
  <si>
    <t>0002249-84.2012.8.15.0041</t>
  </si>
  <si>
    <t xml:space="preserve"> VANDERLEIDE ROSA
BARBOSA</t>
  </si>
  <si>
    <t>JOSINEIDE FERNANDES</t>
  </si>
  <si>
    <t>2022037161</t>
  </si>
  <si>
    <t>0801676-96.2020.8.15.0731</t>
  </si>
  <si>
    <t>RODOLPHO ARAUJO LEITE DE FREITAS</t>
  </si>
  <si>
    <t xml:space="preserve">JENSEN BATISTA
MONTEIRO NETO
</t>
  </si>
  <si>
    <t>Samuel Marques de Brito</t>
  </si>
  <si>
    <t>066.681.504-62</t>
  </si>
  <si>
    <t>2022074769</t>
  </si>
  <si>
    <t>CELIA MARIA GOMES DE SOUSA</t>
  </si>
  <si>
    <t xml:space="preserve"> GRUPO BARBOSA COMERVIAL DA
CERÂMICA PATOS LTDA. e CERAMICA ELIZABETH SUL LTDA</t>
  </si>
  <si>
    <t>Emerson de Andrade Monteiro</t>
  </si>
  <si>
    <t>031.233.775-20</t>
  </si>
  <si>
    <t>2022030404</t>
  </si>
  <si>
    <t>0800108-
11.2016.8.15.0141</t>
  </si>
  <si>
    <t>JOMAR PAULINO DE MOURA e outra</t>
  </si>
  <si>
    <t>PILOTIS - PROJETOS E CONSTRUCOES LTDA - EPP.</t>
  </si>
  <si>
    <t>109.743.684-58</t>
  </si>
  <si>
    <t>2021066887</t>
  </si>
  <si>
    <t xml:space="preserve"> 0801363-
57.2019.8.15.0251</t>
  </si>
  <si>
    <t xml:space="preserve"> 0807229-
27.2020.8.15.0731</t>
  </si>
  <si>
    <t>MARIA DE MENEZES SANTOS</t>
  </si>
  <si>
    <t>Gledson Fraga Doria</t>
  </si>
  <si>
    <t>048.162.545-36</t>
  </si>
  <si>
    <t>2022075122</t>
  </si>
  <si>
    <t xml:space="preserve"> 0063126-56.2014.8.15.2001</t>
  </si>
  <si>
    <t>Wesley Arruda de Oliveira</t>
  </si>
  <si>
    <t>Maria das Neves Gomes de Lima</t>
  </si>
  <si>
    <t>Alcimar Alves Fraga</t>
  </si>
  <si>
    <t xml:space="preserve"> 582.834.554-00</t>
  </si>
  <si>
    <t>2022020677</t>
  </si>
  <si>
    <t>0827651-16.2019.8.15.0001</t>
  </si>
  <si>
    <t>SIMONE DE LIMA FERREIRA</t>
  </si>
  <si>
    <t>2022014044</t>
  </si>
  <si>
    <t>0800686-10.2018.8.15.0171</t>
  </si>
  <si>
    <t>JAILSON ISIDRO DA SILVA,</t>
  </si>
  <si>
    <t>JANEIDE GUILHERME
MARTINS</t>
  </si>
  <si>
    <t>Ana Glícia Guimarães Figueiredo Soares</t>
  </si>
  <si>
    <t>044.300.654-70</t>
  </si>
  <si>
    <t>2021063941</t>
  </si>
  <si>
    <t>0802404-24.2013.8.15.0751</t>
  </si>
  <si>
    <t>MONICA MARIA DE DEUS
BASTOS</t>
  </si>
  <si>
    <t>2022049108</t>
  </si>
  <si>
    <t>0015294-56.2009.8.15.0011</t>
  </si>
  <si>
    <t xml:space="preserve">ANTONIO FERNANDO ALVES SOARES </t>
  </si>
  <si>
    <t xml:space="preserve"> BANCO DO NORDESTE DO BRASIL S/A</t>
  </si>
  <si>
    <t>Francisca Maria Moura de Sousa</t>
  </si>
  <si>
    <t>095.726.193-49</t>
  </si>
  <si>
    <t>2022089662</t>
  </si>
  <si>
    <t>0801150-97.2019.8.15.0171</t>
  </si>
  <si>
    <t>Expedito Targino</t>
  </si>
  <si>
    <t>Joseilton Xavier</t>
  </si>
  <si>
    <t>2022138367</t>
  </si>
  <si>
    <t>0818617-46.2021.8.15.0001</t>
  </si>
  <si>
    <t>Anderson Oliveira da Silva</t>
  </si>
  <si>
    <t>Lorena Vitória Ripardo Oliveira</t>
  </si>
  <si>
    <t>2022144172</t>
  </si>
  <si>
    <t>0000743-56.2016.8.15.0551</t>
  </si>
  <si>
    <t>JOSE BELARMINO DE
SOUSA</t>
  </si>
  <si>
    <t>KADIMO ARTUR DUTRA ROLIM</t>
  </si>
  <si>
    <t>2022145462</t>
  </si>
  <si>
    <t>0800604-17.2017.8.15.0881</t>
  </si>
  <si>
    <t>RIVANILDO JOSE DA
SILVA</t>
  </si>
  <si>
    <t>INSTITUTO MUNICIPAL DE PREVIDENCIA DE SAO BENTO</t>
  </si>
  <si>
    <t>2022144902</t>
  </si>
  <si>
    <t>0842094-
15.2021.8.15.2001</t>
  </si>
  <si>
    <t>Maria Carolina da Conceição</t>
  </si>
  <si>
    <t>Banco Itaú Consignado S.A.</t>
  </si>
  <si>
    <t>2022148198</t>
  </si>
  <si>
    <t>0800289-10.2017.8.15.0001</t>
  </si>
  <si>
    <t>Pedro Henrique Dias Bezerra Silva</t>
  </si>
  <si>
    <t xml:space="preserve"> Rennan da Silva Lima e
Sarah Rafaella de Araújo Silva Nunes.
</t>
  </si>
  <si>
    <t>2022149529</t>
  </si>
  <si>
    <t>0800482-
54.2017.8.15.0541</t>
  </si>
  <si>
    <t>Roberta Xavier Santos</t>
  </si>
  <si>
    <t>Estado da Paraíba.</t>
  </si>
  <si>
    <t>2022101549</t>
  </si>
  <si>
    <t>0068492-76.2014.8.15.2001</t>
  </si>
  <si>
    <t>ANA LUCIA DOS SANTOS OLIVEIRA</t>
  </si>
  <si>
    <t>C3 ENGENHARIA</t>
  </si>
  <si>
    <t>2021062800</t>
  </si>
  <si>
    <t>15ª Vara Cível de João Pessoa</t>
  </si>
  <si>
    <t>0833780.90.2015.815.2001</t>
  </si>
  <si>
    <t>Lizieux Alcy
dos Santos Anjos Marreiro</t>
  </si>
  <si>
    <t>Gislenildo Fernandes Gentil</t>
  </si>
  <si>
    <t>Aline Diniz Araújo Balloussier</t>
  </si>
  <si>
    <t>009.972.624.20</t>
  </si>
  <si>
    <t>2022035133</t>
  </si>
  <si>
    <t>0844458-
28.2019.8.15.2001</t>
  </si>
  <si>
    <t>SEVERINO RAMOS LOURENCO</t>
  </si>
  <si>
    <t>2022086090</t>
  </si>
  <si>
    <t>0800834-51.2015.8.15.0001</t>
  </si>
  <si>
    <t>Eliana dos Santos Leite</t>
  </si>
  <si>
    <t>Eudes dos Santos Leite</t>
  </si>
  <si>
    <t>André Luiz Silva Santos</t>
  </si>
  <si>
    <t>886.216.424-68</t>
  </si>
  <si>
    <t>2022053910</t>
  </si>
  <si>
    <t>0021825-85.2014.8.15.0011</t>
  </si>
  <si>
    <t>Adriana Viegas de Freitas</t>
  </si>
  <si>
    <t xml:space="preserve">UEPB
</t>
  </si>
  <si>
    <t>Rafael Abrantes Gonçalves</t>
  </si>
  <si>
    <t>087.802.124-84</t>
  </si>
  <si>
    <t>2021096456</t>
  </si>
  <si>
    <t>0800966-04.2018.8.15.0131</t>
  </si>
  <si>
    <t xml:space="preserve">Gilvan Bernardo Abrantes </t>
  </si>
  <si>
    <t>000.246.954-59</t>
  </si>
  <si>
    <t>Ednaldo Gonçalves da Silva e outro</t>
  </si>
  <si>
    <t>Cícero Moreira Saturno e outros</t>
  </si>
  <si>
    <t>2019143640</t>
  </si>
  <si>
    <t>0801979-31.2017.8.15.0371</t>
  </si>
  <si>
    <t>JANAINA BARBOSA SILVA</t>
  </si>
  <si>
    <t>Jamacir Ferreira Moreira</t>
  </si>
  <si>
    <t>007.977.964-60</t>
  </si>
  <si>
    <t>2022117889</t>
  </si>
  <si>
    <t>0801821-79.2016.8.15.0251</t>
  </si>
  <si>
    <t>Bernardo Pereira Teles</t>
  </si>
  <si>
    <t xml:space="preserve"> Francisco Nonato de Araújo e outro</t>
  </si>
  <si>
    <t>2021137079</t>
  </si>
  <si>
    <t>MARIA SOLANGE DO
NASCIMENTO</t>
  </si>
  <si>
    <t>0803769-44.2015.8.15.0331</t>
  </si>
  <si>
    <t>BANCO ITAU</t>
  </si>
  <si>
    <t>2022112756</t>
  </si>
  <si>
    <t>0013923-91.2015.8.15.2001</t>
  </si>
  <si>
    <t>RICARDO LUIZ DOS
SANTOS CABRAL</t>
  </si>
  <si>
    <t>BEL FIX IMPORTACAO LTDA</t>
  </si>
  <si>
    <t>2022112772</t>
  </si>
  <si>
    <t>ELAINE CRISTINA DA NOBREGA CARVALHO</t>
  </si>
  <si>
    <t>0826733-94.2017.8.15.2001</t>
  </si>
  <si>
    <t>ENERGISA</t>
  </si>
  <si>
    <t>Marcus Vinicius Lira de Souza</t>
  </si>
  <si>
    <t>496.064.254-87</t>
  </si>
  <si>
    <t>2022092465</t>
  </si>
  <si>
    <t>0038992-
96.2013.8.15.2001</t>
  </si>
  <si>
    <t>Iremar Montenegro da Silva</t>
  </si>
  <si>
    <t>Samsung Eletronica da Amazonia LTDA</t>
  </si>
  <si>
    <t>Giulliene Pereira Rodrigues</t>
  </si>
  <si>
    <t>060.498.354-97</t>
  </si>
  <si>
    <t>2022115666</t>
  </si>
  <si>
    <t>0800051-
39.2016.8.15.2001</t>
  </si>
  <si>
    <t>José Nildo Pereira da Silva</t>
  </si>
  <si>
    <t>Losango Promoções de Venda
LTDA</t>
  </si>
  <si>
    <t>2021140007</t>
  </si>
  <si>
    <t>0802284-15.2017.8.15.0371</t>
  </si>
  <si>
    <t>IURE ABRANTES
BARBOSA DE OLIVEIRA</t>
  </si>
  <si>
    <t>2022078008</t>
  </si>
  <si>
    <t>0805343-69.2021.8.15.0371</t>
  </si>
  <si>
    <t>CELITA RUFINO FURTADO</t>
  </si>
  <si>
    <t xml:space="preserve">BANCO BMG </t>
  </si>
  <si>
    <t>2022123473</t>
  </si>
  <si>
    <t>0801594-
66.2020.8.15.0181</t>
  </si>
  <si>
    <t>LUCILENE NASCIMENTO DA SILVA</t>
  </si>
  <si>
    <t>LUIZ CARLOS NASCIMENTO DOS SANTOS</t>
  </si>
  <si>
    <t>2022101063</t>
  </si>
  <si>
    <t>0805519-25.2018.8.15.0251</t>
  </si>
  <si>
    <t>Maria Lúcia da
Silva</t>
  </si>
  <si>
    <t>Genival Bezerra Pereira</t>
  </si>
  <si>
    <t>Cristiano Wilson Ferreira Silva</t>
  </si>
  <si>
    <t>077.608.644-85</t>
  </si>
  <si>
    <t>2022133539</t>
  </si>
  <si>
    <t>0800099-
54.2018.8.15.0731</t>
  </si>
  <si>
    <t>SERGIO JOSE DA SILVA</t>
  </si>
  <si>
    <t>CONSTRUTORA OCEANIA - EIRELI</t>
  </si>
  <si>
    <t>Gabryelle Vieira Evaristo</t>
  </si>
  <si>
    <t>117.526.034-78</t>
  </si>
  <si>
    <t>2022119372</t>
  </si>
  <si>
    <t>0810049-31.2016.8.15.2001</t>
  </si>
  <si>
    <t>Marlon de Oliveira Pontes</t>
  </si>
  <si>
    <t>Mais Car Comércio de Veículos Peças e Serviços e outro</t>
  </si>
  <si>
    <t>2022154371</t>
  </si>
  <si>
    <t>0852365-
25.2017.8.15.2001</t>
  </si>
  <si>
    <t>Sheilla Maria Costa Câmara Alencar</t>
  </si>
  <si>
    <t>Banco Industrial e Comercial S.A</t>
  </si>
  <si>
    <t>Allan Pierre Dias de Souza</t>
  </si>
  <si>
    <t>021.967.214.84</t>
  </si>
  <si>
    <t>2022127549</t>
  </si>
  <si>
    <t>0806342-
96.2018.8.15.0251</t>
  </si>
  <si>
    <t>EMMANUEL ARAUJO GURGEL</t>
  </si>
  <si>
    <t>HABERLANDT GOMES CUNHA</t>
  </si>
  <si>
    <t>George Alexandre Lobo Vieira</t>
  </si>
  <si>
    <t>887.659.204-06</t>
  </si>
  <si>
    <t>2022127372</t>
  </si>
  <si>
    <t>0010608-55.2015.8.15.2001</t>
  </si>
  <si>
    <t>WAGNER BRASIL
DUTRA</t>
  </si>
  <si>
    <t>FIBRA CONSTRUTORA E INCORPORADORA LTDA</t>
  </si>
  <si>
    <t>Alfredo Gomes Neto</t>
  </si>
  <si>
    <t>133.002.534-20</t>
  </si>
  <si>
    <t>2022137403</t>
  </si>
  <si>
    <t>Vara de Feitos Especiais de João Pessoa</t>
  </si>
  <si>
    <t>0815225-83.2019.8.15.2001</t>
  </si>
  <si>
    <t>SVTLAND GONÇALVES DA SILVA</t>
  </si>
  <si>
    <t>2022120713</t>
  </si>
  <si>
    <t>0802217-66.2019.8.15.0731</t>
  </si>
  <si>
    <t>ANDERSON BEZERRA DA SILVA</t>
  </si>
  <si>
    <t>JOSE CANDIDO GONCALVES</t>
  </si>
  <si>
    <t>2022122392</t>
  </si>
  <si>
    <t>0002374-98.2019.8.15.0011</t>
  </si>
  <si>
    <t>CÉSAR DE MORAIS
FERREIRA</t>
  </si>
  <si>
    <t>EDVÂNIA ALVES SOUSA</t>
  </si>
  <si>
    <t>2022155979</t>
  </si>
  <si>
    <t>0800157-22.20208.15.004</t>
  </si>
  <si>
    <t>MARIA HELENA ADELINO DA COSTA</t>
  </si>
  <si>
    <t>ANA ADELINO DOS SANTOS</t>
  </si>
  <si>
    <t>2022155954</t>
  </si>
  <si>
    <t>0800539-78.2021.8.15.0041</t>
  </si>
  <si>
    <t>ANTONIO GALDINO DA SILVA</t>
  </si>
  <si>
    <t>REGINALDO RAIMUNDO DA SILVA</t>
  </si>
  <si>
    <t>2022150160</t>
  </si>
  <si>
    <t>0807031-
66.2021.8.15.0371</t>
  </si>
  <si>
    <t>MARIA DAMIANA MARTINS ARAUJO</t>
  </si>
  <si>
    <t>2022134677</t>
  </si>
  <si>
    <t>0810249-74.2021.8.15.0251</t>
  </si>
  <si>
    <t>MARILENE RODRIGUES
PAULINO</t>
  </si>
  <si>
    <t>2022142425</t>
  </si>
  <si>
    <t>0801150-10.2019.8.15.0491</t>
  </si>
  <si>
    <t>Francisco Cícero da Silva</t>
  </si>
  <si>
    <t>Departamento de Estradas de
Rodagem do Estado da Paraíba</t>
  </si>
  <si>
    <t>2022160288</t>
  </si>
  <si>
    <t>0800150-71.2016.8.15.0881</t>
  </si>
  <si>
    <t>Maria José da Silva</t>
  </si>
  <si>
    <t>Jonathas da Silva Fideles</t>
  </si>
  <si>
    <t>2022163034</t>
  </si>
  <si>
    <t>0800024-
55.2021.8.15.0231</t>
  </si>
  <si>
    <t>Joana Martins da Silva</t>
  </si>
  <si>
    <t>2022161498</t>
  </si>
  <si>
    <t>0802688-90.2022.8.15.0371</t>
  </si>
  <si>
    <t>RUTE GARRIDO DE LIMA</t>
  </si>
  <si>
    <t>2022161447</t>
  </si>
  <si>
    <t>0807678-80.2016.8.15.0001</t>
  </si>
  <si>
    <t>MARIA DE LOURDES GOMES</t>
  </si>
  <si>
    <t>BANCO
ITAU CONSIGNADO S.A e outros</t>
  </si>
  <si>
    <t>2022164086</t>
  </si>
  <si>
    <t>0000939-94.2014.8.15.0551</t>
  </si>
  <si>
    <t>GERSON BEZERRA DOS SANTOS</t>
  </si>
  <si>
    <t>ITAU SEGUROS S/A</t>
  </si>
  <si>
    <t>2022166081</t>
  </si>
  <si>
    <t>0810430-83.2020.8.15.0001</t>
  </si>
  <si>
    <t>ALESSANDRA DO NASCIMENTO TRAJANO PONCIANO</t>
  </si>
  <si>
    <t>BANCO DO BRASIL S.A e outro</t>
  </si>
  <si>
    <t>George Ivisson Vital Ribeiro</t>
  </si>
  <si>
    <t>029.432.274-47</t>
  </si>
  <si>
    <t>2022166563</t>
  </si>
  <si>
    <t>0801255-43.2017.8.15.0301</t>
  </si>
  <si>
    <t>Francinete dos Santos Silva</t>
  </si>
  <si>
    <t>LAIS SANTOS VIANES</t>
  </si>
  <si>
    <t>Alisson Barreto Fernandes</t>
  </si>
  <si>
    <t>046.443.074-75</t>
  </si>
  <si>
    <t>2022166651</t>
  </si>
  <si>
    <t>0800191-22.2022.8.15.0301</t>
  </si>
  <si>
    <t>REGINA CELIA BATISTA DO
NASCIMENTO</t>
  </si>
  <si>
    <t>FABRICIA ALVES BELO</t>
  </si>
  <si>
    <t>2022166678</t>
  </si>
  <si>
    <t>0801541-50.2019.8.15.0301</t>
  </si>
  <si>
    <t>MARIA APARECIDA LACERDA PORFIRIO BARBOSA</t>
  </si>
  <si>
    <t>JOCENILCO DE SOUSA ALMEIDA</t>
  </si>
  <si>
    <t>2022166686</t>
  </si>
  <si>
    <t>0801393-73.2018.8.15.0301</t>
  </si>
  <si>
    <t>VANUSA PEREIRA DO NASCIMENTO</t>
  </si>
  <si>
    <t>ANTONIO
ALBUQUERQUE DE BRITO</t>
  </si>
  <si>
    <t>2022166112</t>
  </si>
  <si>
    <t>0001291-28.2011.8.15.0011</t>
  </si>
  <si>
    <t>JOCINEIDE MARQUES BRASIL</t>
  </si>
  <si>
    <t>FACE DA FUNDACAO ASSISTENCIAL DA PARAIBA- FAP</t>
  </si>
  <si>
    <t>2022166483</t>
  </si>
  <si>
    <t>0801719-33.2018.8.15.0301</t>
  </si>
  <si>
    <t>RAIMUNDA ALMEIDA FORMIGA</t>
  </si>
  <si>
    <t>FRANCISCO
ALMEIDA FORMIGA</t>
  </si>
  <si>
    <t>emEDICINA / ODONTOLOGIA</t>
  </si>
  <si>
    <t>2022166362</t>
  </si>
  <si>
    <t>0800408- 36.2020.8.15.0301</t>
  </si>
  <si>
    <t>FRANCISCO IDELTO DE SOUSA</t>
  </si>
  <si>
    <t>MATEUS
FRANCISCO DE SOUSA</t>
  </si>
  <si>
    <t>2022166547</t>
  </si>
  <si>
    <t>0800765-21.2017.8.15.0301</t>
  </si>
  <si>
    <t>JOSE COELHO DOS SANTOS FILHO</t>
  </si>
  <si>
    <t>JOSEFA PAIVA
DOS SANTOS</t>
  </si>
  <si>
    <t>2022166459</t>
  </si>
  <si>
    <t>0801388-85.2017.8.15.0301</t>
  </si>
  <si>
    <t>ELIVANEIDE DA SILVA FERREIRA</t>
  </si>
  <si>
    <t>KELLISON DA
SILVA FERREIRA</t>
  </si>
  <si>
    <t>2022166395</t>
  </si>
  <si>
    <t>0800268-02.2020.8.15.030</t>
  </si>
  <si>
    <t>EDINETE BANDEIRA DE LACERDA</t>
  </si>
  <si>
    <t>FRANCINETE
BANDEIRA DOS SANTOS</t>
  </si>
  <si>
    <t>2022166571</t>
  </si>
  <si>
    <t>0801045-55.2018.8.15.0301</t>
  </si>
  <si>
    <t>LUIZ GUILHERME DE ARAUJO</t>
  </si>
  <si>
    <t>KELIANE MEDEIROS
DE ARAUJO</t>
  </si>
  <si>
    <t>2022166725</t>
  </si>
  <si>
    <t>0801857-34.2017.8.15.0301</t>
  </si>
  <si>
    <t>OCILEIDE DE LIMA FERREIRA</t>
  </si>
  <si>
    <t>FRANCINEIDE DE LIMA
FERREIRA</t>
  </si>
  <si>
    <t>2022166709</t>
  </si>
  <si>
    <t>0001583-40.2016.8.15.0301</t>
  </si>
  <si>
    <t>JUCILEIDE FORMIGA DOS SANTOS</t>
  </si>
  <si>
    <t>JUCELIO SOARES
PEREIRA</t>
  </si>
  <si>
    <t>2022166694</t>
  </si>
  <si>
    <t>0801193-32.2019.8.15.0301</t>
  </si>
  <si>
    <t>MARIA AGOSTINHA DE LIMA</t>
  </si>
  <si>
    <t>FRANCISCO LIMA DE
SOUSA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</si>
  <si>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</si>
  <si>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</si>
  <si>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</si>
  <si>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</si>
  <si>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</si>
  <si>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</si>
  <si>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</si>
  <si>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</si>
  <si>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</si>
  <si>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</si>
  <si>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</si>
  <si>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</si>
  <si>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</si>
  <si>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</si>
  <si>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</si>
  <si>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</si>
  <si>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2022167829</t>
  </si>
  <si>
    <t>0800516-
78.2022.8.15.0371</t>
  </si>
  <si>
    <t>Sheila Sandra de Oliveira Meneses</t>
  </si>
  <si>
    <t>DATILOSCOPIA</t>
  </si>
  <si>
    <t>LAUDO DATILOSCÓPICO</t>
  </si>
  <si>
    <t>2022167845</t>
  </si>
  <si>
    <t>0805086-
15.2019.8.15.0371</t>
  </si>
  <si>
    <t>Maria Arlene de Sousa</t>
  </si>
  <si>
    <t>2022167861</t>
  </si>
  <si>
    <t>0801281-88.2018.8.15.0371</t>
  </si>
  <si>
    <t>Fablo Fernandes de Sousa</t>
  </si>
  <si>
    <t>2022158081</t>
  </si>
  <si>
    <t>3ª Vara de Mamanguape</t>
  </si>
  <si>
    <t>0001213-48.2014.8.15.0231</t>
  </si>
  <si>
    <t>VALDICELIO JERONIMO DA SILVA</t>
  </si>
  <si>
    <t>mEDICINA / ODONTOLOGIA</t>
  </si>
  <si>
    <t>2022156623</t>
  </si>
  <si>
    <t>0805100-31.2019.8.15.0231</t>
  </si>
  <si>
    <t>EDMILSON BENTO DA SILVA</t>
  </si>
  <si>
    <t>2022166539</t>
  </si>
  <si>
    <t>0001123-81.2004.8.15.0751</t>
  </si>
  <si>
    <t>ANALICE BARBOSA DE ARAÚJO</t>
  </si>
  <si>
    <t>MUNICIPIO DE BAYEUX</t>
  </si>
  <si>
    <t>SÍLVIO ROGÉRIO DE SOUSA</t>
  </si>
  <si>
    <t>828.237.235-87</t>
  </si>
  <si>
    <t>Rayane Araújo Torres Lemos</t>
  </si>
  <si>
    <t>2022037311</t>
  </si>
  <si>
    <t>0801044-25.2016.8.15.0371</t>
  </si>
  <si>
    <t>THIAGO GONCALO FERREIRA</t>
  </si>
  <si>
    <t>FRANCISCA THIENY GONCALO</t>
  </si>
  <si>
    <t>2021103864</t>
  </si>
  <si>
    <t xml:space="preserve"> 0803827-70.2019.8.15.0181</t>
  </si>
  <si>
    <t>BANCO ITAÚ CONSIGNADO S/A</t>
  </si>
  <si>
    <t>2021061946</t>
  </si>
  <si>
    <t>0808704-
45.2018.8.15.0001</t>
  </si>
  <si>
    <t>MARIA DAS DORES GOMES CAVALCANTE</t>
  </si>
  <si>
    <t>KOMBAT PROTEÇÃO
AUTOMOTIVA E SEGURANÇA ELETRÔNICA LTDA. - ME</t>
  </si>
  <si>
    <t>2019227098</t>
  </si>
  <si>
    <t>0005920-50.2015.815.2001</t>
  </si>
  <si>
    <t>Tácio André Machado Rodovalho</t>
  </si>
  <si>
    <t>HSBC Bank Brasil S.A. - Banco Multiplo</t>
  </si>
  <si>
    <t>2017145083</t>
  </si>
  <si>
    <t>0801134-88.2014.815.0731</t>
  </si>
  <si>
    <t>ARTHUR HOMRICH JUNIOR</t>
  </si>
  <si>
    <t>BANCO BRADESCO S.A</t>
  </si>
  <si>
    <t>Bruno Caldas Chianca</t>
  </si>
  <si>
    <t>042.503.024-58</t>
  </si>
  <si>
    <t>2019219629</t>
  </si>
  <si>
    <t>0002166-56.2015.815.0011</t>
  </si>
  <si>
    <t>Chistiana Grace Brant de Oliveira Cunha</t>
  </si>
  <si>
    <t>Carlos Alberto
Ximenes Carneiro da Cunha</t>
  </si>
  <si>
    <t>2022075954</t>
  </si>
  <si>
    <t>0045042-41.2013.8.15.2001</t>
  </si>
  <si>
    <t>Valdi Pereira Durand</t>
  </si>
  <si>
    <t>J T F Engenharia e Construções Ltda</t>
  </si>
  <si>
    <t>Betânia Michelle Martins Rodrigues</t>
  </si>
  <si>
    <t>023.688.614-24</t>
  </si>
  <si>
    <t>2022066131</t>
  </si>
  <si>
    <t>0831686-38.2016.8.15.2001</t>
  </si>
  <si>
    <t>JEDIEL SUCUPIRA DA COSTA</t>
  </si>
  <si>
    <t>BANCO
BRADESCO FINANCIAMENTOS S.A</t>
  </si>
  <si>
    <t>2022028482</t>
  </si>
  <si>
    <t>0800536-
97.2018.8.15.0601</t>
  </si>
  <si>
    <t>LUIZ RODRIGUES</t>
  </si>
  <si>
    <t>821</t>
  </si>
  <si>
    <t>2022070485</t>
  </si>
  <si>
    <t>0818884-66.2020.8.15.2001</t>
  </si>
  <si>
    <t>Pedro Severino da Silva</t>
  </si>
  <si>
    <t>Bruno Henrique da Costa</t>
  </si>
  <si>
    <t>Lucas Cavalcante de Araújo</t>
  </si>
  <si>
    <t>052.597.824-02</t>
  </si>
  <si>
    <t>822</t>
  </si>
  <si>
    <t>2022076561</t>
  </si>
  <si>
    <t>0831700-03.2019.8.15.0001</t>
  </si>
  <si>
    <t>EDNALDA MARIA DE OLIVEIRA</t>
  </si>
  <si>
    <t>ITALLO WANDEMBERGSON
DE OLIVEIRA LIMA e outros</t>
  </si>
  <si>
    <t>823</t>
  </si>
  <si>
    <t>2022053240</t>
  </si>
  <si>
    <t>0800829-94.2018.8.15.0301</t>
  </si>
  <si>
    <t>Maria Gomes Targino Silva</t>
  </si>
  <si>
    <t>ALFRAILDO GOMES TARGINO</t>
  </si>
  <si>
    <t>824</t>
  </si>
  <si>
    <t>2021130680</t>
  </si>
  <si>
    <t>0000437-44.2012.8.15.2001</t>
  </si>
  <si>
    <t>MARIA DE FATIMA
ALEXANDRIA DA PIA e outros</t>
  </si>
  <si>
    <t>HOSPITAL SAMARITANO LTDA. E PRONTOCOR PRONTO
SOCORRO CARDIOLOGICO LTDA</t>
  </si>
  <si>
    <t>Naum Bandeira Rocha de Oliveira</t>
  </si>
  <si>
    <t>054.528.034-67</t>
  </si>
  <si>
    <t>825</t>
  </si>
  <si>
    <t>2021055396</t>
  </si>
  <si>
    <t>Lizonete Ferraz de Lima Costa</t>
  </si>
  <si>
    <t>UNIMED João Pessoa Cooperativa de
Trabalho Médico</t>
  </si>
  <si>
    <t>032.733.404-52</t>
  </si>
  <si>
    <t>2022017309</t>
  </si>
  <si>
    <t>DJALMA FERREIRA DE SOUSA</t>
  </si>
  <si>
    <t>EULALIA TRIGUEIRO DA
COSTA SOUSA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</si>
  <si>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</si>
  <si>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</si>
  <si>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</si>
  <si>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</si>
  <si>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</si>
  <si>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</si>
  <si>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</si>
  <si>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</si>
  <si>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</si>
  <si>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</si>
  <si>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</si>
  <si>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</si>
  <si>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</si>
  <si>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</si>
  <si>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</si>
  <si>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</si>
  <si>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2022035141</t>
  </si>
  <si>
    <t>0002352-
94.2013.8.15.2001</t>
  </si>
  <si>
    <t>MARIA DO SOCORRO ALTINO FORMIGA</t>
  </si>
  <si>
    <t>BRB BANCO DE BRASILIA
AS</t>
  </si>
  <si>
    <t>2022073617</t>
  </si>
  <si>
    <t>0000660-14.2016.8.15.0301</t>
  </si>
  <si>
    <t>ALINE
DE OLIVEIRA SILVA</t>
  </si>
  <si>
    <t>2022077177</t>
  </si>
  <si>
    <t>0802219-56.2020.8.15.0131</t>
  </si>
  <si>
    <t>JOAO HENRIQUE GONCALVES NETO</t>
  </si>
  <si>
    <t>TEREZINHA DE JESUS FURTADO</t>
  </si>
  <si>
    <t>Maria Simone Oliveira Roseno</t>
  </si>
  <si>
    <t>076.371.114-40</t>
  </si>
  <si>
    <t>2022043393</t>
  </si>
  <si>
    <t>0807924-71.2019.8.15.0001</t>
  </si>
  <si>
    <t>Karolanine Magna Pereira do Nascimento</t>
  </si>
  <si>
    <t>Isabelle Talita
Bezerra Delfino Figueiredo</t>
  </si>
  <si>
    <t>Yslávia Prisccilla Soares</t>
  </si>
  <si>
    <t>055.092.074-93</t>
  </si>
  <si>
    <t>2021022482</t>
  </si>
  <si>
    <t>0810462-
73.2018.8.15.2001</t>
  </si>
  <si>
    <t>ROMILDO LUCENA TARGINO</t>
  </si>
  <si>
    <t>J. FERREIRA COMERCIO DE PECAS E
SERVICOS LTDA - ME</t>
  </si>
  <si>
    <t>2021099627</t>
  </si>
  <si>
    <t>2022103403</t>
  </si>
  <si>
    <t>0803025-21.2018.8.15.0371</t>
  </si>
  <si>
    <t>Edivaldo Matias</t>
  </si>
  <si>
    <t>2022035906</t>
  </si>
  <si>
    <t>0800337-54.2018.815.0511</t>
  </si>
  <si>
    <t>2022073586</t>
  </si>
  <si>
    <t>0800880-
08.2018.8.15.0301</t>
  </si>
  <si>
    <t>Júlia Albuquerque Luiz</t>
  </si>
  <si>
    <t>Wellington Albuquerque Luiz</t>
  </si>
  <si>
    <t>2022082953</t>
  </si>
  <si>
    <t>0372051-85.2002.8.15.2001</t>
  </si>
  <si>
    <t>INBRALIMP IND BRASILEIRA DE PRODUTOS DE
HIGIENE E LIMPEZA LT</t>
  </si>
  <si>
    <t>BANCO DO NORDESTE DO BRASIL
S/A</t>
  </si>
  <si>
    <t>Antônio Loureiro - Perícias e Cálculos Jurídicos</t>
  </si>
  <si>
    <t>2022147584</t>
  </si>
  <si>
    <t>0845062-91.2016.8.15.2001</t>
  </si>
  <si>
    <t>WANILSON DO NASCIMENTO ROBERTO</t>
  </si>
  <si>
    <t>Gustavo Farias Mendonça</t>
  </si>
  <si>
    <t>046.175.724-90</t>
  </si>
  <si>
    <t>2022145884</t>
  </si>
  <si>
    <t>0805201-98.2016.8.15.2001</t>
  </si>
  <si>
    <t>FRANCISCO DAS CHAGAS FARIAS SANTOS</t>
  </si>
  <si>
    <t>Felipe de Paiva Dias</t>
  </si>
  <si>
    <t>051.287.504-93</t>
  </si>
  <si>
    <t>2022171325</t>
  </si>
  <si>
    <t>0805136-73.2019.8.15.0231</t>
  </si>
  <si>
    <t>SEBASTIAO DA SILVA CORDEIRO</t>
  </si>
  <si>
    <t>2022147605</t>
  </si>
  <si>
    <t>0809132-70.2020.8.15.2001</t>
  </si>
  <si>
    <t>LUCAS ALVES</t>
  </si>
  <si>
    <t>2022168241</t>
  </si>
  <si>
    <t>0800524-
13.2018.8.15.0301</t>
  </si>
  <si>
    <t>Linalda Pereira de Oliveira</t>
  </si>
  <si>
    <t>Francisco Pereira de Oliveira</t>
  </si>
  <si>
    <t>842</t>
  </si>
  <si>
    <t>2022168305</t>
  </si>
  <si>
    <t>0801515-
23.2017.8.15.0301</t>
  </si>
  <si>
    <t>Afrânia de Sousa Vieira</t>
  </si>
  <si>
    <t>Franciana de Sousa Vieira</t>
  </si>
  <si>
    <t>2022168268</t>
  </si>
  <si>
    <t>843</t>
  </si>
  <si>
    <t>00801234-
33.2018.8.15.0301</t>
  </si>
  <si>
    <t>Kaline Soares Fernandes</t>
  </si>
  <si>
    <t>Maria de Lourdes da Conceição</t>
  </si>
  <si>
    <t>2022168276</t>
  </si>
  <si>
    <t>0801815-
82.2017.8.15.0301</t>
  </si>
  <si>
    <t>Cloves dos Santos Ferreira Oliveira</t>
  </si>
  <si>
    <t>Gizélia dos Santos Ferreira</t>
  </si>
  <si>
    <t>844</t>
  </si>
  <si>
    <t>845</t>
  </si>
  <si>
    <t>2023001777</t>
  </si>
  <si>
    <t>0804160-60.2015.8.15.0731</t>
  </si>
  <si>
    <t>POLENA DO NASCIMENTO PEIXOTO</t>
  </si>
  <si>
    <t>UNIMED</t>
  </si>
  <si>
    <t>José Wilton Saraiva Cavalcanti</t>
  </si>
  <si>
    <t>088.523.334-44</t>
  </si>
  <si>
    <t>846</t>
  </si>
  <si>
    <t>2023000924</t>
  </si>
  <si>
    <t>0002216-72.2013.8.15.0231</t>
  </si>
  <si>
    <t>JOSE LUIZ PEREIRA DA SILVA</t>
  </si>
  <si>
    <t>2023006222</t>
  </si>
  <si>
    <t>0804319-
69.2022.8.15.0371</t>
  </si>
  <si>
    <t>Sidney Araújo Videres</t>
  </si>
  <si>
    <t>847</t>
  </si>
  <si>
    <t>Diego dos Santos Santiago</t>
  </si>
  <si>
    <t>058.969.204-66</t>
  </si>
  <si>
    <t>848</t>
  </si>
  <si>
    <t>2023005024</t>
  </si>
  <si>
    <t>0801457-
28.2022.8.15.0371</t>
  </si>
  <si>
    <t>FRANCISCA VANUBIA MARTINS DA SILVA</t>
  </si>
  <si>
    <t>849</t>
  </si>
  <si>
    <t>2023005049</t>
  </si>
  <si>
    <t>0804049-
50.2019.8.15.0371</t>
  </si>
  <si>
    <t>ALESSIA FERNANDA DA SILVA ALVES</t>
  </si>
  <si>
    <t>850</t>
  </si>
  <si>
    <t>2023005274</t>
  </si>
  <si>
    <t>0807026-
44.2021.8.15.0371</t>
  </si>
  <si>
    <t>JULIANA CAMPOS DE ALMEIDA</t>
  </si>
  <si>
    <t>2023008453</t>
  </si>
  <si>
    <t>851</t>
  </si>
  <si>
    <t>0800072-70.2019.8.15.0041</t>
  </si>
  <si>
    <t>Aloizio Gomes de Souza</t>
  </si>
  <si>
    <t>2021138452</t>
  </si>
  <si>
    <t>0805141-87.2019.8.15.0751</t>
  </si>
  <si>
    <t>ADRIANO TOMAS
HONORATO</t>
  </si>
  <si>
    <t>AIG SEGUROS BRASIL S.A</t>
  </si>
  <si>
    <t>852</t>
  </si>
  <si>
    <t>853</t>
  </si>
  <si>
    <t>2023010938</t>
  </si>
  <si>
    <t>0800932-
96.2021.8.15.0301</t>
  </si>
  <si>
    <t>OZENI DE ALMEIDA SOUSA</t>
  </si>
  <si>
    <t>854</t>
  </si>
  <si>
    <t>2023010903</t>
  </si>
  <si>
    <t>0802877-
21.2021.8.15.0301</t>
  </si>
  <si>
    <t>MARIA VIEIRA DE ALMEIDA SILVA</t>
  </si>
  <si>
    <t>BANCO MERCANTIL DO BRASIL
S.A</t>
  </si>
  <si>
    <t>855</t>
  </si>
  <si>
    <t>2023010874</t>
  </si>
  <si>
    <t>0002807-
18.2013.8.15.0301</t>
  </si>
  <si>
    <t>JULIANA PATRICIA DA SILVA PEREIRA NASCIMENTO</t>
  </si>
  <si>
    <t>BANCO DO
BRASIL S.A</t>
  </si>
  <si>
    <t>856</t>
  </si>
  <si>
    <t>2023010882</t>
  </si>
  <si>
    <t>0802482-
29.2021.8.15.0301</t>
  </si>
  <si>
    <t>ELIAS FRANKLIN DE MELO</t>
  </si>
  <si>
    <t>2022136783</t>
  </si>
  <si>
    <t>0833926-44.2020.8.15.0001</t>
  </si>
  <si>
    <t>GILMARA ALUSKA
FERREIRA DOS SANTOS</t>
  </si>
  <si>
    <t>JOSE WELLIONTONGAL FERREIRA LIMA</t>
  </si>
  <si>
    <t>857</t>
  </si>
  <si>
    <t>858</t>
  </si>
  <si>
    <t>2022132976</t>
  </si>
  <si>
    <t>0800496-03.2020.8.15.0551</t>
  </si>
  <si>
    <t>DANIELA
COSTA DE MORAIS NASCIMENTO</t>
  </si>
  <si>
    <t>CLÍNICA SÃO PAULO E JOSE A. NETO</t>
  </si>
  <si>
    <t>859</t>
  </si>
  <si>
    <t>2023017374</t>
  </si>
  <si>
    <t>0830417-42.2019.8.15.0001</t>
  </si>
  <si>
    <t>Edmilson da Silva Paulino</t>
  </si>
  <si>
    <t>Virgínia Surety Companhia de
Seguros do Brasil</t>
  </si>
  <si>
    <t>Cláudio Antunes Alencar</t>
  </si>
  <si>
    <t>176.440.740-00</t>
  </si>
  <si>
    <t>860</t>
  </si>
  <si>
    <t>2023018684</t>
  </si>
  <si>
    <t>0801474-88.2021.815.0051</t>
  </si>
  <si>
    <t>MARGARIDA ESTRELA</t>
  </si>
  <si>
    <t>JOSÉ ESTRELA DE OLIVEIRA</t>
  </si>
  <si>
    <t>861</t>
  </si>
  <si>
    <t>2023018916</t>
  </si>
  <si>
    <t>0801313-78.2021.815.0051</t>
  </si>
  <si>
    <t>MARIA DO
CARMO RIBEIRO</t>
  </si>
  <si>
    <t>FERNANDO RIBEIRO DIAS</t>
  </si>
  <si>
    <t>862</t>
  </si>
  <si>
    <t>2023018455</t>
  </si>
  <si>
    <t>0800663-65.2020.815.0051</t>
  </si>
  <si>
    <t>MARIA JOSÉ DE SOUSA
ALVES</t>
  </si>
  <si>
    <t>FRANCISCA MARIA DE SOUSA ALVES</t>
  </si>
  <si>
    <t>863</t>
  </si>
  <si>
    <t>2023020771</t>
  </si>
  <si>
    <t>0801462-66.2022.8.15.0301</t>
  </si>
  <si>
    <t>GILVAN MARTINS DA COSTA</t>
  </si>
  <si>
    <t>BANCO
C6 CONSIGNADO</t>
  </si>
  <si>
    <t>864</t>
  </si>
  <si>
    <t>2023020595</t>
  </si>
  <si>
    <t>6ª Vara Cível de João Pessoa</t>
  </si>
  <si>
    <t>0832124-
88.2021.8.15.2001</t>
  </si>
  <si>
    <t>JOAO FRANCELINO DO NASCIMENTO FILHO</t>
  </si>
  <si>
    <t>Ana Karina Nunes</t>
  </si>
  <si>
    <t>864.200.974-87</t>
  </si>
  <si>
    <t>865</t>
  </si>
  <si>
    <t>2022167693</t>
  </si>
  <si>
    <t>0800012-
76.2017.8.15.0491</t>
  </si>
  <si>
    <t>Tome Clementino Mendes</t>
  </si>
  <si>
    <t>Banco Votorantim S.A</t>
  </si>
  <si>
    <t>866</t>
  </si>
  <si>
    <t>2023023879</t>
  </si>
  <si>
    <t>0800155-55.2019.815.0051</t>
  </si>
  <si>
    <t>José Gabriel Alves</t>
  </si>
  <si>
    <t>Maria
de Fátima Gabriel Alves</t>
  </si>
  <si>
    <t>867</t>
  </si>
  <si>
    <t>2023023991</t>
  </si>
  <si>
    <t>0800286-26.2022.815.0051</t>
  </si>
  <si>
    <t>FRANCISCO DE ASSIS MORAIS</t>
  </si>
  <si>
    <t>REJANIO GERALDO DE MORAIS</t>
  </si>
  <si>
    <t>868</t>
  </si>
  <si>
    <t>2022170584</t>
  </si>
  <si>
    <t>0801409-
69.2022.8.15.0371</t>
  </si>
  <si>
    <t>Sonia Maria Cordeiro da Silva Gadelha</t>
  </si>
  <si>
    <t>869</t>
  </si>
  <si>
    <t>2022170592</t>
  </si>
  <si>
    <t>0801399-
25.2022.8.15.0371</t>
  </si>
  <si>
    <t>Maria Clara Nunes</t>
  </si>
  <si>
    <t>870</t>
  </si>
  <si>
    <t>2022165675</t>
  </si>
  <si>
    <t>0801679-93.2022.8.15.0371</t>
  </si>
  <si>
    <t>FRANCINEIDE GOMES DE FARIAS FERREIRA</t>
  </si>
  <si>
    <t>871</t>
  </si>
  <si>
    <t>2023007143</t>
  </si>
  <si>
    <t>0807029-96.2021.8.15.0371</t>
  </si>
  <si>
    <t>Francisca Lucivania dos Santos</t>
  </si>
  <si>
    <t>Município de
Sousa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</si>
</sst>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R$&quot;\ * #,##0.00_-;\-&quot;R$&quot;\ * #,##0.00_-;_-&quot;R$&quot;\ * &quot;-&quot;??_-;_-@_-"/>
    <numFmt numFmtId="164" formatCode="d\-mmm\-yy;@"/>
    <numFmt numFmtId="165" formatCode="[$-416]d\-mmm\-yy;@"/>
    <numFmt numFmtId="166" formatCode="&quot;R$&quot;\ #,##0.00"/>
    <numFmt numFmtId="167" formatCode="_-[$R$-416]\ * #,##0.00_-;\-[$R$-416]\ * #,##0.00_-;_-[$R$-416]\ * &quot;-&quot;??_-;_-@_-"/>
  </numFmts>
  <fonts count="28" x14ac:knownFonts="1">
    <font>
      <sz val="11"/>
      <color rgb="FF000000"/>
      <name val="Calibri"/>
      <family val="2"/>
      <charset val="1"/>
    </font>
    <font>
      <b/>
      <sz val="16"/>
      <color rgb="FFFFFFFF"/>
      <name val="Calibri"/>
      <family val="2"/>
      <charset val="1"/>
    </font>
    <font>
      <sz val="10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8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9"/>
      <color rgb="FFFFFFFF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0"/>
      <color rgb="FFFFFF00"/>
      <name val="Calibri"/>
      <family val="2"/>
      <charset val="1"/>
    </font>
    <font>
      <sz val="10"/>
      <color rgb="FFFFFF00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8"/>
      <name val="Calibri"/>
      <family val="2"/>
      <charset val="1"/>
    </font>
    <font>
      <b/>
      <sz val="10"/>
      <color rgb="FFFFFFFF"/>
      <name val="Calibri"/>
      <family val="2"/>
    </font>
    <font>
      <sz val="16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5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b/>
      <sz val="13"/>
      <color theme="0"/>
      <name val="Calibri"/>
      <family val="2"/>
      <charset val="1"/>
    </font>
    <font>
      <sz val="26"/>
      <color theme="0"/>
      <name val="Calibri"/>
      <family val="2"/>
      <charset val="1"/>
    </font>
    <font>
      <b/>
      <sz val="26"/>
      <color theme="0"/>
      <name val="Calibri"/>
      <family val="2"/>
    </font>
    <font>
      <sz val="11"/>
      <color theme="0"/>
      <name val="Calibri"/>
      <family val="2"/>
    </font>
    <font>
      <sz val="45"/>
      <color theme="0"/>
      <name val="Calibri"/>
      <family val="2"/>
    </font>
    <font>
      <sz val="14"/>
      <color rgb="FF000000"/>
      <name val="Calibri"/>
      <family val="2"/>
      <charset val="1"/>
    </font>
    <font>
      <b/>
      <sz val="11.5"/>
      <color rgb="FF000000"/>
      <name val="Calibri"/>
      <family val="2"/>
      <charset val="1"/>
    </font>
    <font>
      <sz val="10"/>
      <color rgb="FFFFFF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984807"/>
        <bgColor rgb="FF953735"/>
      </patternFill>
    </fill>
    <fill>
      <patternFill patternType="solid">
        <fgColor rgb="FF17375E"/>
        <bgColor rgb="FF254061"/>
      </patternFill>
    </fill>
    <fill>
      <patternFill patternType="solid">
        <fgColor rgb="FF558ED5"/>
        <bgColor rgb="FF4F81BD"/>
      </patternFill>
    </fill>
    <fill>
      <patternFill patternType="solid">
        <fgColor rgb="FF002060"/>
        <bgColor rgb="FF10243E"/>
      </patternFill>
    </fill>
    <fill>
      <patternFill patternType="solid">
        <fgColor rgb="FF953735"/>
        <bgColor rgb="FF984807"/>
      </patternFill>
    </fill>
    <fill>
      <patternFill patternType="solid">
        <fgColor rgb="FFE46C0A"/>
        <bgColor rgb="FFFF9900"/>
      </patternFill>
    </fill>
    <fill>
      <patternFill patternType="solid">
        <fgColor rgb="FF632523"/>
        <bgColor rgb="FF404040"/>
      </patternFill>
    </fill>
    <fill>
      <patternFill patternType="solid">
        <fgColor rgb="FF002060"/>
        <bgColor rgb="FF4F81BD"/>
      </patternFill>
    </fill>
    <fill>
      <patternFill patternType="solid">
        <fgColor theme="8"/>
        <bgColor rgb="FF10243E"/>
      </patternFill>
    </fill>
    <fill>
      <patternFill patternType="solid">
        <fgColor rgb="FF984807"/>
        <bgColor rgb="FFFF9900"/>
      </patternFill>
    </fill>
    <fill>
      <patternFill patternType="solid">
        <fgColor rgb="FFE46C0A"/>
        <bgColor rgb="FFE46C0A"/>
      </patternFill>
    </fill>
    <fill>
      <patternFill patternType="solid">
        <fgColor rgb="FF984807"/>
        <bgColor rgb="FF96450E"/>
      </patternFill>
    </fill>
    <fill>
      <patternFill patternType="solid">
        <fgColor rgb="FFE46C0A"/>
        <bgColor rgb="FF95373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rgb="FF002060"/>
        <bgColor indexed="64"/>
      </patternFill>
    </fill>
  </fills>
  <borders count="1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6" fillId="0" borderId="0" applyFont="0" applyFill="0" applyBorder="0" applyAlignment="0" applyProtection="0"/>
  </cellStyleXfs>
  <cellXfs count="18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" fontId="0" fillId="0" borderId="0" xfId="0" applyNumberFormat="1"/>
    <xf numFmtId="0" fontId="3" fillId="5" borderId="0" xfId="0" applyFont="1" applyFill="1" applyAlignment="1">
      <alignment horizontal="center"/>
    </xf>
    <xf numFmtId="10" fontId="3" fillId="5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 wrapText="1"/>
    </xf>
    <xf numFmtId="0" fontId="3" fillId="5" borderId="0" xfId="0" applyFont="1" applyFill="1" applyAlignment="1">
      <alignment vertical="center" wrapText="1"/>
    </xf>
    <xf numFmtId="4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wrapText="1"/>
    </xf>
    <xf numFmtId="0" fontId="4" fillId="0" borderId="2" xfId="0" applyFont="1" applyBorder="1" applyAlignment="1">
      <alignment horizontal="center" vertical="center"/>
    </xf>
    <xf numFmtId="0" fontId="5" fillId="5" borderId="2" xfId="0" applyFont="1" applyFill="1" applyBorder="1"/>
    <xf numFmtId="0" fontId="5" fillId="5" borderId="3" xfId="0" applyFont="1" applyFill="1" applyBorder="1"/>
    <xf numFmtId="0" fontId="5" fillId="5" borderId="1" xfId="0" applyFont="1" applyFill="1" applyBorder="1"/>
    <xf numFmtId="0" fontId="5" fillId="5" borderId="4" xfId="0" applyFont="1" applyFill="1" applyBorder="1"/>
    <xf numFmtId="0" fontId="6" fillId="6" borderId="1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10" fontId="6" fillId="6" borderId="5" xfId="0" applyNumberFormat="1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6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4" fontId="8" fillId="7" borderId="1" xfId="0" applyNumberFormat="1" applyFont="1" applyFill="1" applyBorder="1" applyAlignment="1">
      <alignment horizontal="center" vertical="center"/>
    </xf>
    <xf numFmtId="4" fontId="7" fillId="4" borderId="1" xfId="0" applyNumberFormat="1" applyFont="1" applyFill="1" applyBorder="1" applyAlignment="1">
      <alignment horizontal="center" vertical="center"/>
    </xf>
    <xf numFmtId="10" fontId="8" fillId="7" borderId="1" xfId="0" applyNumberFormat="1" applyFont="1" applyFill="1" applyBorder="1" applyAlignment="1">
      <alignment horizontal="center" vertical="center"/>
    </xf>
    <xf numFmtId="4" fontId="9" fillId="7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4" fontId="8" fillId="2" borderId="1" xfId="0" applyNumberFormat="1" applyFont="1" applyFill="1" applyBorder="1" applyAlignment="1">
      <alignment horizontal="center" vertical="center"/>
    </xf>
    <xf numFmtId="4" fontId="7" fillId="5" borderId="1" xfId="0" applyNumberFormat="1" applyFont="1" applyFill="1" applyBorder="1" applyAlignment="1">
      <alignment horizontal="center" vertical="center"/>
    </xf>
    <xf numFmtId="10" fontId="8" fillId="2" borderId="1" xfId="0" applyNumberFormat="1" applyFont="1" applyFill="1" applyBorder="1" applyAlignment="1">
      <alignment horizontal="center" vertical="center"/>
    </xf>
    <xf numFmtId="4" fontId="9" fillId="2" borderId="1" xfId="0" applyNumberFormat="1" applyFont="1" applyFill="1" applyBorder="1" applyAlignment="1">
      <alignment horizontal="center" vertical="center"/>
    </xf>
    <xf numFmtId="4" fontId="8" fillId="5" borderId="1" xfId="0" applyNumberFormat="1" applyFont="1" applyFill="1" applyBorder="1" applyAlignment="1">
      <alignment horizontal="center" vertical="center"/>
    </xf>
    <xf numFmtId="10" fontId="8" fillId="5" borderId="1" xfId="0" applyNumberFormat="1" applyFont="1" applyFill="1" applyBorder="1" applyAlignment="1">
      <alignment horizontal="center" vertical="center"/>
    </xf>
    <xf numFmtId="4" fontId="9" fillId="5" borderId="1" xfId="0" applyNumberFormat="1" applyFont="1" applyFill="1" applyBorder="1" applyAlignment="1">
      <alignment horizontal="center" vertical="center"/>
    </xf>
    <xf numFmtId="4" fontId="8" fillId="4" borderId="1" xfId="0" applyNumberFormat="1" applyFont="1" applyFill="1" applyBorder="1" applyAlignment="1">
      <alignment horizontal="center" vertical="center"/>
    </xf>
    <xf numFmtId="10" fontId="8" fillId="4" borderId="1" xfId="0" applyNumberFormat="1" applyFont="1" applyFill="1" applyBorder="1" applyAlignment="1">
      <alignment horizontal="center" vertical="center"/>
    </xf>
    <xf numFmtId="4" fontId="9" fillId="4" borderId="1" xfId="0" applyNumberFormat="1" applyFont="1" applyFill="1" applyBorder="1" applyAlignment="1">
      <alignment horizontal="center" vertical="center"/>
    </xf>
    <xf numFmtId="4" fontId="10" fillId="8" borderId="0" xfId="0" applyNumberFormat="1" applyFont="1" applyFill="1" applyAlignment="1">
      <alignment horizontal="center" vertical="center"/>
    </xf>
    <xf numFmtId="0" fontId="1" fillId="8" borderId="0" xfId="0" applyFont="1" applyFill="1"/>
    <xf numFmtId="4" fontId="10" fillId="8" borderId="0" xfId="0" applyNumberFormat="1" applyFont="1" applyFill="1" applyAlignment="1">
      <alignment horizontal="center"/>
    </xf>
    <xf numFmtId="4" fontId="5" fillId="8" borderId="0" xfId="0" applyNumberFormat="1" applyFont="1" applyFill="1" applyAlignment="1">
      <alignment horizontal="center"/>
    </xf>
    <xf numFmtId="49" fontId="0" fillId="0" borderId="0" xfId="0" applyNumberFormat="1"/>
    <xf numFmtId="49" fontId="5" fillId="5" borderId="2" xfId="0" applyNumberFormat="1" applyFont="1" applyFill="1" applyBorder="1"/>
    <xf numFmtId="49" fontId="5" fillId="5" borderId="4" xfId="0" applyNumberFormat="1" applyFont="1" applyFill="1" applyBorder="1"/>
    <xf numFmtId="165" fontId="0" fillId="0" borderId="0" xfId="0" applyNumberFormat="1"/>
    <xf numFmtId="165" fontId="5" fillId="5" borderId="3" xfId="0" applyNumberFormat="1" applyFont="1" applyFill="1" applyBorder="1"/>
    <xf numFmtId="165" fontId="7" fillId="4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top" wrapText="1"/>
    </xf>
    <xf numFmtId="164" fontId="7" fillId="5" borderId="1" xfId="0" applyNumberFormat="1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164" fontId="12" fillId="4" borderId="1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 wrapText="1"/>
    </xf>
    <xf numFmtId="4" fontId="7" fillId="9" borderId="1" xfId="0" applyNumberFormat="1" applyFont="1" applyFill="1" applyBorder="1" applyAlignment="1">
      <alignment horizontal="center" vertical="center"/>
    </xf>
    <xf numFmtId="164" fontId="7" fillId="9" borderId="1" xfId="0" applyNumberFormat="1" applyFont="1" applyFill="1" applyBorder="1" applyAlignment="1">
      <alignment horizontal="center" vertical="center"/>
    </xf>
    <xf numFmtId="4" fontId="7" fillId="10" borderId="1" xfId="0" applyNumberFormat="1" applyFont="1" applyFill="1" applyBorder="1" applyAlignment="1">
      <alignment horizontal="center" vertical="center"/>
    </xf>
    <xf numFmtId="164" fontId="7" fillId="10" borderId="1" xfId="0" applyNumberFormat="1" applyFont="1" applyFill="1" applyBorder="1" applyAlignment="1">
      <alignment horizontal="center" vertical="center"/>
    </xf>
    <xf numFmtId="4" fontId="8" fillId="11" borderId="1" xfId="0" applyNumberFormat="1" applyFont="1" applyFill="1" applyBorder="1" applyAlignment="1">
      <alignment horizontal="center" vertical="center"/>
    </xf>
    <xf numFmtId="10" fontId="8" fillId="11" borderId="1" xfId="0" applyNumberFormat="1" applyFont="1" applyFill="1" applyBorder="1" applyAlignment="1">
      <alignment horizontal="center" vertical="center"/>
    </xf>
    <xf numFmtId="4" fontId="8" fillId="12" borderId="1" xfId="0" applyNumberFormat="1" applyFont="1" applyFill="1" applyBorder="1" applyAlignment="1">
      <alignment horizontal="center" vertical="center"/>
    </xf>
    <xf numFmtId="10" fontId="8" fillId="12" borderId="1" xfId="0" applyNumberFormat="1" applyFont="1" applyFill="1" applyBorder="1" applyAlignment="1">
      <alignment horizontal="center" vertical="center"/>
    </xf>
    <xf numFmtId="4" fontId="8" fillId="13" borderId="1" xfId="0" applyNumberFormat="1" applyFont="1" applyFill="1" applyBorder="1" applyAlignment="1">
      <alignment horizontal="center" vertical="center"/>
    </xf>
    <xf numFmtId="10" fontId="8" fillId="13" borderId="1" xfId="0" applyNumberFormat="1" applyFont="1" applyFill="1" applyBorder="1" applyAlignment="1">
      <alignment horizontal="center" vertical="center"/>
    </xf>
    <xf numFmtId="4" fontId="8" fillId="14" borderId="1" xfId="0" applyNumberFormat="1" applyFont="1" applyFill="1" applyBorder="1" applyAlignment="1">
      <alignment horizontal="center" vertical="center"/>
    </xf>
    <xf numFmtId="10" fontId="8" fillId="14" borderId="1" xfId="0" applyNumberFormat="1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 wrapText="1"/>
    </xf>
    <xf numFmtId="0" fontId="0" fillId="15" borderId="0" xfId="0" applyFill="1"/>
    <xf numFmtId="4" fontId="0" fillId="0" borderId="0" xfId="0" applyNumberFormat="1"/>
    <xf numFmtId="0" fontId="0" fillId="15" borderId="0" xfId="0" applyFill="1" applyAlignment="1">
      <alignment wrapText="1"/>
    </xf>
    <xf numFmtId="0" fontId="0" fillId="0" borderId="0" xfId="0" applyAlignment="1">
      <alignment wrapText="1"/>
    </xf>
    <xf numFmtId="0" fontId="6" fillId="6" borderId="5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49" fontId="6" fillId="6" borderId="5" xfId="0" applyNumberFormat="1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textRotation="90"/>
    </xf>
    <xf numFmtId="166" fontId="13" fillId="0" borderId="0" xfId="0" applyNumberFormat="1" applyFont="1"/>
    <xf numFmtId="166" fontId="13" fillId="0" borderId="0" xfId="0" applyNumberFormat="1" applyFont="1" applyAlignment="1">
      <alignment wrapText="1"/>
    </xf>
    <xf numFmtId="166" fontId="14" fillId="0" borderId="0" xfId="0" pivotButton="1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 wrapText="1"/>
    </xf>
    <xf numFmtId="166" fontId="0" fillId="0" borderId="0" xfId="0" applyNumberFormat="1"/>
    <xf numFmtId="166" fontId="15" fillId="0" borderId="0" xfId="0" applyNumberFormat="1" applyFont="1" applyAlignment="1">
      <alignment horizontal="center" vertical="center" wrapText="1"/>
    </xf>
    <xf numFmtId="166" fontId="15" fillId="0" borderId="0" xfId="0" applyNumberFormat="1" applyFont="1"/>
    <xf numFmtId="166" fontId="15" fillId="0" borderId="0" xfId="0" pivotButton="1" applyNumberFormat="1" applyFont="1" applyAlignment="1">
      <alignment horizontal="center" vertical="center" wrapText="1"/>
    </xf>
    <xf numFmtId="166" fontId="15" fillId="0" borderId="0" xfId="0" applyNumberFormat="1" applyFont="1" applyAlignment="1">
      <alignment horizontal="left"/>
    </xf>
    <xf numFmtId="164" fontId="12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66" fontId="17" fillId="0" borderId="0" xfId="0" applyNumberFormat="1" applyFont="1" applyAlignment="1">
      <alignment horizontal="left"/>
    </xf>
    <xf numFmtId="0" fontId="7" fillId="4" borderId="1" xfId="0" applyFont="1" applyFill="1" applyBorder="1" applyAlignment="1">
      <alignment horizontal="right" vertical="center" wrapText="1"/>
    </xf>
    <xf numFmtId="0" fontId="20" fillId="16" borderId="14" xfId="0" applyFont="1" applyFill="1" applyBorder="1" applyAlignment="1">
      <alignment horizontal="center" vertical="center"/>
    </xf>
    <xf numFmtId="167" fontId="20" fillId="16" borderId="14" xfId="0" applyNumberFormat="1" applyFont="1" applyFill="1" applyBorder="1" applyAlignment="1">
      <alignment horizontal="center" vertical="center"/>
    </xf>
    <xf numFmtId="167" fontId="19" fillId="0" borderId="0" xfId="1" applyNumberFormat="1" applyFont="1"/>
    <xf numFmtId="167" fontId="0" fillId="0" borderId="0" xfId="0" applyNumberFormat="1"/>
    <xf numFmtId="0" fontId="18" fillId="0" borderId="0" xfId="0" pivotButton="1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167" fontId="18" fillId="0" borderId="0" xfId="0" applyNumberFormat="1" applyFont="1"/>
    <xf numFmtId="0" fontId="22" fillId="17" borderId="2" xfId="0" applyFont="1" applyFill="1" applyBorder="1"/>
    <xf numFmtId="0" fontId="22" fillId="17" borderId="4" xfId="0" applyFont="1" applyFill="1" applyBorder="1"/>
    <xf numFmtId="0" fontId="22" fillId="17" borderId="3" xfId="0" applyFont="1" applyFill="1" applyBorder="1"/>
    <xf numFmtId="4" fontId="22" fillId="17" borderId="4" xfId="0" applyNumberFormat="1" applyFont="1" applyFill="1" applyBorder="1"/>
    <xf numFmtId="0" fontId="21" fillId="17" borderId="4" xfId="0" applyFont="1" applyFill="1" applyBorder="1"/>
    <xf numFmtId="4" fontId="21" fillId="17" borderId="3" xfId="0" applyNumberFormat="1" applyFont="1" applyFill="1" applyBorder="1"/>
    <xf numFmtId="0" fontId="23" fillId="18" borderId="15" xfId="0" applyFont="1" applyFill="1" applyBorder="1"/>
    <xf numFmtId="0" fontId="23" fillId="18" borderId="16" xfId="0" applyFont="1" applyFill="1" applyBorder="1"/>
    <xf numFmtId="0" fontId="23" fillId="18" borderId="16" xfId="0" applyFont="1" applyFill="1" applyBorder="1" applyAlignment="1">
      <alignment wrapText="1"/>
    </xf>
    <xf numFmtId="0" fontId="24" fillId="18" borderId="16" xfId="0" applyFont="1" applyFill="1" applyBorder="1"/>
    <xf numFmtId="0" fontId="23" fillId="18" borderId="17" xfId="0" applyFont="1" applyFill="1" applyBorder="1"/>
    <xf numFmtId="0" fontId="0" fillId="0" borderId="0" xfId="0" applyAlignment="1">
      <alignment horizontal="left" indent="1"/>
    </xf>
    <xf numFmtId="166" fontId="13" fillId="0" borderId="0" xfId="0" applyNumberFormat="1" applyFont="1" applyAlignment="1">
      <alignment vertical="center" wrapText="1"/>
    </xf>
    <xf numFmtId="167" fontId="0" fillId="0" borderId="0" xfId="0" applyNumberFormat="1" applyAlignment="1">
      <alignment horizontal="left"/>
    </xf>
    <xf numFmtId="0" fontId="13" fillId="0" borderId="0" xfId="0" pivotButton="1" applyFont="1" applyAlignment="1">
      <alignment horizontal="center"/>
    </xf>
    <xf numFmtId="167" fontId="13" fillId="0" borderId="0" xfId="0" pivotButton="1" applyNumberFormat="1" applyFont="1" applyAlignment="1">
      <alignment horizontal="center"/>
    </xf>
    <xf numFmtId="0" fontId="25" fillId="0" borderId="0" xfId="0" pivotButton="1" applyFont="1" applyAlignment="1">
      <alignment horizontal="center"/>
    </xf>
    <xf numFmtId="167" fontId="15" fillId="0" borderId="0" xfId="0" pivotButton="1" applyNumberFormat="1" applyFont="1" applyAlignment="1">
      <alignment horizontal="center" vertical="center"/>
    </xf>
    <xf numFmtId="167" fontId="18" fillId="0" borderId="0" xfId="0" applyNumberFormat="1" applyFont="1" applyAlignment="1">
      <alignment vertical="center"/>
    </xf>
    <xf numFmtId="44" fontId="0" fillId="0" borderId="0" xfId="1" applyFont="1"/>
    <xf numFmtId="167" fontId="26" fillId="0" borderId="0" xfId="0" applyNumberFormat="1" applyFont="1"/>
    <xf numFmtId="167" fontId="14" fillId="0" borderId="0" xfId="0" pivotButton="1" applyNumberFormat="1" applyFont="1" applyAlignment="1">
      <alignment horizontal="center"/>
    </xf>
    <xf numFmtId="165" fontId="23" fillId="18" borderId="16" xfId="0" applyNumberFormat="1" applyFont="1" applyFill="1" applyBorder="1"/>
    <xf numFmtId="165" fontId="6" fillId="6" borderId="2" xfId="0" applyNumberFormat="1" applyFont="1" applyFill="1" applyBorder="1" applyAlignment="1">
      <alignment horizontal="center" vertical="center" wrapText="1"/>
    </xf>
    <xf numFmtId="165" fontId="7" fillId="9" borderId="1" xfId="0" applyNumberFormat="1" applyFont="1" applyFill="1" applyBorder="1" applyAlignment="1">
      <alignment horizontal="center" vertical="center"/>
    </xf>
    <xf numFmtId="165" fontId="7" fillId="10" borderId="1" xfId="0" applyNumberFormat="1" applyFont="1" applyFill="1" applyBorder="1" applyAlignment="1">
      <alignment horizontal="center" vertical="center"/>
    </xf>
    <xf numFmtId="165" fontId="21" fillId="17" borderId="4" xfId="0" applyNumberFormat="1" applyFont="1" applyFill="1" applyBorder="1"/>
    <xf numFmtId="10" fontId="27" fillId="14" borderId="1" xfId="0" applyNumberFormat="1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10" fontId="6" fillId="6" borderId="5" xfId="0" applyNumberFormat="1" applyFont="1" applyFill="1" applyBorder="1" applyAlignment="1">
      <alignment horizontal="center" vertical="center" wrapText="1"/>
    </xf>
    <xf numFmtId="10" fontId="6" fillId="6" borderId="13" xfId="0" applyNumberFormat="1" applyFont="1" applyFill="1" applyBorder="1" applyAlignment="1">
      <alignment horizontal="center" vertical="center" wrapText="1"/>
    </xf>
    <xf numFmtId="10" fontId="6" fillId="6" borderId="7" xfId="0" applyNumberFormat="1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textRotation="90"/>
    </xf>
    <xf numFmtId="49" fontId="1" fillId="8" borderId="11" xfId="0" applyNumberFormat="1" applyFont="1" applyFill="1" applyBorder="1" applyAlignment="1">
      <alignment horizontal="center" vertical="center"/>
    </xf>
    <xf numFmtId="10" fontId="6" fillId="6" borderId="1" xfId="0" applyNumberFormat="1" applyFont="1" applyFill="1" applyBorder="1" applyAlignment="1">
      <alignment horizontal="center" vertical="center" wrapText="1"/>
    </xf>
    <xf numFmtId="49" fontId="6" fillId="6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3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&quot;R$&quot;\ #,##0.00"/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alignment vertical="center"/>
    </dxf>
    <dxf>
      <font>
        <sz val="18"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wrapText="1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font>
        <sz val="16"/>
      </font>
    </dxf>
    <dxf>
      <font>
        <sz val="15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font>
        <b/>
      </font>
    </dxf>
    <dxf>
      <font>
        <b/>
      </font>
    </dxf>
    <dxf>
      <numFmt numFmtId="166" formatCode="&quot;R$&quot;\ #,##0.00"/>
    </dxf>
    <dxf>
      <numFmt numFmtId="166" formatCode="&quot;R$&quot;\ #,##0.00"/>
    </dxf>
    <dxf>
      <font>
        <sz val="16"/>
      </font>
    </dxf>
    <dxf>
      <font>
        <sz val="16"/>
      </font>
    </dxf>
    <dxf>
      <font>
        <sz val="15"/>
      </font>
    </dxf>
    <dxf>
      <font>
        <sz val="15"/>
      </font>
    </dxf>
    <dxf>
      <font>
        <sz val="15"/>
      </font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7" formatCode="_-[$R$-416]\ * #,##0.00_-;\-[$R$-416]\ * #,##0.00_-;_-[$R$-416]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b/>
      </font>
    </dxf>
    <dxf>
      <font>
        <b/>
      </font>
    </dxf>
    <dxf>
      <alignment vertical="center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0" formatCode="General"/>
    </dxf>
    <dxf>
      <font>
        <b/>
      </font>
    </dxf>
    <dxf>
      <font>
        <b/>
      </font>
    </dxf>
    <dxf>
      <numFmt numFmtId="167" formatCode="_-[$R$-416]\ * #,##0.00_-;\-[$R$-416]\ * #,##0.00_-;_-[$R$-416]\ * &quot;-&quot;??_-;_-@_-"/>
    </dxf>
    <dxf>
      <font>
        <sz val="13"/>
      </font>
    </dxf>
    <dxf>
      <font>
        <sz val="13"/>
      </font>
    </dxf>
    <dxf>
      <font>
        <color theme="0"/>
      </font>
    </dxf>
    <dxf>
      <font>
        <color theme="0"/>
      </font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sz val="12"/>
      </font>
    </dxf>
    <dxf>
      <font>
        <sz val="12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vertical="bottom"/>
    </dxf>
    <dxf>
      <font>
        <sz val="14"/>
      </font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alignment horizontal="center"/>
    </dxf>
    <dxf>
      <alignment vertical="bottom"/>
    </dxf>
    <dxf>
      <font>
        <sz val="16"/>
      </font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font>
        <sz val="11.5"/>
      </font>
    </dxf>
    <dxf>
      <font>
        <b/>
      </font>
    </dxf>
    <dxf>
      <alignment horizontal="center"/>
    </dxf>
    <dxf>
      <font>
        <sz val="14"/>
      </font>
    </dxf>
    <dxf>
      <font>
        <b/>
      </font>
    </dxf>
    <dxf>
      <font>
        <sz val="11"/>
      </font>
    </dxf>
    <dxf>
      <alignment horizontal="center"/>
    </dxf>
    <dxf>
      <alignment vertical="center"/>
    </dxf>
    <dxf>
      <alignment vertical="center"/>
    </dxf>
    <dxf>
      <font>
        <sz val="12"/>
      </font>
    </dxf>
    <dxf>
      <font>
        <sz val="11"/>
      </font>
    </dxf>
    <dxf>
      <font>
        <sz val="16"/>
      </font>
    </dxf>
    <dxf>
      <font>
        <b/>
      </font>
    </dxf>
    <dxf>
      <font>
        <b/>
      </font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alignment horizontal="center"/>
    </dxf>
    <dxf>
      <font>
        <sz val="16"/>
      </font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2060"/>
      <rgbColor rgb="FF808000"/>
      <rgbColor rgb="FF800080"/>
      <rgbColor rgb="FF008080"/>
      <rgbColor rgb="FFC0C0C0"/>
      <rgbColor rgb="FF808080"/>
      <rgbColor rgb="FF558ED5"/>
      <rgbColor rgb="FF953735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F81BD"/>
      <rgbColor rgb="FF33CCCC"/>
      <rgbColor rgb="FF99CC00"/>
      <rgbColor rgb="FFFFC000"/>
      <rgbColor rgb="FFFF9900"/>
      <rgbColor rgb="FFE46C0A"/>
      <rgbColor rgb="FF595959"/>
      <rgbColor rgb="FF969696"/>
      <rgbColor rgb="FF17375E"/>
      <rgbColor rgb="FF339966"/>
      <rgbColor rgb="FF10243E"/>
      <rgbColor rgb="FF632523"/>
      <rgbColor rgb="FF984807"/>
      <rgbColor rgb="FFBB4E4B"/>
      <rgbColor rgb="FF254061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6600"/>
      <color rgb="FFE36713"/>
      <color rgb="FF96450E"/>
      <color rgb="FF984807"/>
      <color rgb="FFE46C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microsoft.com/office/2007/relationships/slicerCache" Target="slicerCaches/slicerCache2.xml"/><Relationship Id="rId26" Type="http://schemas.microsoft.com/office/2007/relationships/slicerCache" Target="slicerCaches/slicerCache10.xml"/><Relationship Id="rId39" Type="http://schemas.microsoft.com/office/2007/relationships/slicerCache" Target="slicerCaches/slicerCache23.xml"/><Relationship Id="rId21" Type="http://schemas.microsoft.com/office/2007/relationships/slicerCache" Target="slicerCaches/slicerCache5.xml"/><Relationship Id="rId34" Type="http://schemas.microsoft.com/office/2007/relationships/slicerCache" Target="slicerCaches/slicerCache18.xml"/><Relationship Id="rId42" Type="http://schemas.microsoft.com/office/2007/relationships/slicerCache" Target="slicerCaches/slicerCache26.xml"/><Relationship Id="rId47" Type="http://schemas.microsoft.com/office/2011/relationships/timelineCache" Target="timelineCaches/timelineCache5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9" Type="http://schemas.microsoft.com/office/2007/relationships/slicerCache" Target="slicerCaches/slicerCache13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8.xml"/><Relationship Id="rId32" Type="http://schemas.microsoft.com/office/2007/relationships/slicerCache" Target="slicerCaches/slicerCache16.xml"/><Relationship Id="rId37" Type="http://schemas.microsoft.com/office/2007/relationships/slicerCache" Target="slicerCaches/slicerCache21.xml"/><Relationship Id="rId40" Type="http://schemas.microsoft.com/office/2007/relationships/slicerCache" Target="slicerCaches/slicerCache24.xml"/><Relationship Id="rId45" Type="http://schemas.microsoft.com/office/2011/relationships/timelineCache" Target="timelineCaches/timelineCache3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3.xml"/><Relationship Id="rId31" Type="http://schemas.microsoft.com/office/2007/relationships/slicerCache" Target="slicerCaches/slicerCache15.xml"/><Relationship Id="rId44" Type="http://schemas.microsoft.com/office/2011/relationships/timelineCache" Target="timelineCaches/timelineCache2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6.xml"/><Relationship Id="rId27" Type="http://schemas.microsoft.com/office/2007/relationships/slicerCache" Target="slicerCaches/slicerCache11.xml"/><Relationship Id="rId30" Type="http://schemas.microsoft.com/office/2007/relationships/slicerCache" Target="slicerCaches/slicerCache14.xml"/><Relationship Id="rId35" Type="http://schemas.microsoft.com/office/2007/relationships/slicerCache" Target="slicerCaches/slicerCache19.xml"/><Relationship Id="rId43" Type="http://schemas.microsoft.com/office/2011/relationships/timelineCache" Target="timelineCaches/timelineCache1.xml"/><Relationship Id="rId48" Type="http://schemas.microsoft.com/office/2011/relationships/timelineCache" Target="timelineCaches/timelineCache6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5" Type="http://schemas.microsoft.com/office/2007/relationships/slicerCache" Target="slicerCaches/slicerCache9.xml"/><Relationship Id="rId33" Type="http://schemas.microsoft.com/office/2007/relationships/slicerCache" Target="slicerCaches/slicerCache17.xml"/><Relationship Id="rId38" Type="http://schemas.microsoft.com/office/2007/relationships/slicerCache" Target="slicerCaches/slicerCache22.xml"/><Relationship Id="rId46" Type="http://schemas.microsoft.com/office/2011/relationships/timelineCache" Target="timelineCaches/timelineCache4.xml"/><Relationship Id="rId20" Type="http://schemas.microsoft.com/office/2007/relationships/slicerCache" Target="slicerCaches/slicerCache4.xml"/><Relationship Id="rId41" Type="http://schemas.microsoft.com/office/2007/relationships/slicerCache" Target="slicerCaches/slicerCache2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1.xml"/><Relationship Id="rId23" Type="http://schemas.microsoft.com/office/2007/relationships/slicerCache" Target="slicerCaches/slicerCache7.xml"/><Relationship Id="rId28" Type="http://schemas.microsoft.com/office/2007/relationships/slicerCache" Target="slicerCaches/slicerCache12.xml"/><Relationship Id="rId36" Type="http://schemas.microsoft.com/office/2007/relationships/slicerCache" Target="slicerCaches/slicerCache20.xml"/><Relationship Id="rId4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pt-BR" sz="1400" b="1" strike="noStrike" spc="-1">
                <a:solidFill>
                  <a:srgbClr val="595959"/>
                </a:solidFill>
                <a:latin typeface="Calibri"/>
              </a:rPr>
              <a:t>VALORES POR PERITO DE ADIANTAMENTO E SALDO RECEBER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ADIANTAMENTO</c:v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'Plan 2 OPÇÃO 2 casa 2'!$M$8:$M$12</c:f>
              <c:strCache>
                <c:ptCount val="5"/>
                <c:pt idx="0">
                  <c:v>CLÁUDIA SARMENTO GADELHA</c:v>
                </c:pt>
                <c:pt idx="1">
                  <c:v>Felipe Queiroga Gadelha</c:v>
                </c:pt>
                <c:pt idx="2">
                  <c:v>ANTÔNIO LEITE LOUREIRO NETO PERÍCIAS E CÁLCULOS JURÍDICOS EIRELI</c:v>
                </c:pt>
                <c:pt idx="3">
                  <c:v>ELDIMAN SOARES
DE ARAÚJO</c:v>
                </c:pt>
                <c:pt idx="4">
                  <c:v>SILVANIA CASSIA MAYER JERONIMO</c:v>
                </c:pt>
              </c:strCache>
            </c:strRef>
          </c:cat>
          <c:val>
            <c:numRef>
              <c:f>'Plan 2 OPÇÃO 2 casa 2'!$W$8:$W$12</c:f>
              <c:numCache>
                <c:formatCode>#,##0.00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BDE-41E5-8505-B94E2605B5A5}"/>
            </c:ext>
          </c:extLst>
        </c:ser>
        <c:ser>
          <c:idx val="1"/>
          <c:order val="1"/>
          <c:tx>
            <c:v>SALDO A RECEBER</c:v>
          </c:tx>
          <c:spPr>
            <a:solidFill>
              <a:srgbClr val="FFC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'Plan 2 OPÇÃO 2 casa 2'!$M$8:$M$12</c:f>
              <c:strCache>
                <c:ptCount val="5"/>
                <c:pt idx="0">
                  <c:v>CLÁUDIA SARMENTO GADELHA</c:v>
                </c:pt>
                <c:pt idx="1">
                  <c:v>Felipe Queiroga Gadelha</c:v>
                </c:pt>
                <c:pt idx="2">
                  <c:v>ANTÔNIO LEITE LOUREIRO NETO PERÍCIAS E CÁLCULOS JURÍDICOS EIRELI</c:v>
                </c:pt>
                <c:pt idx="3">
                  <c:v>ELDIMAN SOARES
DE ARAÚJO</c:v>
                </c:pt>
                <c:pt idx="4">
                  <c:v>SILVANIA CASSIA MAYER JERONIMO</c:v>
                </c:pt>
              </c:strCache>
            </c:strRef>
          </c:cat>
          <c:val>
            <c:numRef>
              <c:f>'Plan 2 OPÇÃO 2 casa 2'!$AA$8:$AA$12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1BDE-41E5-8505-B94E2605B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3716992"/>
        <c:axId val="233717552"/>
      </c:barChart>
      <c:catAx>
        <c:axId val="23371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233717552"/>
        <c:crosses val="autoZero"/>
        <c:auto val="1"/>
        <c:lblAlgn val="ctr"/>
        <c:lblOffset val="100"/>
        <c:noMultiLvlLbl val="1"/>
      </c:catAx>
      <c:valAx>
        <c:axId val="2337175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233716992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900" b="1" strike="noStrike" spc="-1">
              <a:solidFill>
                <a:srgbClr val="595959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pt-BR" sz="1200" b="1" strike="noStrike" spc="-1">
                <a:solidFill>
                  <a:srgbClr val="595959"/>
                </a:solidFill>
                <a:latin typeface="Calibri"/>
              </a:rPr>
              <a:t>VALORES POR PERITO DE ADIANTAMENTO E SALDO RECEBER
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ADIANTAMENTO</c:v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'Plan 2 OPÇÃO 2 casa 2'!$M$8:$M$12</c:f>
              <c:strCache>
                <c:ptCount val="5"/>
                <c:pt idx="0">
                  <c:v>CLÁUDIA SARMENTO GADELHA</c:v>
                </c:pt>
                <c:pt idx="1">
                  <c:v>Felipe Queiroga Gadelha</c:v>
                </c:pt>
                <c:pt idx="2">
                  <c:v>ANTÔNIO LEITE LOUREIRO NETO PERÍCIAS E CÁLCULOS JURÍDICOS EIRELI</c:v>
                </c:pt>
                <c:pt idx="3">
                  <c:v>ELDIMAN SOARES
DE ARAÚJO</c:v>
                </c:pt>
                <c:pt idx="4">
                  <c:v>SILVANIA CASSIA MAYER JERONIMO</c:v>
                </c:pt>
              </c:strCache>
            </c:strRef>
          </c:cat>
          <c:val>
            <c:numRef>
              <c:f>'Plan 2 OPÇÃO 2 casa 2'!$T$8:$T$12</c:f>
              <c:numCache>
                <c:formatCode>#,##0.00</c:formatCode>
                <c:ptCount val="5"/>
                <c:pt idx="0">
                  <c:v>370</c:v>
                </c:pt>
                <c:pt idx="1">
                  <c:v>300</c:v>
                </c:pt>
                <c:pt idx="2">
                  <c:v>370</c:v>
                </c:pt>
                <c:pt idx="3">
                  <c:v>370</c:v>
                </c:pt>
                <c:pt idx="4">
                  <c:v>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DE-43DA-8905-47E75E5DB214}"/>
            </c:ext>
          </c:extLst>
        </c:ser>
        <c:ser>
          <c:idx val="1"/>
          <c:order val="1"/>
          <c:tx>
            <c:v>SALDO A RECEBER</c:v>
          </c:tx>
          <c:spPr>
            <a:solidFill>
              <a:srgbClr val="FFC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'Plan 2 OPÇÃO 2 casa 2'!$M$8:$M$12</c:f>
              <c:strCache>
                <c:ptCount val="5"/>
                <c:pt idx="0">
                  <c:v>CLÁUDIA SARMENTO GADELHA</c:v>
                </c:pt>
                <c:pt idx="1">
                  <c:v>Felipe Queiroga Gadelha</c:v>
                </c:pt>
                <c:pt idx="2">
                  <c:v>ANTÔNIO LEITE LOUREIRO NETO PERÍCIAS E CÁLCULOS JURÍDICOS EIRELI</c:v>
                </c:pt>
                <c:pt idx="3">
                  <c:v>ELDIMAN SOARES
DE ARAÚJO</c:v>
                </c:pt>
                <c:pt idx="4">
                  <c:v>SILVANIA CASSIA MAYER JERONIMO</c:v>
                </c:pt>
              </c:strCache>
            </c:strRef>
          </c:cat>
          <c:val>
            <c:numRef>
              <c:f>'Plan 2 OPÇÃO 2 casa 2'!$AA$8:$AA$12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DE-43DA-8905-47E75E5DB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9929008"/>
        <c:axId val="279929568"/>
      </c:barChart>
      <c:catAx>
        <c:axId val="279929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279929568"/>
        <c:crosses val="autoZero"/>
        <c:auto val="1"/>
        <c:lblAlgn val="ctr"/>
        <c:lblOffset val="100"/>
        <c:noMultiLvlLbl val="1"/>
      </c:catAx>
      <c:valAx>
        <c:axId val="27992956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279929008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254061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VALORES RECEBIDOS POR PERITO NO ACUMULADO </a:t>
            </a:r>
          </a:p>
          <a:p>
            <a:pPr>
              <a:defRPr/>
            </a:pPr>
            <a:r>
              <a:rPr lang="pt-BR"/>
              <a:t>(DECCRESCENTE)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Planilha1!$F$2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Planilha1!$E$3:$E$60</c:f>
              <c:strCache>
                <c:ptCount val="58"/>
                <c:pt idx="0">
                  <c:v>CLÁUDIA SARMENTO GADELHA</c:v>
                </c:pt>
                <c:pt idx="1">
                  <c:v>FELIPE QUEIROGA GADELHA</c:v>
                </c:pt>
                <c:pt idx="2">
                  <c:v>ANTÔNIO LEITE LOUREIRO NETO PERÍCIAS E CÁLCULOS JURÍDICOS EIRELI</c:v>
                </c:pt>
                <c:pt idx="3">
                  <c:v>ELDIMAN SOARES
DE ARAÚJO</c:v>
                </c:pt>
                <c:pt idx="4">
                  <c:v>SILVANIA CASSIA MAYER JERONIMO</c:v>
                </c:pt>
                <c:pt idx="5">
                  <c:v>ANTÔNIO GABRIEL FEITOSA ROLIM</c:v>
                </c:pt>
                <c:pt idx="6">
                  <c:v>ALEXSANDRA DE ANDRADE CABRAL</c:v>
                </c:pt>
                <c:pt idx="7">
                  <c:v>MARTINHO FERNANDES SOUSA MOTA</c:v>
                </c:pt>
                <c:pt idx="8">
                  <c:v>ELDIMAN SOARES DE ARAÚJO</c:v>
                </c:pt>
                <c:pt idx="9">
                  <c:v>ABIK ENGENHARIA ECONSULTORIA LTDA</c:v>
                </c:pt>
                <c:pt idx="10">
                  <c:v>HIRAN DE MELO FILHO</c:v>
                </c:pt>
                <c:pt idx="11">
                  <c:v> ABIK ENGENHARIA E CONSULTORIA</c:v>
                </c:pt>
                <c:pt idx="12">
                  <c:v>EBRON GUEDES DE MELO</c:v>
                </c:pt>
                <c:pt idx="13">
                  <c:v>MAURIDETE GRANGEIRO DE BARROS </c:v>
                </c:pt>
                <c:pt idx="14">
                  <c:v>Werlley Targino de Araújo</c:v>
                </c:pt>
                <c:pt idx="15">
                  <c:v>JANAÍNA BEZERRA DE QUEIROZ</c:v>
                </c:pt>
                <c:pt idx="16">
                  <c:v>Rafael Alexandre
Fernandes dos Santos Queiroz</c:v>
                </c:pt>
                <c:pt idx="17">
                  <c:v>Valnice
de Moraes Rolim</c:v>
                </c:pt>
                <c:pt idx="18">
                  <c:v>Valéria Bezerra Cavalcanti Petrucci</c:v>
                </c:pt>
                <c:pt idx="19">
                  <c:v>HYGO DE ALMEIDA PORDEUS</c:v>
                </c:pt>
                <c:pt idx="20">
                  <c:v>Janio de Araújo Oliveira</c:v>
                </c:pt>
                <c:pt idx="21">
                  <c:v>Glória
Geane Oliveira Fernandes</c:v>
                </c:pt>
                <c:pt idx="22">
                  <c:v>Alexsandra de
Andrade Cabral</c:v>
                </c:pt>
                <c:pt idx="23">
                  <c:v>DJANETE SANTOS DO BÚ</c:v>
                </c:pt>
                <c:pt idx="24">
                  <c:v>Daniel dos Santos</c:v>
                </c:pt>
                <c:pt idx="25">
                  <c:v>Henrique José Henriques Arteiro</c:v>
                </c:pt>
                <c:pt idx="26">
                  <c:v>Isabel Amorim Leôncio</c:v>
                </c:pt>
                <c:pt idx="27">
                  <c:v>Adrineide Martins Pamplona de Sousa
</c:v>
                </c:pt>
                <c:pt idx="28">
                  <c:v> Diego da Fonseca Soares</c:v>
                </c:pt>
                <c:pt idx="29">
                  <c:v>Janaina Bezerra de Queiroz</c:v>
                </c:pt>
                <c:pt idx="30">
                  <c:v>Gustavo Henrique Valença de Melo</c:v>
                </c:pt>
                <c:pt idx="31">
                  <c:v>Jéssica de Queiroz Vieira</c:v>
                </c:pt>
                <c:pt idx="32">
                  <c:v>Adália de Sá Costa</c:v>
                </c:pt>
                <c:pt idx="33">
                  <c:v>NILSON SHIZUE SUASSUNA</c:v>
                </c:pt>
                <c:pt idx="34">
                  <c:v>MAURIDETE GRANGEIRO DE BARROS</c:v>
                </c:pt>
                <c:pt idx="35">
                  <c:v>Carlene Fulco da Silva</c:v>
                </c:pt>
                <c:pt idx="36">
                  <c:v>Manuel Caetano de Brito Neto</c:v>
                </c:pt>
                <c:pt idx="37">
                  <c:v>Diego da Fonseca Soares</c:v>
                </c:pt>
                <c:pt idx="38">
                  <c:v>Tiago Martins Formiga</c:v>
                </c:pt>
                <c:pt idx="39">
                  <c:v>Marcos Tiago de
Sousa Victor</c:v>
                </c:pt>
                <c:pt idx="40">
                  <c:v>Claudia Cristina Studart Leal</c:v>
                </c:pt>
                <c:pt idx="41">
                  <c:v>ANA ELIZABETH ARAÚJO LUNA</c:v>
                </c:pt>
                <c:pt idx="42">
                  <c:v> Marcos Tiago de Sousa Victor</c:v>
                </c:pt>
                <c:pt idx="43">
                  <c:v>José de Santana Filho</c:v>
                </c:pt>
                <c:pt idx="44">
                  <c:v>Iago Mangueira Leite</c:v>
                </c:pt>
                <c:pt idx="45">
                  <c:v>Marcos Vinicius Amorim Freitas</c:v>
                </c:pt>
                <c:pt idx="46">
                  <c:v>MARCOS TIAGO DE SOUSA
VICTOR</c:v>
                </c:pt>
                <c:pt idx="47">
                  <c:v>EBROM GUEDES DE MELO</c:v>
                </c:pt>
                <c:pt idx="48">
                  <c:v> Fábio Kenedy Almeida Trigueiro</c:v>
                </c:pt>
                <c:pt idx="49">
                  <c:v>ADAUTO DE ARAÚJO VICENTE</c:v>
                </c:pt>
                <c:pt idx="50">
                  <c:v>Paulo Roberto Mota</c:v>
                </c:pt>
                <c:pt idx="51">
                  <c:v>JANAINA
BEZERRA DE QUEIROZ</c:v>
                </c:pt>
                <c:pt idx="52">
                  <c:v>AMANDA DA SILVEIRA CANDEIA</c:v>
                </c:pt>
                <c:pt idx="53">
                  <c:v>Cícero da
Costa Cirne</c:v>
                </c:pt>
                <c:pt idx="54">
                  <c:v>Rennan Felipe Santos da Silva</c:v>
                </c:pt>
                <c:pt idx="55">
                  <c:v>Rafael Camelo de Andrade Trajano</c:v>
                </c:pt>
                <c:pt idx="56">
                  <c:v>Yves Conrado Prudencio</c:v>
                </c:pt>
                <c:pt idx="57">
                  <c:v>ALEXSANDRO DA SILVA FERNANDES</c:v>
                </c:pt>
              </c:strCache>
            </c:strRef>
          </c:cat>
          <c:val>
            <c:numRef>
              <c:f>Planilha1!$F$3:$F$60</c:f>
              <c:numCache>
                <c:formatCode>#,##0.00</c:formatCode>
                <c:ptCount val="58"/>
                <c:pt idx="0">
                  <c:v>370</c:v>
                </c:pt>
                <c:pt idx="1">
                  <c:v>5350</c:v>
                </c:pt>
                <c:pt idx="2">
                  <c:v>370</c:v>
                </c:pt>
                <c:pt idx="3">
                  <c:v>370</c:v>
                </c:pt>
                <c:pt idx="4">
                  <c:v>1200</c:v>
                </c:pt>
                <c:pt idx="5">
                  <c:v>900</c:v>
                </c:pt>
                <c:pt idx="6">
                  <c:v>370</c:v>
                </c:pt>
                <c:pt idx="7">
                  <c:v>300</c:v>
                </c:pt>
                <c:pt idx="8">
                  <c:v>1850</c:v>
                </c:pt>
                <c:pt idx="9">
                  <c:v>870</c:v>
                </c:pt>
                <c:pt idx="10">
                  <c:v>740</c:v>
                </c:pt>
                <c:pt idx="11">
                  <c:v>870</c:v>
                </c:pt>
                <c:pt idx="12">
                  <c:v>1500</c:v>
                </c:pt>
                <c:pt idx="13">
                  <c:v>6600</c:v>
                </c:pt>
                <c:pt idx="14">
                  <c:v>1850</c:v>
                </c:pt>
                <c:pt idx="15">
                  <c:v>750</c:v>
                </c:pt>
                <c:pt idx="16">
                  <c:v>200</c:v>
                </c:pt>
                <c:pt idx="17">
                  <c:v>300</c:v>
                </c:pt>
                <c:pt idx="18">
                  <c:v>200</c:v>
                </c:pt>
                <c:pt idx="19">
                  <c:v>700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442.93</c:v>
                </c:pt>
                <c:pt idx="24">
                  <c:v>954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370</c:v>
                </c:pt>
                <c:pt idx="29">
                  <c:v>1050</c:v>
                </c:pt>
                <c:pt idx="30">
                  <c:v>1164</c:v>
                </c:pt>
                <c:pt idx="31">
                  <c:v>880</c:v>
                </c:pt>
                <c:pt idx="32">
                  <c:v>622</c:v>
                </c:pt>
                <c:pt idx="33">
                  <c:v>1200</c:v>
                </c:pt>
                <c:pt idx="34">
                  <c:v>450</c:v>
                </c:pt>
                <c:pt idx="35">
                  <c:v>622</c:v>
                </c:pt>
                <c:pt idx="36">
                  <c:v>370</c:v>
                </c:pt>
                <c:pt idx="37">
                  <c:v>370</c:v>
                </c:pt>
                <c:pt idx="38">
                  <c:v>700</c:v>
                </c:pt>
                <c:pt idx="39">
                  <c:v>370</c:v>
                </c:pt>
                <c:pt idx="40">
                  <c:v>740</c:v>
                </c:pt>
                <c:pt idx="41">
                  <c:v>300</c:v>
                </c:pt>
                <c:pt idx="42">
                  <c:v>370</c:v>
                </c:pt>
                <c:pt idx="43">
                  <c:v>600</c:v>
                </c:pt>
                <c:pt idx="44">
                  <c:v>370</c:v>
                </c:pt>
                <c:pt idx="45">
                  <c:v>200</c:v>
                </c:pt>
                <c:pt idx="46">
                  <c:v>370</c:v>
                </c:pt>
                <c:pt idx="47">
                  <c:v>1500</c:v>
                </c:pt>
                <c:pt idx="48">
                  <c:v>870</c:v>
                </c:pt>
                <c:pt idx="49">
                  <c:v>4050</c:v>
                </c:pt>
                <c:pt idx="50">
                  <c:v>1480</c:v>
                </c:pt>
                <c:pt idx="51">
                  <c:v>300</c:v>
                </c:pt>
                <c:pt idx="52">
                  <c:v>1480</c:v>
                </c:pt>
                <c:pt idx="53">
                  <c:v>937</c:v>
                </c:pt>
                <c:pt idx="54">
                  <c:v>1500</c:v>
                </c:pt>
                <c:pt idx="55">
                  <c:v>1500</c:v>
                </c:pt>
                <c:pt idx="56">
                  <c:v>1110</c:v>
                </c:pt>
                <c:pt idx="57">
                  <c:v>240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2F6-4F16-9B77-D900A2904E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9932368"/>
        <c:axId val="279932928"/>
      </c:barChart>
      <c:catAx>
        <c:axId val="27993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9932928"/>
        <c:crosses val="autoZero"/>
        <c:auto val="1"/>
        <c:lblAlgn val="ctr"/>
        <c:lblOffset val="100"/>
        <c:noMultiLvlLbl val="0"/>
      </c:catAx>
      <c:valAx>
        <c:axId val="27993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993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pt-BR" sz="1400" b="1" strike="noStrike" spc="-1">
                <a:solidFill>
                  <a:srgbClr val="595959"/>
                </a:solidFill>
                <a:latin typeface="Calibri"/>
              </a:rPr>
              <a:t>VALORES POR PERITO DE ADIANTAMENTO E SALDO RECEBER
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9768923222877"/>
          <c:y val="0.23321910905059501"/>
          <c:w val="0.83960154502947704"/>
          <c:h val="0.38973997177988301"/>
        </c:manualLayout>
      </c:layout>
      <c:barChart>
        <c:barDir val="col"/>
        <c:grouping val="clustered"/>
        <c:varyColors val="0"/>
        <c:ser>
          <c:idx val="0"/>
          <c:order val="0"/>
          <c:tx>
            <c:v>ADIANTAMENTO</c:v>
          </c:tx>
          <c:spPr>
            <a:solidFill>
              <a:srgbClr val="4F81BD"/>
            </a:solidFill>
            <a:ln>
              <a:solidFill>
                <a:srgbClr val="10243E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'Plan 1 OPÇÃO 1 casa 1'!$M$8:$M$12</c:f>
              <c:strCache>
                <c:ptCount val="5"/>
                <c:pt idx="0">
                  <c:v> FELIPE QUEIROGA GADELHA</c:v>
                </c:pt>
                <c:pt idx="1">
                  <c:v>FELIPE QUEIROGA GADELHA</c:v>
                </c:pt>
                <c:pt idx="2">
                  <c:v>ANDRE CRISTIANO DA COSTA LIMA</c:v>
                </c:pt>
                <c:pt idx="3">
                  <c:v> FELIPE QUEIROGA GADELHA</c:v>
                </c:pt>
                <c:pt idx="4">
                  <c:v>LUCIANO JOSE LIRA MENDES</c:v>
                </c:pt>
              </c:strCache>
            </c:strRef>
          </c:cat>
          <c:val>
            <c:numRef>
              <c:f>'Plan 1 OPÇÃO 1 casa 1'!$W$8:$W$12</c:f>
              <c:numCache>
                <c:formatCode>#,##0.00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364-4BF8-9958-A12FA78D0743}"/>
            </c:ext>
          </c:extLst>
        </c:ser>
        <c:ser>
          <c:idx val="1"/>
          <c:order val="1"/>
          <c:tx>
            <c:v>SALDO A RECEBER</c:v>
          </c:tx>
          <c:spPr>
            <a:solidFill>
              <a:srgbClr val="FFC000"/>
            </a:solidFill>
            <a:ln>
              <a:solidFill>
                <a:srgbClr val="10243E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'Plan 1 OPÇÃO 1 casa 1'!$M$8:$M$12</c:f>
              <c:strCache>
                <c:ptCount val="5"/>
                <c:pt idx="0">
                  <c:v> FELIPE QUEIROGA GADELHA</c:v>
                </c:pt>
                <c:pt idx="1">
                  <c:v>FELIPE QUEIROGA GADELHA</c:v>
                </c:pt>
                <c:pt idx="2">
                  <c:v>ANDRE CRISTIANO DA COSTA LIMA</c:v>
                </c:pt>
                <c:pt idx="3">
                  <c:v> FELIPE QUEIROGA GADELHA</c:v>
                </c:pt>
                <c:pt idx="4">
                  <c:v>LUCIANO JOSE LIRA MENDES</c:v>
                </c:pt>
              </c:strCache>
            </c:strRef>
          </c:cat>
          <c:val>
            <c:numRef>
              <c:f>'Plan 1 OPÇÃO 1 casa 1'!$AA$8:$AA$12</c:f>
              <c:numCache>
                <c:formatCode>#,##0.00</c:formatCode>
                <c:ptCount val="5"/>
                <c:pt idx="0">
                  <c:v>370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F364-4BF8-9958-A12FA78D0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0227936"/>
        <c:axId val="280228496"/>
      </c:barChart>
      <c:catAx>
        <c:axId val="28022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280228496"/>
        <c:crosses val="autoZero"/>
        <c:auto val="1"/>
        <c:lblAlgn val="ctr"/>
        <c:lblOffset val="100"/>
        <c:noMultiLvlLbl val="1"/>
      </c:catAx>
      <c:valAx>
        <c:axId val="28022849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280227936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10243E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title>
      <c:tx>
        <c:rich>
          <a:bodyPr rot="0"/>
          <a:lstStyle/>
          <a:p>
            <a:pPr>
              <a:defRPr sz="1400" b="1" strike="noStrike" spc="18">
                <a:solidFill>
                  <a:srgbClr val="808080"/>
                </a:solidFill>
                <a:latin typeface="Calibri"/>
              </a:defRPr>
            </a:pPr>
            <a:r>
              <a:rPr lang="pt-BR" sz="1400" b="1" strike="noStrike" spc="18">
                <a:solidFill>
                  <a:srgbClr val="808080"/>
                </a:solidFill>
                <a:latin typeface="Calibri"/>
              </a:rPr>
              <a:t>VALORES POR PERITO DE ADIANTAMENTO E SALDO RECEBER
</a:t>
            </a:r>
          </a:p>
        </c:rich>
      </c:tx>
      <c:layout>
        <c:manualLayout>
          <c:xMode val="edge"/>
          <c:yMode val="edge"/>
          <c:x val="0.123351229535362"/>
          <c:y val="1.97356172035003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ADIANTAMENTO</c:v>
          </c:tx>
          <c:spPr>
            <a:solidFill>
              <a:srgbClr val="0070C0"/>
            </a:solidFill>
            <a:ln w="9360">
              <a:solidFill>
                <a:srgbClr val="10243E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'Plan 1 OPÇÃO 1 casa 1'!$M$8:$M$12</c:f>
              <c:strCache>
                <c:ptCount val="5"/>
                <c:pt idx="0">
                  <c:v> FELIPE QUEIROGA GADELHA</c:v>
                </c:pt>
                <c:pt idx="1">
                  <c:v>FELIPE QUEIROGA GADELHA</c:v>
                </c:pt>
                <c:pt idx="2">
                  <c:v>ANDRE CRISTIANO DA COSTA LIMA</c:v>
                </c:pt>
                <c:pt idx="3">
                  <c:v> FELIPE QUEIROGA GADELHA</c:v>
                </c:pt>
                <c:pt idx="4">
                  <c:v>LUCIANO JOSE LIRA MENDES</c:v>
                </c:pt>
              </c:strCache>
            </c:strRef>
          </c:cat>
          <c:val>
            <c:numRef>
              <c:f>'Plan 1 OPÇÃO 1 casa 1'!$W$8:$W$12</c:f>
              <c:numCache>
                <c:formatCode>#,##0.00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EDC-4332-8DD6-63586B9C1021}"/>
            </c:ext>
          </c:extLst>
        </c:ser>
        <c:ser>
          <c:idx val="1"/>
          <c:order val="1"/>
          <c:tx>
            <c:v>SALDO A RECEBER</c:v>
          </c:tx>
          <c:spPr>
            <a:solidFill>
              <a:srgbClr val="FFC000"/>
            </a:solidFill>
            <a:ln w="9360">
              <a:solidFill>
                <a:srgbClr val="BB4E4B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'Plan 1 OPÇÃO 1 casa 1'!$M$8:$M$12</c:f>
              <c:strCache>
                <c:ptCount val="5"/>
                <c:pt idx="0">
                  <c:v> FELIPE QUEIROGA GADELHA</c:v>
                </c:pt>
                <c:pt idx="1">
                  <c:v>FELIPE QUEIROGA GADELHA</c:v>
                </c:pt>
                <c:pt idx="2">
                  <c:v>ANDRE CRISTIANO DA COSTA LIMA</c:v>
                </c:pt>
                <c:pt idx="3">
                  <c:v> FELIPE QUEIROGA GADELHA</c:v>
                </c:pt>
                <c:pt idx="4">
                  <c:v>LUCIANO JOSE LIRA MENDES</c:v>
                </c:pt>
              </c:strCache>
            </c:strRef>
          </c:cat>
          <c:val>
            <c:numRef>
              <c:f>'Plan 1 OPÇÃO 1 casa 1'!$AA$8:$AA$12</c:f>
              <c:numCache>
                <c:formatCode>#,##0.00</c:formatCode>
                <c:ptCount val="5"/>
                <c:pt idx="0">
                  <c:v>370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EDC-4332-8DD6-63586B9C1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0231856"/>
        <c:axId val="280232416"/>
      </c:barChart>
      <c:catAx>
        <c:axId val="280231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808080"/>
                </a:solidFill>
                <a:latin typeface="Calibri"/>
              </a:defRPr>
            </a:pPr>
            <a:endParaRPr lang="pt-BR"/>
          </a:p>
        </c:txPr>
        <c:crossAx val="280232416"/>
        <c:crosses val="autoZero"/>
        <c:auto val="1"/>
        <c:lblAlgn val="ctr"/>
        <c:lblOffset val="100"/>
        <c:noMultiLvlLbl val="1"/>
      </c:catAx>
      <c:valAx>
        <c:axId val="28023241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808080"/>
                </a:solidFill>
                <a:latin typeface="Calibri"/>
              </a:defRPr>
            </a:pPr>
            <a:endParaRPr lang="pt-BR"/>
          </a:p>
        </c:txPr>
        <c:crossAx val="280231856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10243E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[Estatistica Peritos- (Gráficos) 2021 --- C---.xlsx]Geral!Tabela dinâmica5</c:name>
    <c:fmtId val="0"/>
  </c:pivotSource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Geral!$B$3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Geral!$A$4:$A$35</c:f>
              <c:strCache>
                <c:ptCount val="31"/>
                <c:pt idx="0">
                  <c:v>Comarca de Bananeiras</c:v>
                </c:pt>
                <c:pt idx="1">
                  <c:v>Comarca de Bayeux</c:v>
                </c:pt>
                <c:pt idx="2">
                  <c:v>Comarca de Belém</c:v>
                </c:pt>
                <c:pt idx="3">
                  <c:v>Comarca de Cabedelo</c:v>
                </c:pt>
                <c:pt idx="4">
                  <c:v>Comarca de Cajazeiras</c:v>
                </c:pt>
                <c:pt idx="5">
                  <c:v>Comarca de Campina Grande</c:v>
                </c:pt>
                <c:pt idx="6">
                  <c:v>Comarca de Guarabira</c:v>
                </c:pt>
                <c:pt idx="7">
                  <c:v>Comarca de Ingá</c:v>
                </c:pt>
                <c:pt idx="8">
                  <c:v>Comarca de Itaporanga</c:v>
                </c:pt>
                <c:pt idx="9">
                  <c:v>Comarca de João Pessoa</c:v>
                </c:pt>
                <c:pt idx="10">
                  <c:v>Comarca de Patos</c:v>
                </c:pt>
                <c:pt idx="11">
                  <c:v>Comarca de Piancó</c:v>
                </c:pt>
                <c:pt idx="12">
                  <c:v>Comarca de Pocinhos</c:v>
                </c:pt>
                <c:pt idx="13">
                  <c:v>Comarca de Pombal</c:v>
                </c:pt>
                <c:pt idx="14">
                  <c:v>Comarca de Queimadas</c:v>
                </c:pt>
                <c:pt idx="15">
                  <c:v>Comarca de São Bento</c:v>
                </c:pt>
                <c:pt idx="16">
                  <c:v>Comarca de São José de Piranhas</c:v>
                </c:pt>
                <c:pt idx="17">
                  <c:v>Comarca de Serra Branca</c:v>
                </c:pt>
                <c:pt idx="18">
                  <c:v>Comarca de Sousa</c:v>
                </c:pt>
                <c:pt idx="19">
                  <c:v>Comarca de Sumé</c:v>
                </c:pt>
                <c:pt idx="20">
                  <c:v>Comarca de Santa Rita</c:v>
                </c:pt>
                <c:pt idx="21">
                  <c:v>Comarca de Alagoa Nova</c:v>
                </c:pt>
                <c:pt idx="22">
                  <c:v>Comarca de Santa Luzia</c:v>
                </c:pt>
                <c:pt idx="23">
                  <c:v>Comarca de Catolé do Rocha</c:v>
                </c:pt>
                <c:pt idx="24">
                  <c:v>Comarca de Mamanguape</c:v>
                </c:pt>
                <c:pt idx="25">
                  <c:v>Comarca de Esperança</c:v>
                </c:pt>
                <c:pt idx="26">
                  <c:v>Comarca de Pedras de Fogo</c:v>
                </c:pt>
                <c:pt idx="27">
                  <c:v>Comarca de Pirpirituba</c:v>
                </c:pt>
                <c:pt idx="28">
                  <c:v>Comarca de Alagoa Grande</c:v>
                </c:pt>
                <c:pt idx="29">
                  <c:v>Comarca de Coremas</c:v>
                </c:pt>
                <c:pt idx="30">
                  <c:v> </c:v>
                </c:pt>
              </c:strCache>
            </c:strRef>
          </c:cat>
          <c:val>
            <c:numRef>
              <c:f>Geral!$B$4:$B$35</c:f>
              <c:numCache>
                <c:formatCode>_-[$R$-416]\ * #,##0.00_-;\-[$R$-416]\ * #,##0.00_-;_-[$R$-416]\ * "-"??_-;_-@_-</c:formatCode>
                <c:ptCount val="31"/>
                <c:pt idx="0">
                  <c:v>370</c:v>
                </c:pt>
                <c:pt idx="1">
                  <c:v>12334</c:v>
                </c:pt>
                <c:pt idx="2">
                  <c:v>4560</c:v>
                </c:pt>
                <c:pt idx="3">
                  <c:v>18219.87</c:v>
                </c:pt>
                <c:pt idx="4">
                  <c:v>1251.24</c:v>
                </c:pt>
                <c:pt idx="5">
                  <c:v>70913.14</c:v>
                </c:pt>
                <c:pt idx="6">
                  <c:v>34880</c:v>
                </c:pt>
                <c:pt idx="7">
                  <c:v>200</c:v>
                </c:pt>
                <c:pt idx="8">
                  <c:v>1000</c:v>
                </c:pt>
                <c:pt idx="9">
                  <c:v>59245.42</c:v>
                </c:pt>
                <c:pt idx="10">
                  <c:v>22860</c:v>
                </c:pt>
                <c:pt idx="11">
                  <c:v>4160</c:v>
                </c:pt>
                <c:pt idx="12">
                  <c:v>4000</c:v>
                </c:pt>
                <c:pt idx="13">
                  <c:v>11890</c:v>
                </c:pt>
                <c:pt idx="14">
                  <c:v>2220</c:v>
                </c:pt>
                <c:pt idx="15">
                  <c:v>12080</c:v>
                </c:pt>
                <c:pt idx="16">
                  <c:v>13690</c:v>
                </c:pt>
                <c:pt idx="17">
                  <c:v>300</c:v>
                </c:pt>
                <c:pt idx="18">
                  <c:v>59414.78</c:v>
                </c:pt>
                <c:pt idx="19">
                  <c:v>2100</c:v>
                </c:pt>
                <c:pt idx="20">
                  <c:v>300</c:v>
                </c:pt>
                <c:pt idx="21">
                  <c:v>6190</c:v>
                </c:pt>
                <c:pt idx="22">
                  <c:v>1240</c:v>
                </c:pt>
                <c:pt idx="23">
                  <c:v>2610</c:v>
                </c:pt>
                <c:pt idx="24">
                  <c:v>5850</c:v>
                </c:pt>
                <c:pt idx="25">
                  <c:v>200</c:v>
                </c:pt>
                <c:pt idx="26">
                  <c:v>4620</c:v>
                </c:pt>
                <c:pt idx="27">
                  <c:v>370</c:v>
                </c:pt>
                <c:pt idx="28">
                  <c:v>2000</c:v>
                </c:pt>
                <c:pt idx="29">
                  <c:v>370</c:v>
                </c:pt>
                <c:pt idx="30">
                  <c:v>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25E-4EF6-88D9-0A748017F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282970400"/>
        <c:axId val="282970960"/>
        <c:axId val="0"/>
      </c:bar3DChart>
      <c:catAx>
        <c:axId val="28297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2970960"/>
        <c:crosses val="autoZero"/>
        <c:auto val="1"/>
        <c:lblAlgn val="ctr"/>
        <c:lblOffset val="100"/>
        <c:noMultiLvlLbl val="0"/>
      </c:catAx>
      <c:valAx>
        <c:axId val="2829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297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[Estatistica Peritos- (Gráficos) 2021 --- C---.xlsx]Comarcas!Tabela dinâmica2</c:name>
    <c:fmtId val="0"/>
  </c:pivotSource>
  <c:chart>
    <c:autoTitleDeleted val="1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1825393415605326E-2"/>
          <c:y val="9.2745017955539841E-2"/>
          <c:w val="0.72511518480265202"/>
          <c:h val="0.86243785800053741"/>
        </c:manualLayout>
      </c:layout>
      <c:pieChart>
        <c:varyColors val="1"/>
        <c:ser>
          <c:idx val="0"/>
          <c:order val="0"/>
          <c:tx>
            <c:strRef>
              <c:f>Comarcas!$B$2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FFD-4775-BA81-93FA45F24018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FFD-4775-BA81-93FA45F24018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7FFD-4775-BA81-93FA45F24018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7FFD-4775-BA81-93FA45F24018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7FFD-4775-BA81-93FA45F24018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7FFD-4775-BA81-93FA45F24018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7FFD-4775-BA81-93FA45F24018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7FFD-4775-BA81-93FA45F24018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7FFD-4775-BA81-93FA45F24018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7FFD-4775-BA81-93FA45F24018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7EA6-407D-AACF-9630767430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Comarcas!$A$3:$A$13</c:f>
              <c:strCache>
                <c:ptCount val="10"/>
                <c:pt idx="0">
                  <c:v>Comarca de Bayeux</c:v>
                </c:pt>
                <c:pt idx="1">
                  <c:v>Comarca de Cabedelo</c:v>
                </c:pt>
                <c:pt idx="2">
                  <c:v>Comarca de Campina Grande</c:v>
                </c:pt>
                <c:pt idx="3">
                  <c:v>Comarca de Guarabira</c:v>
                </c:pt>
                <c:pt idx="4">
                  <c:v>Comarca de João Pessoa</c:v>
                </c:pt>
                <c:pt idx="5">
                  <c:v>Comarca de Patos</c:v>
                </c:pt>
                <c:pt idx="6">
                  <c:v>Comarca de Pombal</c:v>
                </c:pt>
                <c:pt idx="7">
                  <c:v>Comarca de São Bento</c:v>
                </c:pt>
                <c:pt idx="8">
                  <c:v>Comarca de São José de Piranhas</c:v>
                </c:pt>
                <c:pt idx="9">
                  <c:v>Comarca de Sousa</c:v>
                </c:pt>
              </c:strCache>
            </c:strRef>
          </c:cat>
          <c:val>
            <c:numRef>
              <c:f>Comarcas!$B$3:$B$13</c:f>
              <c:numCache>
                <c:formatCode>_-[$R$-416]\ * #,##0.00_-;\-[$R$-416]\ * #,##0.00_-;_-[$R$-416]\ * "-"??_-;_-@_-</c:formatCode>
                <c:ptCount val="10"/>
                <c:pt idx="0">
                  <c:v>12334</c:v>
                </c:pt>
                <c:pt idx="1">
                  <c:v>18219.87</c:v>
                </c:pt>
                <c:pt idx="2">
                  <c:v>74293.14</c:v>
                </c:pt>
                <c:pt idx="3">
                  <c:v>34880</c:v>
                </c:pt>
                <c:pt idx="4">
                  <c:v>61395.42</c:v>
                </c:pt>
                <c:pt idx="5">
                  <c:v>22860</c:v>
                </c:pt>
                <c:pt idx="6">
                  <c:v>11890</c:v>
                </c:pt>
                <c:pt idx="7">
                  <c:v>12080</c:v>
                </c:pt>
                <c:pt idx="8">
                  <c:v>13690</c:v>
                </c:pt>
                <c:pt idx="9">
                  <c:v>59414.78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DFF-4F94-BEA2-08B71FE286B2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09088315665492"/>
          <c:y val="0.32083035870571458"/>
          <c:w val="0.2371864083885751"/>
          <c:h val="0.51010215128290226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[Estatistica Peritos- (Gráficos) 2021 --- C---.xlsx]Varas!Tabela dinâmica1</c:name>
    <c:fmtId val="0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"/>
          <c:y val="8.9203049970247555E-2"/>
          <c:w val="0.6992313117869875"/>
          <c:h val="0.78124111463219992"/>
        </c:manualLayout>
      </c:layout>
      <c:pieChart>
        <c:varyColors val="1"/>
        <c:ser>
          <c:idx val="0"/>
          <c:order val="0"/>
          <c:tx>
            <c:strRef>
              <c:f>Varas!$B$2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B15-4A5C-B9BF-20BE5BF7D92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B15-4A5C-B9BF-20BE5BF7D920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B15-4A5C-B9BF-20BE5BF7D920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B15-4A5C-B9BF-20BE5BF7D920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DB15-4A5C-B9BF-20BE5BF7D920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DB15-4A5C-B9BF-20BE5BF7D920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DB15-4A5C-B9BF-20BE5BF7D920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DB15-4A5C-B9BF-20BE5BF7D920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DB15-4A5C-B9BF-20BE5BF7D920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DB15-4A5C-B9BF-20BE5BF7D9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Varas!$A$3:$A$13</c:f>
              <c:strCache>
                <c:ptCount val="10"/>
                <c:pt idx="0">
                  <c:v>2ª Vara de Cabedelo</c:v>
                </c:pt>
                <c:pt idx="1">
                  <c:v>3ª Vara de Família de Campina Grande</c:v>
                </c:pt>
                <c:pt idx="2">
                  <c:v>4ª Vara de Guarabira</c:v>
                </c:pt>
                <c:pt idx="3">
                  <c:v>4ª Vara de Sousa</c:v>
                </c:pt>
                <c:pt idx="4">
                  <c:v>5ª Vara de Guarabira</c:v>
                </c:pt>
                <c:pt idx="5">
                  <c:v>5ª Vara de Patos</c:v>
                </c:pt>
                <c:pt idx="6">
                  <c:v>5ª Vara de Sousa</c:v>
                </c:pt>
                <c:pt idx="7">
                  <c:v>8ª Vara Cível de João Pessoa</c:v>
                </c:pt>
                <c:pt idx="8">
                  <c:v>Vara única de São Bento</c:v>
                </c:pt>
                <c:pt idx="9">
                  <c:v>Vara única de São José de Piranhas</c:v>
                </c:pt>
              </c:strCache>
            </c:strRef>
          </c:cat>
          <c:val>
            <c:numRef>
              <c:f>Varas!$B$3:$B$13</c:f>
              <c:numCache>
                <c:formatCode>_-[$R$-416]\ * #,##0.00_-;\-[$R$-416]\ * #,##0.00_-;_-[$R$-416]\ * "-"??_-;_-@_-</c:formatCode>
                <c:ptCount val="10"/>
                <c:pt idx="0">
                  <c:v>14235.869999999999</c:v>
                </c:pt>
                <c:pt idx="1">
                  <c:v>13844</c:v>
                </c:pt>
                <c:pt idx="2">
                  <c:v>21570</c:v>
                </c:pt>
                <c:pt idx="3">
                  <c:v>37780.78</c:v>
                </c:pt>
                <c:pt idx="4">
                  <c:v>13310</c:v>
                </c:pt>
                <c:pt idx="5">
                  <c:v>21680</c:v>
                </c:pt>
                <c:pt idx="6">
                  <c:v>17134</c:v>
                </c:pt>
                <c:pt idx="7">
                  <c:v>19160</c:v>
                </c:pt>
                <c:pt idx="8">
                  <c:v>12080</c:v>
                </c:pt>
                <c:pt idx="9">
                  <c:v>13690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7A-403C-A603-2BAE065B14AC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947680504727583"/>
          <c:y val="0.18101656449358594"/>
          <c:w val="0.30052319495272412"/>
          <c:h val="0.54137525427950683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[Estatistica Peritos- (Gráficos) 2021 --- C---.xlsx]Peritos!Tabela dinâmica1</c:name>
    <c:fmtId val="0"/>
  </c:pivotSource>
  <c:chart>
    <c:autoTitleDeleted val="1"/>
    <c:pivotFmts>
      <c:pivotFmt>
        <c:idx val="0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gradFill>
            <a:gsLst>
              <a:gs pos="100000">
                <a:schemeClr val="accent5">
                  <a:lumMod val="60000"/>
                  <a:lumOff val="40000"/>
                </a:schemeClr>
              </a:gs>
              <a:gs pos="0">
                <a:schemeClr val="accent5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3034079083133757E-2"/>
          <c:y val="0.24117274393242533"/>
          <c:w val="0.5989193162520926"/>
          <c:h val="0.71870308845650144"/>
        </c:manualLayout>
      </c:layout>
      <c:pieChart>
        <c:varyColors val="1"/>
        <c:ser>
          <c:idx val="0"/>
          <c:order val="0"/>
          <c:tx>
            <c:strRef>
              <c:f>Peritos!$B$2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0F6-4776-8416-7672B9596481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0F6-4776-8416-7672B9596481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0F6-4776-8416-7672B9596481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0F6-4776-8416-7672B9596481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0F6-4776-8416-7672B9596481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0F6-4776-8416-7672B9596481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0F6-4776-8416-7672B9596481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50F6-4776-8416-7672B9596481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50F6-4776-8416-7672B9596481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50F6-4776-8416-7672B9596481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50F6-4776-8416-7672B95964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Peritos!$A$3:$A$4</c:f>
              <c:strCache>
                <c:ptCount val="1"/>
                <c:pt idx="0">
                  <c:v>Antônio Leite Loureiro Neto</c:v>
                </c:pt>
              </c:strCache>
            </c:strRef>
          </c:cat>
          <c:val>
            <c:numRef>
              <c:f>Peritos!$B$3:$B$4</c:f>
              <c:numCache>
                <c:formatCode>_-[$R$-416]\ * #,##0.00_-;\-[$R$-416]\ * #,##0.00_-;_-[$R$-416]\ * "-"??_-;_-@_-</c:formatCode>
                <c:ptCount val="1"/>
                <c:pt idx="0">
                  <c:v>370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8A-487C-B454-ED0D91727796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124516632895626"/>
          <c:y val="0.46949649769122592"/>
          <c:w val="0.30233548268672694"/>
          <c:h val="0.1165122172385932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[Estatistica Peritos- (Gráficos) 2021 --- C---.xlsx]Especialidades!Tabela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Especialidades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6">
                  <a:lumMod val="8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lumMod val="8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8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Especialidades!$B$2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08D-4B31-88EA-0634E468B8C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08D-4B31-88EA-0634E468B8C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708D-4B31-88EA-0634E468B8C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708D-4B31-88EA-0634E468B8C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708D-4B31-88EA-0634E468B8C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708D-4B31-88EA-0634E468B8C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708D-4B31-88EA-0634E468B8C9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708D-4B31-88EA-0634E468B8C9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81DC-45B3-B8E2-F6D5159B32B2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1C8F-4C7C-A814-817D6BB695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Especialidades!$A$3:$A$12</c:f>
              <c:strCache>
                <c:ptCount val="9"/>
                <c:pt idx="0">
                  <c:v>CIÊNCIAS CONTÁBEIS</c:v>
                </c:pt>
                <c:pt idx="1">
                  <c:v>DIREITO</c:v>
                </c:pt>
                <c:pt idx="2">
                  <c:v>ENGENHARIA E ARQUITETURA</c:v>
                </c:pt>
                <c:pt idx="3">
                  <c:v>GRAFOSCOPIA</c:v>
                </c:pt>
                <c:pt idx="4">
                  <c:v>MEDICINA / ODONTOLOGIA</c:v>
                </c:pt>
                <c:pt idx="5">
                  <c:v>PSICOLOGIA</c:v>
                </c:pt>
                <c:pt idx="6">
                  <c:v>SERVIÇO SOCIAL</c:v>
                </c:pt>
                <c:pt idx="7">
                  <c:v>OUTRAS</c:v>
                </c:pt>
                <c:pt idx="8">
                  <c:v>(vazio)</c:v>
                </c:pt>
              </c:strCache>
            </c:strRef>
          </c:cat>
          <c:val>
            <c:numRef>
              <c:f>Especialidades!$B$3:$B$12</c:f>
              <c:numCache>
                <c:formatCode>_-[$R$-416]\ * #,##0.00_-;\-[$R$-416]\ * #,##0.00_-;_-[$R$-416]\ * "-"??_-;_-@_-</c:formatCode>
                <c:ptCount val="9"/>
                <c:pt idx="0">
                  <c:v>31782.079999999998</c:v>
                </c:pt>
                <c:pt idx="1">
                  <c:v>370</c:v>
                </c:pt>
                <c:pt idx="2">
                  <c:v>164370.28</c:v>
                </c:pt>
                <c:pt idx="3">
                  <c:v>71442</c:v>
                </c:pt>
                <c:pt idx="4">
                  <c:v>66307.239999999991</c:v>
                </c:pt>
                <c:pt idx="5">
                  <c:v>7500</c:v>
                </c:pt>
                <c:pt idx="6">
                  <c:v>29308.639999999999</c:v>
                </c:pt>
                <c:pt idx="7">
                  <c:v>1138.21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F0-4A62-B2C3-D54B28FDAF20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92610767846649"/>
          <c:y val="0.3777524820267032"/>
          <c:w val="0.20274244756232668"/>
          <c:h val="0.361184716040929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[Estatistica Peritos- (Gráficos) 2021 --- C---.xlsx]Rel. Val-Com - C!Tabela dinâmica2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404914291076388"/>
          <c:y val="0.13169728192798413"/>
          <c:w val="0.55857479117927034"/>
          <c:h val="0.83707586515467514"/>
        </c:manualLayout>
      </c:layout>
      <c:pieChart>
        <c:varyColors val="1"/>
        <c:ser>
          <c:idx val="0"/>
          <c:order val="0"/>
          <c:tx>
            <c:strRef>
              <c:f>'Rel. Val-Com - C'!$B$3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A01-4509-AD94-5711B67F7C05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A01-4509-AD94-5711B67F7C0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A01-4509-AD94-5711B67F7C05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A01-4509-AD94-5711B67F7C05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3A01-4509-AD94-5711B67F7C05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3A01-4509-AD94-5711B67F7C05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3A01-4509-AD94-5711B67F7C05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3A01-4509-AD94-5711B67F7C05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3A01-4509-AD94-5711B67F7C05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3A01-4509-AD94-5711B67F7C05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3A01-4509-AD94-5711B67F7C05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3A01-4509-AD94-5711B67F7C05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3A01-4509-AD94-5711B67F7C05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3A01-4509-AD94-5711B67F7C05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3A01-4509-AD94-5711B67F7C05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3A01-4509-AD94-5711B67F7C05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3A01-4509-AD94-5711B67F7C05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3A01-4509-AD94-5711B67F7C05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3A01-4509-AD94-5711B67F7C05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3A01-4509-AD94-5711B67F7C05}"/>
              </c:ext>
            </c:extLst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9-DA2F-4E85-9AC2-AEC0FE057B68}"/>
              </c:ext>
            </c:extLst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B-7F5D-448E-A5D8-7EE7576E7B88}"/>
              </c:ext>
            </c:extLst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D-6B1D-4159-A686-F2F3E0B4225E}"/>
              </c:ext>
            </c:extLst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F-6B1D-4159-A686-F2F3E0B4225E}"/>
              </c:ext>
            </c:extLst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1-6B1D-4159-A686-F2F3E0B4225E}"/>
              </c:ext>
            </c:extLst>
          </c:dPt>
          <c:dPt>
            <c:idx val="2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EA47-4B7D-A679-3FFF23949DAF}"/>
              </c:ext>
            </c:extLst>
          </c:dPt>
          <c:dPt>
            <c:idx val="2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EEF5-404F-ADF5-A3A848BF565B}"/>
              </c:ext>
            </c:extLst>
          </c:dPt>
          <c:dPt>
            <c:idx val="2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EEF5-404F-ADF5-A3A848BF565B}"/>
              </c:ext>
            </c:extLst>
          </c:dPt>
          <c:dPt>
            <c:idx val="2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EEF5-404F-ADF5-A3A848BF565B}"/>
              </c:ext>
            </c:extLst>
          </c:dPt>
          <c:dPt>
            <c:idx val="2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EEF5-404F-ADF5-A3A848BF565B}"/>
              </c:ext>
            </c:extLst>
          </c:dPt>
          <c:dPt>
            <c:idx val="30"/>
            <c:bubble3D val="0"/>
            <c:spPr>
              <a:gradFill>
                <a:gsLst>
                  <a:gs pos="100000">
                    <a:schemeClr val="accent1">
                      <a:lumMod val="50000"/>
                      <a:lumMod val="60000"/>
                      <a:lumOff val="40000"/>
                    </a:schemeClr>
                  </a:gs>
                  <a:gs pos="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EEF5-404F-ADF5-A3A848BF565B}"/>
              </c:ext>
            </c:extLst>
          </c:dPt>
          <c:dPt>
            <c:idx val="31"/>
            <c:bubble3D val="0"/>
            <c:spPr>
              <a:gradFill>
                <a:gsLst>
                  <a:gs pos="100000">
                    <a:schemeClr val="accent2">
                      <a:lumMod val="50000"/>
                      <a:lumMod val="60000"/>
                      <a:lumOff val="40000"/>
                    </a:schemeClr>
                  </a:gs>
                  <a:gs pos="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03DD-4167-9F20-0634CDB67DE2}"/>
              </c:ext>
            </c:extLst>
          </c:dPt>
          <c:dPt>
            <c:idx val="32"/>
            <c:bubble3D val="0"/>
            <c:spPr>
              <a:gradFill>
                <a:gsLst>
                  <a:gs pos="100000">
                    <a:schemeClr val="accent3">
                      <a:lumMod val="50000"/>
                      <a:lumMod val="60000"/>
                      <a:lumOff val="40000"/>
                    </a:schemeClr>
                  </a:gs>
                  <a:gs pos="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1-03DD-4167-9F20-0634CDB67DE2}"/>
              </c:ext>
            </c:extLst>
          </c:dPt>
          <c:dPt>
            <c:idx val="33"/>
            <c:bubble3D val="0"/>
            <c:spPr>
              <a:gradFill>
                <a:gsLst>
                  <a:gs pos="100000">
                    <a:schemeClr val="accent4">
                      <a:lumMod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3-03DD-4167-9F20-0634CDB67DE2}"/>
              </c:ext>
            </c:extLst>
          </c:dPt>
          <c:dPt>
            <c:idx val="34"/>
            <c:bubble3D val="0"/>
            <c:spPr>
              <a:gradFill>
                <a:gsLst>
                  <a:gs pos="100000">
                    <a:schemeClr val="accent5">
                      <a:lumMod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5-03DD-4167-9F20-0634CDB67DE2}"/>
              </c:ext>
            </c:extLst>
          </c:dPt>
          <c:dPt>
            <c:idx val="35"/>
            <c:bubble3D val="0"/>
            <c:spPr>
              <a:gradFill>
                <a:gsLst>
                  <a:gs pos="100000">
                    <a:schemeClr val="accent6">
                      <a:lumMod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7-03DD-4167-9F20-0634CDB67D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'Rel. Val-Com - C'!$A$4:$A$40</c:f>
              <c:strCache>
                <c:ptCount val="36"/>
                <c:pt idx="0">
                  <c:v>Comarca de Bayeux</c:v>
                </c:pt>
                <c:pt idx="1">
                  <c:v>Comarca de Belém</c:v>
                </c:pt>
                <c:pt idx="2">
                  <c:v>Comarca de Cabedelo</c:v>
                </c:pt>
                <c:pt idx="3">
                  <c:v>Comarca de Cajazeiras</c:v>
                </c:pt>
                <c:pt idx="4">
                  <c:v>Comarca de Campina Grande</c:v>
                </c:pt>
                <c:pt idx="5">
                  <c:v>Comarca de Guarabira</c:v>
                </c:pt>
                <c:pt idx="6">
                  <c:v>Comarca de Ingá</c:v>
                </c:pt>
                <c:pt idx="7">
                  <c:v>Comarca de Itaporanga</c:v>
                </c:pt>
                <c:pt idx="8">
                  <c:v>Comarca de João Pessoa</c:v>
                </c:pt>
                <c:pt idx="9">
                  <c:v>Comarca de Patos</c:v>
                </c:pt>
                <c:pt idx="10">
                  <c:v>Comarca de Piancó</c:v>
                </c:pt>
                <c:pt idx="11">
                  <c:v>Comarca de Pocinhos</c:v>
                </c:pt>
                <c:pt idx="12">
                  <c:v>Comarca de Pombal</c:v>
                </c:pt>
                <c:pt idx="13">
                  <c:v>Comarca de Queimadas</c:v>
                </c:pt>
                <c:pt idx="14">
                  <c:v>Comarca de São Bento</c:v>
                </c:pt>
                <c:pt idx="15">
                  <c:v>Comarca de Serra Branca</c:v>
                </c:pt>
                <c:pt idx="16">
                  <c:v>Comarca de Sousa</c:v>
                </c:pt>
                <c:pt idx="17">
                  <c:v>Comarca de Sumé</c:v>
                </c:pt>
                <c:pt idx="18">
                  <c:v>(vazio)</c:v>
                </c:pt>
                <c:pt idx="19">
                  <c:v>Comarca de São José de Piranhas</c:v>
                </c:pt>
                <c:pt idx="20">
                  <c:v>Comarca de Bananeiras</c:v>
                </c:pt>
                <c:pt idx="21">
                  <c:v>Comarca de Santa Rita</c:v>
                </c:pt>
                <c:pt idx="22">
                  <c:v>Comarca de Alagoa Nova</c:v>
                </c:pt>
                <c:pt idx="23">
                  <c:v>Comarca de Santa Luzia</c:v>
                </c:pt>
                <c:pt idx="24">
                  <c:v>Comarca de Catolé do Rocha</c:v>
                </c:pt>
                <c:pt idx="25">
                  <c:v>Comarca de Mamanguape</c:v>
                </c:pt>
                <c:pt idx="26">
                  <c:v>Comarca de Esperança</c:v>
                </c:pt>
                <c:pt idx="27">
                  <c:v>Comarca de Pedras de Fogo</c:v>
                </c:pt>
                <c:pt idx="28">
                  <c:v>Comarca de Pirpirituba</c:v>
                </c:pt>
                <c:pt idx="29">
                  <c:v>Comarca de Alagoa Grande</c:v>
                </c:pt>
                <c:pt idx="30">
                  <c:v>Comarca de Coremas</c:v>
                </c:pt>
                <c:pt idx="31">
                  <c:v> </c:v>
                </c:pt>
                <c:pt idx="32">
                  <c:v>Comarca de Princesa Isabel</c:v>
                </c:pt>
                <c:pt idx="33">
                  <c:v>Comarca de São João do Rio do Peixe</c:v>
                </c:pt>
                <c:pt idx="34">
                  <c:v>Comarca de Remígio</c:v>
                </c:pt>
                <c:pt idx="35">
                  <c:v>Comarca de Conceição</c:v>
                </c:pt>
              </c:strCache>
            </c:strRef>
          </c:cat>
          <c:val>
            <c:numRef>
              <c:f>'Rel. Val-Com - C'!$B$4:$B$40</c:f>
              <c:numCache>
                <c:formatCode>_-[$R$-416]\ * #,##0.00_-;\-[$R$-416]\ * #,##0.00_-;_-[$R$-416]\ * "-"??_-;_-@_-</c:formatCode>
                <c:ptCount val="36"/>
                <c:pt idx="0">
                  <c:v>12334</c:v>
                </c:pt>
                <c:pt idx="1">
                  <c:v>4560</c:v>
                </c:pt>
                <c:pt idx="2">
                  <c:v>18219.87</c:v>
                </c:pt>
                <c:pt idx="3">
                  <c:v>2101.2399999999998</c:v>
                </c:pt>
                <c:pt idx="4">
                  <c:v>74293.14</c:v>
                </c:pt>
                <c:pt idx="5">
                  <c:v>34880</c:v>
                </c:pt>
                <c:pt idx="6">
                  <c:v>200</c:v>
                </c:pt>
                <c:pt idx="7">
                  <c:v>1000</c:v>
                </c:pt>
                <c:pt idx="8">
                  <c:v>61395.42</c:v>
                </c:pt>
                <c:pt idx="9">
                  <c:v>22860</c:v>
                </c:pt>
                <c:pt idx="10">
                  <c:v>4160</c:v>
                </c:pt>
                <c:pt idx="11">
                  <c:v>4000</c:v>
                </c:pt>
                <c:pt idx="12">
                  <c:v>11890</c:v>
                </c:pt>
                <c:pt idx="13">
                  <c:v>2220</c:v>
                </c:pt>
                <c:pt idx="14">
                  <c:v>12080</c:v>
                </c:pt>
                <c:pt idx="15">
                  <c:v>300</c:v>
                </c:pt>
                <c:pt idx="16">
                  <c:v>59414.78</c:v>
                </c:pt>
                <c:pt idx="17">
                  <c:v>2100</c:v>
                </c:pt>
                <c:pt idx="19">
                  <c:v>13690</c:v>
                </c:pt>
                <c:pt idx="20">
                  <c:v>370</c:v>
                </c:pt>
                <c:pt idx="21">
                  <c:v>300</c:v>
                </c:pt>
                <c:pt idx="22">
                  <c:v>6190</c:v>
                </c:pt>
                <c:pt idx="23">
                  <c:v>1240</c:v>
                </c:pt>
                <c:pt idx="24">
                  <c:v>2980</c:v>
                </c:pt>
                <c:pt idx="25">
                  <c:v>5850</c:v>
                </c:pt>
                <c:pt idx="26">
                  <c:v>200</c:v>
                </c:pt>
                <c:pt idx="27">
                  <c:v>4620</c:v>
                </c:pt>
                <c:pt idx="28">
                  <c:v>370</c:v>
                </c:pt>
                <c:pt idx="29">
                  <c:v>2000</c:v>
                </c:pt>
                <c:pt idx="30">
                  <c:v>370</c:v>
                </c:pt>
                <c:pt idx="31">
                  <c:v>300</c:v>
                </c:pt>
                <c:pt idx="32">
                  <c:v>250</c:v>
                </c:pt>
                <c:pt idx="33">
                  <c:v>3330</c:v>
                </c:pt>
                <c:pt idx="34">
                  <c:v>300</c:v>
                </c:pt>
                <c:pt idx="35">
                  <c:v>1850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1EF-4E71-A3C4-926AA8A92E9B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[Estatistica Peritos- (Gráficos) 2021 --- C---.xlsx]Rel. Val-UJ - C!Tabela dinâmica5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9.4221182218807625E-2"/>
          <c:y val="0.12297359851510586"/>
          <c:w val="0.51583594037422731"/>
          <c:h val="0.87027774715409256"/>
        </c:manualLayout>
      </c:layout>
      <c:pieChart>
        <c:varyColors val="1"/>
        <c:ser>
          <c:idx val="0"/>
          <c:order val="0"/>
          <c:tx>
            <c:strRef>
              <c:f>'Rel. Val-UJ - C'!$B$2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D358-4CDA-BE31-ED5140C9CE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358-4CDA-BE31-ED5140C9CE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D358-4CDA-BE31-ED5140C9CE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358-4CDA-BE31-ED5140C9CE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D358-4CDA-BE31-ED5140C9CE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358-4CDA-BE31-ED5140C9CE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D358-4CDA-BE31-ED5140C9CE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D358-4CDA-BE31-ED5140C9CE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D358-4CDA-BE31-ED5140C9CE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D358-4CDA-BE31-ED5140C9CE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D358-4CDA-BE31-ED5140C9CE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AD22-4169-B60D-6C753EE4A0A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AD22-4169-B60D-6C753EE4A0A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AD22-4169-B60D-6C753EE4A0A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AD22-4169-B60D-6C753EE4A0A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AD22-4169-B60D-6C753EE4A0A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AD22-4169-B60D-6C753EE4A0A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D358-4CDA-BE31-ED5140C9CE7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AD22-4169-B60D-6C753EE4A0A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AD22-4169-B60D-6C753EE4A0A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9-AD22-4169-B60D-6C753EE4A0A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B-AD22-4169-B60D-6C753EE4A0A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D-AD22-4169-B60D-6C753EE4A0A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F-AD22-4169-B60D-6C753EE4A0A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1-AD22-4169-B60D-6C753EE4A0A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AD22-4169-B60D-6C753EE4A0A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AD22-4169-B60D-6C753EE4A0A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AD22-4169-B60D-6C753EE4A0A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AD22-4169-B60D-6C753EE4A0A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AD22-4169-B60D-6C753EE4A0A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AD22-4169-B60D-6C753EE4A0A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AD22-4169-B60D-6C753EE4A0A1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1-AD22-4169-B60D-6C753EE4A0A1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3-AD22-4169-B60D-6C753EE4A0A1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5-AD22-4169-B60D-6C753EE4A0A1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7-AD22-4169-B60D-6C753EE4A0A1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9-AD22-4169-B60D-6C753EE4A0A1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B-AD22-4169-B60D-6C753EE4A0A1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D-AD22-4169-B60D-6C753EE4A0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'Rel. Val-UJ - C'!$A$3:$A$13</c:f>
              <c:strCache>
                <c:ptCount val="10"/>
                <c:pt idx="0">
                  <c:v>2ª Vara de Pombal</c:v>
                </c:pt>
                <c:pt idx="1">
                  <c:v>2ª Vara de Queimadas</c:v>
                </c:pt>
                <c:pt idx="2">
                  <c:v>5ª Vara de Patos</c:v>
                </c:pt>
                <c:pt idx="3">
                  <c:v>3ª Vara de Família de Campina Grande</c:v>
                </c:pt>
                <c:pt idx="4">
                  <c:v>9ª Vara Cível de Campina Grande</c:v>
                </c:pt>
                <c:pt idx="5">
                  <c:v>8ª Vara Cível de Campina Grande</c:v>
                </c:pt>
                <c:pt idx="6">
                  <c:v>4ª Vara Cível de Campina Grande</c:v>
                </c:pt>
                <c:pt idx="7">
                  <c:v>8ª Vara Cível de João Pessoa</c:v>
                </c:pt>
                <c:pt idx="8">
                  <c:v>2ª Vara Cível de João Pessoa</c:v>
                </c:pt>
                <c:pt idx="9">
                  <c:v>Vara única de Sumé</c:v>
                </c:pt>
              </c:strCache>
            </c:strRef>
          </c:cat>
          <c:val>
            <c:numRef>
              <c:f>'Rel. Val-UJ - C'!$B$3:$B$13</c:f>
              <c:numCache>
                <c:formatCode>"R$"\ #,##0.00</c:formatCode>
                <c:ptCount val="10"/>
                <c:pt idx="0">
                  <c:v>1740</c:v>
                </c:pt>
                <c:pt idx="1">
                  <c:v>2220</c:v>
                </c:pt>
                <c:pt idx="2">
                  <c:v>2270</c:v>
                </c:pt>
                <c:pt idx="3">
                  <c:v>10094</c:v>
                </c:pt>
                <c:pt idx="4">
                  <c:v>1850</c:v>
                </c:pt>
                <c:pt idx="5">
                  <c:v>3304</c:v>
                </c:pt>
                <c:pt idx="6">
                  <c:v>1710</c:v>
                </c:pt>
                <c:pt idx="7">
                  <c:v>1850</c:v>
                </c:pt>
                <c:pt idx="8">
                  <c:v>2200</c:v>
                </c:pt>
                <c:pt idx="9">
                  <c:v>2100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358-4CDA-BE31-ED5140C9CE7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931445087811333"/>
          <c:y val="0.46076571049434456"/>
          <c:w val="0.24068554912188664"/>
          <c:h val="0.539234295614806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[Estatistica Peritos- (Gráficos) 2021 --- C---.xlsx]Relatório Val-Per - C!Tabela dinâmica3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0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1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3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4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5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6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7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8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9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0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1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3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4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5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6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7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8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9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0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1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3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4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5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6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7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8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9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0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1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2.0631379774851986E-2"/>
          <c:y val="9.4949157827448005E-2"/>
          <c:w val="0.56056731001304527"/>
          <c:h val="0.95127578952195868"/>
        </c:manualLayout>
      </c:layout>
      <c:pieChart>
        <c:varyColors val="1"/>
        <c:ser>
          <c:idx val="0"/>
          <c:order val="0"/>
          <c:tx>
            <c:strRef>
              <c:f>'Relatório Val-Per - C'!$C$2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B93-4874-8221-B09EC2E197C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B93-4874-8221-B09EC2E197CD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B93-4874-8221-B09EC2E197CD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B93-4874-8221-B09EC2E197CD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B93-4874-8221-B09EC2E197CD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8B93-4874-8221-B09EC2E197CD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8B93-4874-8221-B09EC2E197CD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8B93-4874-8221-B09EC2E197CD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8B93-4874-8221-B09EC2E197CD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8B93-4874-8221-B09EC2E197CD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8B93-4874-8221-B09EC2E197C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8B93-4874-8221-B09EC2E197CD}"/>
              </c:ext>
            </c:extLst>
          </c:dPt>
          <c:dPt>
            <c:idx val="1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8B93-4874-8221-B09EC2E197CD}"/>
              </c:ext>
            </c:extLst>
          </c:dPt>
          <c:dPt>
            <c:idx val="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8B93-4874-8221-B09EC2E197CD}"/>
              </c:ext>
            </c:extLst>
          </c:dPt>
          <c:dPt>
            <c:idx val="1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8B93-4874-8221-B09EC2E197CD}"/>
              </c:ext>
            </c:extLst>
          </c:dPt>
          <c:dPt>
            <c:idx val="1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3C33-434D-924B-31676C42AC29}"/>
              </c:ext>
            </c:extLst>
          </c:dPt>
          <c:dPt>
            <c:idx val="16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3C33-434D-924B-31676C42AC2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3C33-434D-924B-31676C42AC29}"/>
              </c:ext>
            </c:extLst>
          </c:dPt>
          <c:dPt>
            <c:idx val="18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3C33-434D-924B-31676C42AC29}"/>
              </c:ext>
            </c:extLst>
          </c:dPt>
          <c:dPt>
            <c:idx val="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3C33-434D-924B-31676C42AC29}"/>
              </c:ext>
            </c:extLst>
          </c:dPt>
          <c:dPt>
            <c:idx val="2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9-3C33-434D-924B-31676C42AC29}"/>
              </c:ext>
            </c:extLst>
          </c:dPt>
          <c:dPt>
            <c:idx val="2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B-3C33-434D-924B-31676C42AC29}"/>
              </c:ext>
            </c:extLst>
          </c:dPt>
          <c:dPt>
            <c:idx val="22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D-3C33-434D-924B-31676C42AC2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F-3C33-434D-924B-31676C42AC29}"/>
              </c:ext>
            </c:extLst>
          </c:dPt>
          <c:dPt>
            <c:idx val="24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1-3C33-434D-924B-31676C42AC29}"/>
              </c:ext>
            </c:extLst>
          </c:dPt>
          <c:dPt>
            <c:idx val="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3C33-434D-924B-31676C42AC29}"/>
              </c:ext>
            </c:extLst>
          </c:dPt>
          <c:dPt>
            <c:idx val="26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3C33-434D-924B-31676C42AC29}"/>
              </c:ext>
            </c:extLst>
          </c:dPt>
          <c:dPt>
            <c:idx val="27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3C33-434D-924B-31676C42AC29}"/>
              </c:ext>
            </c:extLst>
          </c:dPt>
          <c:dPt>
            <c:idx val="28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3C33-434D-924B-31676C42AC29}"/>
              </c:ext>
            </c:extLst>
          </c:dPt>
          <c:dPt>
            <c:idx val="29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3C33-434D-924B-31676C42AC29}"/>
              </c:ext>
            </c:extLst>
          </c:dPt>
          <c:dPt>
            <c:idx val="3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3C33-434D-924B-31676C42AC29}"/>
              </c:ext>
            </c:extLst>
          </c:dPt>
          <c:dPt>
            <c:idx val="3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3C33-434D-924B-31676C42AC29}"/>
              </c:ext>
            </c:extLst>
          </c:dPt>
          <c:dPt>
            <c:idx val="32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1-3C33-434D-924B-31676C42AC29}"/>
              </c:ext>
            </c:extLst>
          </c:dPt>
          <c:dPt>
            <c:idx val="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3-3C33-434D-924B-31676C42AC29}"/>
              </c:ext>
            </c:extLst>
          </c:dPt>
          <c:dPt>
            <c:idx val="34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5-3C33-434D-924B-31676C42AC29}"/>
              </c:ext>
            </c:extLst>
          </c:dPt>
          <c:dPt>
            <c:idx val="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7-3C33-434D-924B-31676C42AC29}"/>
              </c:ext>
            </c:extLst>
          </c:dPt>
          <c:dPt>
            <c:idx val="36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9-3C33-434D-924B-31676C42AC29}"/>
              </c:ext>
            </c:extLst>
          </c:dPt>
          <c:dPt>
            <c:idx val="3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B-3C33-434D-924B-31676C42AC29}"/>
              </c:ext>
            </c:extLst>
          </c:dPt>
          <c:dPt>
            <c:idx val="38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D-3C33-434D-924B-31676C42AC29}"/>
              </c:ext>
            </c:extLst>
          </c:dPt>
          <c:dPt>
            <c:idx val="3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F-3C33-434D-924B-31676C42AC29}"/>
              </c:ext>
            </c:extLst>
          </c:dPt>
          <c:dPt>
            <c:idx val="4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1-3C33-434D-924B-31676C42AC29}"/>
              </c:ext>
            </c:extLst>
          </c:dPt>
          <c:dPt>
            <c:idx val="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3-3C33-434D-924B-31676C42AC29}"/>
              </c:ext>
            </c:extLst>
          </c:dPt>
          <c:dPt>
            <c:idx val="42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5-3C33-434D-924B-31676C42AC29}"/>
              </c:ext>
            </c:extLst>
          </c:dPt>
          <c:dPt>
            <c:idx val="4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7-3C33-434D-924B-31676C42AC29}"/>
              </c:ext>
            </c:extLst>
          </c:dPt>
          <c:dPt>
            <c:idx val="44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9-3C33-434D-924B-31676C42AC29}"/>
              </c:ext>
            </c:extLst>
          </c:dPt>
          <c:dPt>
            <c:idx val="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B-3C33-434D-924B-31676C42AC29}"/>
              </c:ext>
            </c:extLst>
          </c:dPt>
          <c:dPt>
            <c:idx val="46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D-3C33-434D-924B-31676C42AC29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F-3C33-434D-924B-31676C42AC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'Relatório Val-Per - C'!$A$3:$B$51</c:f>
              <c:strCache>
                <c:ptCount val="48"/>
                <c:pt idx="0">
                  <c:v> Fábio Kenedy Almeida Trigueiro</c:v>
                </c:pt>
                <c:pt idx="1">
                  <c:v>Adália de Sá Costa</c:v>
                </c:pt>
                <c:pt idx="2">
                  <c:v>ADAUTO DE ARAÚJO VICENTE</c:v>
                </c:pt>
                <c:pt idx="3">
                  <c:v>Adrineide Martins Pamplona de Sousa
</c:v>
                </c:pt>
                <c:pt idx="4">
                  <c:v>ALEXSANDRA DE ANDRADE CABRAL</c:v>
                </c:pt>
                <c:pt idx="5">
                  <c:v>ALEXSANDRO DA SILVA FERNANDES</c:v>
                </c:pt>
                <c:pt idx="6">
                  <c:v>AMANDA DA SILVEIRA CANDEIA</c:v>
                </c:pt>
                <c:pt idx="7">
                  <c:v>ANA ELIZABETH ARAÚJO LUNA</c:v>
                </c:pt>
                <c:pt idx="8">
                  <c:v>ANTÔNIO GABRIEL FEITOSA ROLIM</c:v>
                </c:pt>
                <c:pt idx="9">
                  <c:v>ANTÔNIO LEITE LOUREIRO NETO PERÍCIAS E CÁLCULOS JURÍDICOS EIRELI</c:v>
                </c:pt>
                <c:pt idx="10">
                  <c:v>Carlene Fulco da Silva</c:v>
                </c:pt>
                <c:pt idx="11">
                  <c:v>Cícero da
Costa Cirne</c:v>
                </c:pt>
                <c:pt idx="12">
                  <c:v>Claudia Cristina Studart Leal</c:v>
                </c:pt>
                <c:pt idx="13">
                  <c:v>CLÁUDIA SARMENTO GADELHA</c:v>
                </c:pt>
                <c:pt idx="14">
                  <c:v>Daniel dos Santos</c:v>
                </c:pt>
                <c:pt idx="15">
                  <c:v>Diego da Fonseca Soares</c:v>
                </c:pt>
                <c:pt idx="16">
                  <c:v>DJANETE SANTOS DO BÚ</c:v>
                </c:pt>
                <c:pt idx="17">
                  <c:v>EBRON GUEDES DE MELO</c:v>
                </c:pt>
                <c:pt idx="18">
                  <c:v>ELDIMAN SOARES DE ARAÚJO</c:v>
                </c:pt>
                <c:pt idx="19">
                  <c:v>Felipe Queiroga Gadelha</c:v>
                </c:pt>
                <c:pt idx="20">
                  <c:v>Glória
Geane Oliveira Fernandes</c:v>
                </c:pt>
                <c:pt idx="21">
                  <c:v>Gustavo Henrique Valença de Melo</c:v>
                </c:pt>
                <c:pt idx="22">
                  <c:v>Henrique José Henriques Arteiro</c:v>
                </c:pt>
                <c:pt idx="23">
                  <c:v>HIRAN DE MELO FILHO</c:v>
                </c:pt>
                <c:pt idx="24">
                  <c:v>HYGO DE ALMEIDA PORDEUS</c:v>
                </c:pt>
                <c:pt idx="25">
                  <c:v>Iago Mangueira Leite</c:v>
                </c:pt>
                <c:pt idx="26">
                  <c:v>Isabel Amorim Leôncio</c:v>
                </c:pt>
                <c:pt idx="27">
                  <c:v>Janaína Bezerra de Queiroz</c:v>
                </c:pt>
                <c:pt idx="28">
                  <c:v>Janio de Araújo Oliveira</c:v>
                </c:pt>
                <c:pt idx="29">
                  <c:v>Jéssica de Queiroz Vieira</c:v>
                </c:pt>
                <c:pt idx="30">
                  <c:v>José de Santana Filho</c:v>
                </c:pt>
                <c:pt idx="31">
                  <c:v>Manuel Caetano de Brito Neto</c:v>
                </c:pt>
                <c:pt idx="32">
                  <c:v>Marcos Tiago de
Sousa Victor</c:v>
                </c:pt>
                <c:pt idx="33">
                  <c:v>Marcos Vinicius Amorim Freitas</c:v>
                </c:pt>
                <c:pt idx="34">
                  <c:v>MARTINHO FERNANDES SOUSA MOTA</c:v>
                </c:pt>
                <c:pt idx="35">
                  <c:v>Mauridete Grangeiro de Barros</c:v>
                </c:pt>
                <c:pt idx="36">
                  <c:v>NILSON SHIZUE SUASSUNA</c:v>
                </c:pt>
                <c:pt idx="37">
                  <c:v>Paulo Roberto Mota</c:v>
                </c:pt>
                <c:pt idx="38">
                  <c:v>Rafael Alexandre
Fernandes dos Santos Queiroz</c:v>
                </c:pt>
                <c:pt idx="39">
                  <c:v>Rafael Camelo de Andrade Trajano</c:v>
                </c:pt>
                <c:pt idx="40">
                  <c:v>Rennan Felipe Santos da Silva</c:v>
                </c:pt>
                <c:pt idx="41">
                  <c:v>SILVANIA CASSIA MAYER JERONIMO</c:v>
                </c:pt>
                <c:pt idx="42">
                  <c:v>Tiago Martins Formiga</c:v>
                </c:pt>
                <c:pt idx="43">
                  <c:v>Valéria Bezerra Cavalcanti Petrucci</c:v>
                </c:pt>
                <c:pt idx="44">
                  <c:v>Valnice
de Moraes Rolim</c:v>
                </c:pt>
                <c:pt idx="45">
                  <c:v>Werlley Targino de Araújo</c:v>
                </c:pt>
                <c:pt idx="46">
                  <c:v>Yves Conrado Prudencio</c:v>
                </c:pt>
                <c:pt idx="47">
                  <c:v>ABIK ENGENHARIA E CONSULTORIA LTDA</c:v>
                </c:pt>
              </c:strCache>
            </c:strRef>
          </c:cat>
          <c:val>
            <c:numRef>
              <c:f>'Relatório Val-Per - C'!$C$3:$C$51</c:f>
              <c:numCache>
                <c:formatCode>"R$"\ #,##0.00</c:formatCode>
                <c:ptCount val="48"/>
                <c:pt idx="0">
                  <c:v>870</c:v>
                </c:pt>
                <c:pt idx="1">
                  <c:v>622</c:v>
                </c:pt>
                <c:pt idx="2">
                  <c:v>4050</c:v>
                </c:pt>
                <c:pt idx="3">
                  <c:v>300</c:v>
                </c:pt>
                <c:pt idx="4">
                  <c:v>670</c:v>
                </c:pt>
                <c:pt idx="5">
                  <c:v>240</c:v>
                </c:pt>
                <c:pt idx="6">
                  <c:v>1480</c:v>
                </c:pt>
                <c:pt idx="7">
                  <c:v>300</c:v>
                </c:pt>
                <c:pt idx="8">
                  <c:v>900</c:v>
                </c:pt>
                <c:pt idx="9">
                  <c:v>370</c:v>
                </c:pt>
                <c:pt idx="10">
                  <c:v>622</c:v>
                </c:pt>
                <c:pt idx="11">
                  <c:v>937</c:v>
                </c:pt>
                <c:pt idx="12">
                  <c:v>740</c:v>
                </c:pt>
                <c:pt idx="13">
                  <c:v>370</c:v>
                </c:pt>
                <c:pt idx="14">
                  <c:v>954</c:v>
                </c:pt>
                <c:pt idx="15">
                  <c:v>740</c:v>
                </c:pt>
                <c:pt idx="16">
                  <c:v>442.93</c:v>
                </c:pt>
                <c:pt idx="17">
                  <c:v>3000</c:v>
                </c:pt>
                <c:pt idx="18">
                  <c:v>2220</c:v>
                </c:pt>
                <c:pt idx="19">
                  <c:v>5350</c:v>
                </c:pt>
                <c:pt idx="20">
                  <c:v>300</c:v>
                </c:pt>
                <c:pt idx="21">
                  <c:v>1164</c:v>
                </c:pt>
                <c:pt idx="22">
                  <c:v>300</c:v>
                </c:pt>
                <c:pt idx="23">
                  <c:v>740</c:v>
                </c:pt>
                <c:pt idx="24">
                  <c:v>700</c:v>
                </c:pt>
                <c:pt idx="25">
                  <c:v>370</c:v>
                </c:pt>
                <c:pt idx="26">
                  <c:v>300</c:v>
                </c:pt>
                <c:pt idx="27">
                  <c:v>2100</c:v>
                </c:pt>
                <c:pt idx="28">
                  <c:v>300</c:v>
                </c:pt>
                <c:pt idx="29">
                  <c:v>880</c:v>
                </c:pt>
                <c:pt idx="30">
                  <c:v>600</c:v>
                </c:pt>
                <c:pt idx="31">
                  <c:v>370</c:v>
                </c:pt>
                <c:pt idx="32">
                  <c:v>1110</c:v>
                </c:pt>
                <c:pt idx="33">
                  <c:v>200</c:v>
                </c:pt>
                <c:pt idx="34">
                  <c:v>300</c:v>
                </c:pt>
                <c:pt idx="35">
                  <c:v>7050</c:v>
                </c:pt>
                <c:pt idx="36">
                  <c:v>1200</c:v>
                </c:pt>
                <c:pt idx="37">
                  <c:v>1480</c:v>
                </c:pt>
                <c:pt idx="38">
                  <c:v>200</c:v>
                </c:pt>
                <c:pt idx="39">
                  <c:v>1500</c:v>
                </c:pt>
                <c:pt idx="40">
                  <c:v>1500</c:v>
                </c:pt>
                <c:pt idx="41">
                  <c:v>1200</c:v>
                </c:pt>
                <c:pt idx="42">
                  <c:v>700</c:v>
                </c:pt>
                <c:pt idx="43">
                  <c:v>200</c:v>
                </c:pt>
                <c:pt idx="44">
                  <c:v>300</c:v>
                </c:pt>
                <c:pt idx="45">
                  <c:v>1850</c:v>
                </c:pt>
                <c:pt idx="46">
                  <c:v>1110</c:v>
                </c:pt>
                <c:pt idx="47">
                  <c:v>1740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F10-496A-8DDE-E028A2E54F5B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177299471816116"/>
          <c:y val="5.5529062459742443E-2"/>
          <c:w val="0.37123471698667243"/>
          <c:h val="0.9012059100873071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28440</xdr:colOff>
      <xdr:row>0</xdr:row>
      <xdr:rowOff>276120</xdr:rowOff>
    </xdr:from>
    <xdr:to>
      <xdr:col>36</xdr:col>
      <xdr:colOff>190080</xdr:colOff>
      <xdr:row>10</xdr:row>
      <xdr:rowOff>215735</xdr:rowOff>
    </xdr:to>
    <xdr:graphicFrame macro="">
      <xdr:nvGraphicFramePr>
        <xdr:cNvPr id="2" name="Gráfico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28</xdr:col>
      <xdr:colOff>28439</xdr:colOff>
      <xdr:row>11</xdr:row>
      <xdr:rowOff>28440</xdr:rowOff>
    </xdr:from>
    <xdr:to>
      <xdr:col>36</xdr:col>
      <xdr:colOff>517070</xdr:colOff>
      <xdr:row>18</xdr:row>
      <xdr:rowOff>244929</xdr:rowOff>
    </xdr:to>
    <xdr:graphicFrame macro="">
      <xdr:nvGraphicFramePr>
        <xdr:cNvPr id="3" name="Gráfico 3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0</xdr:row>
      <xdr:rowOff>166687</xdr:rowOff>
    </xdr:from>
    <xdr:to>
      <xdr:col>45</xdr:col>
      <xdr:colOff>119062</xdr:colOff>
      <xdr:row>36</xdr:row>
      <xdr:rowOff>190500</xdr:rowOff>
    </xdr:to>
    <xdr:graphicFrame macro="">
      <xdr:nvGraphicFramePr>
        <xdr:cNvPr id="6" name="Gráfico 5">
          <a:extLst>
            <a:ext uri="{FF2B5EF4-FFF2-40B4-BE49-F238E27FC236}">
              <a16:creationId xmlns="" xmlns:a16="http://schemas.microsoft.com/office/drawing/2014/main" id="{63767D5C-668A-4B93-983E-8B7D7AB92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38160</xdr:colOff>
      <xdr:row>1</xdr:row>
      <xdr:rowOff>38160</xdr:rowOff>
    </xdr:from>
    <xdr:to>
      <xdr:col>37</xdr:col>
      <xdr:colOff>514081</xdr:colOff>
      <xdr:row>9</xdr:row>
      <xdr:rowOff>273061</xdr:rowOff>
    </xdr:to>
    <xdr:graphicFrame macro="">
      <xdr:nvGraphicFramePr>
        <xdr:cNvPr id="2" name="Gráfico 7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28440</xdr:colOff>
      <xdr:row>11</xdr:row>
      <xdr:rowOff>38520</xdr:rowOff>
    </xdr:from>
    <xdr:to>
      <xdr:col>38</xdr:col>
      <xdr:colOff>18719</xdr:colOff>
      <xdr:row>18</xdr:row>
      <xdr:rowOff>385367</xdr:rowOff>
    </xdr:to>
    <xdr:graphicFrame macro="">
      <xdr:nvGraphicFramePr>
        <xdr:cNvPr id="3" name="Gráfico 8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95249</xdr:colOff>
      <xdr:row>2</xdr:row>
      <xdr:rowOff>9525</xdr:rowOff>
    </xdr:from>
    <xdr:to>
      <xdr:col>19</xdr:col>
      <xdr:colOff>425823</xdr:colOff>
      <xdr:row>33</xdr:row>
      <xdr:rowOff>179294</xdr:rowOff>
    </xdr:to>
    <xdr:graphicFrame macro="">
      <xdr:nvGraphicFramePr>
        <xdr:cNvPr id="3" name="Gráfico 2">
          <a:extLst>
            <a:ext uri="{FF2B5EF4-FFF2-40B4-BE49-F238E27FC236}">
              <a16:creationId xmlns="" xmlns:a16="http://schemas.microsoft.com/office/drawing/2014/main" id="{FAFC925B-1B78-4F33-87EA-E2F5B7B92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19048</xdr:colOff>
      <xdr:row>1</xdr:row>
      <xdr:rowOff>19050</xdr:rowOff>
    </xdr:from>
    <xdr:to>
      <xdr:col>16</xdr:col>
      <xdr:colOff>28576</xdr:colOff>
      <xdr:row>29</xdr:row>
      <xdr:rowOff>1</xdr:rowOff>
    </xdr:to>
    <xdr:grpSp>
      <xdr:nvGrpSpPr>
        <xdr:cNvPr id="9" name="Agrupar 8">
          <a:extLst>
            <a:ext uri="{FF2B5EF4-FFF2-40B4-BE49-F238E27FC236}">
              <a16:creationId xmlns="" xmlns:a16="http://schemas.microsoft.com/office/drawing/2014/main" id="{2F840623-9E10-4445-B328-3FCFADA4B4A0}"/>
            </a:ext>
          </a:extLst>
        </xdr:cNvPr>
        <xdr:cNvGrpSpPr/>
      </xdr:nvGrpSpPr>
      <xdr:grpSpPr>
        <a:xfrm>
          <a:off x="19048" y="209550"/>
          <a:ext cx="12525378" cy="5391151"/>
          <a:chOff x="28573" y="-19050"/>
          <a:chExt cx="12525378" cy="5391151"/>
        </a:xfrm>
      </xdr:grpSpPr>
      <xdr:grpSp>
        <xdr:nvGrpSpPr>
          <xdr:cNvPr id="7" name="Agrupar 6">
            <a:extLst>
              <a:ext uri="{FF2B5EF4-FFF2-40B4-BE49-F238E27FC236}">
                <a16:creationId xmlns="" xmlns:a16="http://schemas.microsoft.com/office/drawing/2014/main" id="{836054F3-22AC-46C8-847A-9C5E49DF639C}"/>
              </a:ext>
            </a:extLst>
          </xdr:cNvPr>
          <xdr:cNvGrpSpPr/>
        </xdr:nvGrpSpPr>
        <xdr:grpSpPr>
          <a:xfrm>
            <a:off x="28573" y="-19050"/>
            <a:ext cx="12525378" cy="5391151"/>
            <a:chOff x="28573" y="174637"/>
            <a:chExt cx="12525378" cy="5312734"/>
          </a:xfrm>
        </xdr:grpSpPr>
        <xdr:graphicFrame macro="">
          <xdr:nvGraphicFramePr>
            <xdr:cNvPr id="2" name="Gráfico 1">
              <a:extLst>
                <a:ext uri="{FF2B5EF4-FFF2-40B4-BE49-F238E27FC236}">
                  <a16:creationId xmlns="" xmlns:a16="http://schemas.microsoft.com/office/drawing/2014/main" id="{C25A4BE0-8EC0-424D-866F-5B1F8779489F}"/>
                </a:ext>
              </a:extLst>
            </xdr:cNvPr>
            <xdr:cNvGraphicFramePr/>
          </xdr:nvGraphicFramePr>
          <xdr:xfrm>
            <a:off x="6153150" y="184023"/>
            <a:ext cx="6400801" cy="530334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3" name="JUÍZO 4">
                  <a:extLst>
                    <a:ext uri="{FF2B5EF4-FFF2-40B4-BE49-F238E27FC236}">
                      <a16:creationId xmlns="" xmlns:a16="http://schemas.microsoft.com/office/drawing/2014/main" id="{C13AB4E0-AE05-4CE4-BAAD-608F31C1F6F4}"/>
                    </a:ext>
                  </a:extLst>
                </xdr:cNvPr>
                <xdr:cNvGraphicFramePr/>
              </xdr:nvGraphicFramePr>
              <xdr:xfrm>
                <a:off x="28573" y="2760506"/>
                <a:ext cx="2819402" cy="1468594"/>
              </xdr:xfrm>
              <a:graphic>
                <a:graphicData uri="http://schemas.microsoft.com/office/drawing/2010/slicer">
                  <sle:slicer xmlns:sle="http://schemas.microsoft.com/office/drawing/2010/slicer" name="JUÍZO 4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9048" y="2833587"/>
                  <a:ext cx="2819402" cy="1490271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4" name="PERITO 5">
                  <a:extLst>
                    <a:ext uri="{FF2B5EF4-FFF2-40B4-BE49-F238E27FC236}">
                      <a16:creationId xmlns="" xmlns:a16="http://schemas.microsoft.com/office/drawing/2014/main" id="{38296EE1-83B1-4129-9EEB-92F301DF6995}"/>
                    </a:ext>
                  </a:extLst>
                </xdr:cNvPr>
                <xdr:cNvGraphicFramePr/>
              </xdr:nvGraphicFramePr>
              <xdr:xfrm>
                <a:off x="2924175" y="2770167"/>
                <a:ext cx="3152775" cy="1458933"/>
              </xdr:xfrm>
              <a:graphic>
                <a:graphicData uri="http://schemas.microsoft.com/office/drawing/2010/slicer">
                  <sle:slicer xmlns:sle="http://schemas.microsoft.com/office/drawing/2010/slicer" name="PERITO 5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2914650" y="2843391"/>
                  <a:ext cx="3152775" cy="1480467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5" name="ESPECIALIDADE 6">
                  <a:extLst>
                    <a:ext uri="{FF2B5EF4-FFF2-40B4-BE49-F238E27FC236}">
                      <a16:creationId xmlns="" xmlns:a16="http://schemas.microsoft.com/office/drawing/2014/main" id="{B9394A17-9D62-4C4B-8BC8-96237449ABCD}"/>
                    </a:ext>
                  </a:extLst>
                </xdr:cNvPr>
                <xdr:cNvGraphicFramePr/>
              </xdr:nvGraphicFramePr>
              <xdr:xfrm>
                <a:off x="4133850" y="174637"/>
                <a:ext cx="1866900" cy="2496797"/>
              </xdr:xfrm>
              <a:graphic>
                <a:graphicData uri="http://schemas.microsoft.com/office/drawing/2010/slicer">
                  <sle:slicer xmlns:sle="http://schemas.microsoft.com/office/drawing/2010/slicer" name="ESPECIALIDADE 6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4124325" y="209550"/>
                  <a:ext cx="1866900" cy="2533650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</xdr:grpSp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6" name="Data da Autorização da Despesa">
                <a:extLst>
                  <a:ext uri="{FF2B5EF4-FFF2-40B4-BE49-F238E27FC236}">
                    <a16:creationId xmlns="" xmlns:a16="http://schemas.microsoft.com/office/drawing/2014/main" id="{C88846D1-FA86-47F0-A7AF-B6B0658676D5}"/>
                  </a:ext>
                </a:extLst>
              </xdr:cNvPr>
              <xdr:cNvGraphicFramePr/>
            </xdr:nvGraphicFramePr>
            <xdr:xfrm>
              <a:off x="28575" y="4219575"/>
              <a:ext cx="6038850" cy="1143000"/>
            </xdr:xfrm>
            <a:graphic>
              <a:graphicData uri="http://schemas.microsoft.com/office/drawing/2012/timeslicer">
                <tsle:timeslicer name="Data da Autorização da Despes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9050" y="4448175"/>
                <a:ext cx="6038850" cy="1143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Linha do tempo: Funciona em Excel 2013 ou superior. Não mover ou redimensionar.</a:t>
                </a:r>
              </a:p>
            </xdr:txBody>
          </xdr:sp>
        </mc:Fallback>
      </mc:AlternateContent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180976</xdr:rowOff>
    </xdr:from>
    <xdr:to>
      <xdr:col>15</xdr:col>
      <xdr:colOff>276224</xdr:colOff>
      <xdr:row>29</xdr:row>
      <xdr:rowOff>47624</xdr:rowOff>
    </xdr:to>
    <xdr:grpSp>
      <xdr:nvGrpSpPr>
        <xdr:cNvPr id="9" name="Agrupar 8">
          <a:extLst>
            <a:ext uri="{FF2B5EF4-FFF2-40B4-BE49-F238E27FC236}">
              <a16:creationId xmlns="" xmlns:a16="http://schemas.microsoft.com/office/drawing/2014/main" id="{747C81C1-B15A-4720-A0D7-87E0A10C97CA}"/>
            </a:ext>
          </a:extLst>
        </xdr:cNvPr>
        <xdr:cNvGrpSpPr/>
      </xdr:nvGrpSpPr>
      <xdr:grpSpPr>
        <a:xfrm>
          <a:off x="57149" y="180976"/>
          <a:ext cx="12439650" cy="5438773"/>
          <a:chOff x="57149" y="371476"/>
          <a:chExt cx="12249150" cy="5438773"/>
        </a:xfrm>
      </xdr:grpSpPr>
      <xdr:grpSp>
        <xdr:nvGrpSpPr>
          <xdr:cNvPr id="7" name="Agrupar 6">
            <a:extLst>
              <a:ext uri="{FF2B5EF4-FFF2-40B4-BE49-F238E27FC236}">
                <a16:creationId xmlns="" xmlns:a16="http://schemas.microsoft.com/office/drawing/2014/main" id="{94BD3CC7-BB5D-4DFA-8B5B-E0D9BEC046F3}"/>
              </a:ext>
            </a:extLst>
          </xdr:cNvPr>
          <xdr:cNvGrpSpPr/>
        </xdr:nvGrpSpPr>
        <xdr:grpSpPr>
          <a:xfrm>
            <a:off x="66674" y="371476"/>
            <a:ext cx="12239625" cy="5438773"/>
            <a:chOff x="66674" y="371476"/>
            <a:chExt cx="12239625" cy="5438773"/>
          </a:xfrm>
        </xdr:grpSpPr>
        <xdr:grpSp>
          <xdr:nvGrpSpPr>
            <xdr:cNvPr id="5" name="Agrupar 4">
              <a:extLst>
                <a:ext uri="{FF2B5EF4-FFF2-40B4-BE49-F238E27FC236}">
                  <a16:creationId xmlns="" xmlns:a16="http://schemas.microsoft.com/office/drawing/2014/main" id="{52FC6A3F-7BEB-4A8B-8C99-03450FA39FA1}"/>
                </a:ext>
              </a:extLst>
            </xdr:cNvPr>
            <xdr:cNvGrpSpPr/>
          </xdr:nvGrpSpPr>
          <xdr:grpSpPr>
            <a:xfrm>
              <a:off x="66674" y="371476"/>
              <a:ext cx="6153152" cy="4200524"/>
              <a:chOff x="66674" y="371476"/>
              <a:chExt cx="6153152" cy="4150519"/>
            </a:xfrm>
          </xdr:grpSpPr>
          <mc:AlternateContent xmlns:mc="http://schemas.openxmlformats.org/markup-compatibility/2006" xmlns:a14="http://schemas.microsoft.com/office/drawing/2010/main">
            <mc:Choice Requires="a14">
              <xdr:graphicFrame macro="">
                <xdr:nvGraphicFramePr>
                  <xdr:cNvPr id="2" name="COMARCA 6">
                    <a:extLst>
                      <a:ext uri="{FF2B5EF4-FFF2-40B4-BE49-F238E27FC236}">
                        <a16:creationId xmlns="" xmlns:a16="http://schemas.microsoft.com/office/drawing/2014/main" id="{DA65991D-92E5-40C6-892A-04D79428B7E3}"/>
                      </a:ext>
                    </a:extLst>
                  </xdr:cNvPr>
                  <xdr:cNvGraphicFramePr/>
                </xdr:nvGraphicFramePr>
                <xdr:xfrm>
                  <a:off x="66674" y="2781299"/>
                  <a:ext cx="3457576" cy="1740695"/>
                </xdr:xfrm>
                <a:graphic>
                  <a:graphicData uri="http://schemas.microsoft.com/office/drawing/2010/slicer">
                    <sle:slicer xmlns:sle="http://schemas.microsoft.com/office/drawing/2010/slicer" name="COMARCA 6"/>
                  </a:graphicData>
                </a:graphic>
              </xdr:graphicFrame>
            </mc:Choice>
            <mc:Fallback xmlns="">
              <xdr:sp macro="" textlink="">
                <xdr:nvSpPr>
                  <xdr:cNvPr id="0" name=""/>
                  <xdr:cNvSpPr>
                    <a:spLocks noTextEdit="1"/>
                  </xdr:cNvSpPr>
                </xdr:nvSpPr>
                <xdr:spPr>
                  <a:xfrm>
                    <a:off x="66674" y="2619835"/>
                    <a:ext cx="3457576" cy="1542590"/>
                  </a:xfrm>
                  <a:prstGeom prst="rect">
                    <a:avLst/>
                  </a:prstGeom>
                  <a:solidFill>
                    <a:prstClr val="white"/>
                  </a:solidFill>
                  <a:ln w="1">
                    <a:solidFill>
                      <a:prstClr val="green"/>
                    </a:solidFill>
                  </a:ln>
                </xdr:spPr>
                <xdr:txBody>
                  <a:bodyPr vertOverflow="clip" horzOverflow="clip"/>
                  <a:lstStyle/>
                  <a:p>
                    <a:r>
                      <a:rPr lang="pt-BR" sz="1100"/>
  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  </a:r>
                  </a:p>
                </xdr:txBody>
              </xdr:sp>
            </mc:Fallback>
          </mc:AlternateContent>
          <mc:AlternateContent xmlns:mc="http://schemas.openxmlformats.org/markup-compatibility/2006" xmlns:a14="http://schemas.microsoft.com/office/drawing/2010/main">
            <mc:Choice Requires="a14">
              <xdr:graphicFrame macro="">
                <xdr:nvGraphicFramePr>
                  <xdr:cNvPr id="3" name="PERITO 7">
                    <a:extLst>
                      <a:ext uri="{FF2B5EF4-FFF2-40B4-BE49-F238E27FC236}">
                        <a16:creationId xmlns="" xmlns:a16="http://schemas.microsoft.com/office/drawing/2014/main" id="{C5FFCD25-6C64-4D24-87DE-3C5A281EB71D}"/>
                      </a:ext>
                    </a:extLst>
                  </xdr:cNvPr>
                  <xdr:cNvGraphicFramePr/>
                </xdr:nvGraphicFramePr>
                <xdr:xfrm>
                  <a:off x="3629026" y="2780846"/>
                  <a:ext cx="2590800" cy="1741149"/>
                </xdr:xfrm>
                <a:graphic>
                  <a:graphicData uri="http://schemas.microsoft.com/office/drawing/2010/slicer">
                    <sle:slicer xmlns:sle="http://schemas.microsoft.com/office/drawing/2010/slicer" name="PERITO 7"/>
                  </a:graphicData>
                </a:graphic>
              </xdr:graphicFrame>
            </mc:Choice>
            <mc:Fallback xmlns="">
              <xdr:sp macro="" textlink="">
                <xdr:nvSpPr>
                  <xdr:cNvPr id="0" name=""/>
                  <xdr:cNvSpPr>
                    <a:spLocks noTextEdit="1"/>
                  </xdr:cNvSpPr>
                </xdr:nvSpPr>
                <xdr:spPr>
                  <a:xfrm>
                    <a:off x="3629026" y="2619374"/>
                    <a:ext cx="2590800" cy="1552575"/>
                  </a:xfrm>
                  <a:prstGeom prst="rect">
                    <a:avLst/>
                  </a:prstGeom>
                  <a:solidFill>
                    <a:prstClr val="white"/>
                  </a:solidFill>
                  <a:ln w="1">
                    <a:solidFill>
                      <a:prstClr val="green"/>
                    </a:solidFill>
                  </a:ln>
                </xdr:spPr>
                <xdr:txBody>
                  <a:bodyPr vertOverflow="clip" horzOverflow="clip"/>
                  <a:lstStyle/>
                  <a:p>
                    <a:r>
                      <a:rPr lang="pt-BR" sz="1100"/>
  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  </a:r>
                  </a:p>
                </xdr:txBody>
              </xdr:sp>
            </mc:Fallback>
          </mc:AlternateContent>
          <mc:AlternateContent xmlns:mc="http://schemas.openxmlformats.org/markup-compatibility/2006" xmlns:a14="http://schemas.microsoft.com/office/drawing/2010/main">
            <mc:Choice Requires="a14">
              <xdr:graphicFrame macro="">
                <xdr:nvGraphicFramePr>
                  <xdr:cNvPr id="4" name="ESPECIALIDADE 7">
                    <a:extLst>
                      <a:ext uri="{FF2B5EF4-FFF2-40B4-BE49-F238E27FC236}">
                        <a16:creationId xmlns="" xmlns:a16="http://schemas.microsoft.com/office/drawing/2014/main" id="{5F8B43D7-A900-43C5-9B65-3AA85352046E}"/>
                      </a:ext>
                    </a:extLst>
                  </xdr:cNvPr>
                  <xdr:cNvGraphicFramePr/>
                </xdr:nvGraphicFramePr>
                <xdr:xfrm>
                  <a:off x="4305898" y="371476"/>
                  <a:ext cx="1904401" cy="2305843"/>
                </xdr:xfrm>
                <a:graphic>
                  <a:graphicData uri="http://schemas.microsoft.com/office/drawing/2010/slicer">
                    <sle:slicer xmlns:sle="http://schemas.microsoft.com/office/drawing/2010/slicer" name="ESPECIALIDADE 7"/>
                  </a:graphicData>
                </a:graphic>
              </xdr:graphicFrame>
            </mc:Choice>
            <mc:Fallback xmlns="">
              <xdr:sp macro="" textlink="">
                <xdr:nvSpPr>
                  <xdr:cNvPr id="0" name=""/>
                  <xdr:cNvSpPr>
                    <a:spLocks noTextEdit="1"/>
                  </xdr:cNvSpPr>
                </xdr:nvSpPr>
                <xdr:spPr>
                  <a:xfrm>
                    <a:off x="4229098" y="180976"/>
                    <a:ext cx="1981201" cy="2333624"/>
                  </a:xfrm>
                  <a:prstGeom prst="rect">
                    <a:avLst/>
                  </a:prstGeom>
                  <a:solidFill>
                    <a:prstClr val="white"/>
                  </a:solidFill>
                  <a:ln w="1">
                    <a:solidFill>
                      <a:prstClr val="green"/>
                    </a:solidFill>
                  </a:ln>
                </xdr:spPr>
                <xdr:txBody>
                  <a:bodyPr vertOverflow="clip" horzOverflow="clip"/>
                  <a:lstStyle/>
                  <a:p>
                    <a:r>
                      <a:rPr lang="pt-BR" sz="1100"/>
  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  </a:r>
                  </a:p>
                </xdr:txBody>
              </xdr:sp>
            </mc:Fallback>
          </mc:AlternateContent>
        </xdr:grpSp>
        <xdr:graphicFrame macro="">
          <xdr:nvGraphicFramePr>
            <xdr:cNvPr id="6" name="Gráfico 5">
              <a:extLst>
                <a:ext uri="{FF2B5EF4-FFF2-40B4-BE49-F238E27FC236}">
                  <a16:creationId xmlns="" xmlns:a16="http://schemas.microsoft.com/office/drawing/2014/main" id="{84EC2ECC-CED6-43AD-834D-086B0C1CE4C6}"/>
                </a:ext>
              </a:extLst>
            </xdr:cNvPr>
            <xdr:cNvGraphicFramePr/>
          </xdr:nvGraphicFramePr>
          <xdr:xfrm>
            <a:off x="6343650" y="390524"/>
            <a:ext cx="5962649" cy="54197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8" name="Data da Autorização da Despesa 1">
                <a:extLst>
                  <a:ext uri="{FF2B5EF4-FFF2-40B4-BE49-F238E27FC236}">
                    <a16:creationId xmlns="" xmlns:a16="http://schemas.microsoft.com/office/drawing/2014/main" id="{1EA5CC81-DC0B-4F76-A506-63CC00EF5741}"/>
                  </a:ext>
                </a:extLst>
              </xdr:cNvPr>
              <xdr:cNvGraphicFramePr/>
            </xdr:nvGraphicFramePr>
            <xdr:xfrm>
              <a:off x="57149" y="4667250"/>
              <a:ext cx="6143626" cy="1123949"/>
            </xdr:xfrm>
            <a:graphic>
              <a:graphicData uri="http://schemas.microsoft.com/office/drawing/2012/timeslicer">
                <tsle:timeslicer name="Data da Autorização da Despesa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7149" y="4476750"/>
                <a:ext cx="6239172" cy="112394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Linha do tempo: Funciona em Excel 2013 ou superior. Não mover ou redimensionar.</a:t>
                </a:r>
              </a:p>
            </xdr:txBody>
          </xdr:sp>
        </mc:Fallback>
      </mc:AlternateContent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14287</xdr:rowOff>
    </xdr:from>
    <xdr:to>
      <xdr:col>15</xdr:col>
      <xdr:colOff>190501</xdr:colOff>
      <xdr:row>28</xdr:row>
      <xdr:rowOff>133351</xdr:rowOff>
    </xdr:to>
    <xdr:grpSp>
      <xdr:nvGrpSpPr>
        <xdr:cNvPr id="8" name="Agrupar 7">
          <a:extLst>
            <a:ext uri="{FF2B5EF4-FFF2-40B4-BE49-F238E27FC236}">
              <a16:creationId xmlns="" xmlns:a16="http://schemas.microsoft.com/office/drawing/2014/main" id="{C64423BD-4EA4-4435-A96C-F27E0DD19A47}"/>
            </a:ext>
          </a:extLst>
        </xdr:cNvPr>
        <xdr:cNvGrpSpPr/>
      </xdr:nvGrpSpPr>
      <xdr:grpSpPr>
        <a:xfrm>
          <a:off x="76200" y="204787"/>
          <a:ext cx="11734801" cy="5338764"/>
          <a:chOff x="76200" y="204787"/>
          <a:chExt cx="12487276" cy="5338764"/>
        </a:xfrm>
      </xdr:grpSpPr>
      <xdr:grpSp>
        <xdr:nvGrpSpPr>
          <xdr:cNvPr id="7" name="Agrupar 6">
            <a:extLst>
              <a:ext uri="{FF2B5EF4-FFF2-40B4-BE49-F238E27FC236}">
                <a16:creationId xmlns="" xmlns:a16="http://schemas.microsoft.com/office/drawing/2014/main" id="{E912244B-36BD-4D5F-8D80-E71BB68ACF47}"/>
              </a:ext>
            </a:extLst>
          </xdr:cNvPr>
          <xdr:cNvGrpSpPr/>
        </xdr:nvGrpSpPr>
        <xdr:grpSpPr>
          <a:xfrm>
            <a:off x="76200" y="204787"/>
            <a:ext cx="12487276" cy="5338764"/>
            <a:chOff x="19050" y="385762"/>
            <a:chExt cx="12487276" cy="5262564"/>
          </a:xfrm>
        </xdr:grpSpPr>
        <xdr:graphicFrame macro="">
          <xdr:nvGraphicFramePr>
            <xdr:cNvPr id="2" name="Gráfico 1">
              <a:extLst>
                <a:ext uri="{FF2B5EF4-FFF2-40B4-BE49-F238E27FC236}">
                  <a16:creationId xmlns="" xmlns:a16="http://schemas.microsoft.com/office/drawing/2014/main" id="{4957D30D-1D2B-4EED-9372-EA0F0D3DA665}"/>
                </a:ext>
              </a:extLst>
            </xdr:cNvPr>
            <xdr:cNvGraphicFramePr/>
          </xdr:nvGraphicFramePr>
          <xdr:xfrm>
            <a:off x="6191250" y="385762"/>
            <a:ext cx="6315076" cy="526256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3" name="JUÍZO 3">
                  <a:extLst>
                    <a:ext uri="{FF2B5EF4-FFF2-40B4-BE49-F238E27FC236}">
                      <a16:creationId xmlns="" xmlns:a16="http://schemas.microsoft.com/office/drawing/2014/main" id="{5736D851-9A04-470D-8D52-610192A2FE28}"/>
                    </a:ext>
                  </a:extLst>
                </xdr:cNvPr>
                <xdr:cNvGraphicFramePr/>
              </xdr:nvGraphicFramePr>
              <xdr:xfrm>
                <a:off x="3562350" y="2981326"/>
                <a:ext cx="2552699" cy="1427644"/>
              </xdr:xfrm>
              <a:graphic>
                <a:graphicData uri="http://schemas.microsoft.com/office/drawing/2010/slicer">
                  <sle:slicer xmlns:sle="http://schemas.microsoft.com/office/drawing/2010/slicer" name="JUÍZO 3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3619500" y="2837934"/>
                  <a:ext cx="2552699" cy="1333483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4" name="COMARCA 4">
                  <a:extLst>
                    <a:ext uri="{FF2B5EF4-FFF2-40B4-BE49-F238E27FC236}">
                      <a16:creationId xmlns="" xmlns:a16="http://schemas.microsoft.com/office/drawing/2014/main" id="{42562149-9A42-42D7-98AA-9C87F1CA0779}"/>
                    </a:ext>
                  </a:extLst>
                </xdr:cNvPr>
                <xdr:cNvGraphicFramePr/>
              </xdr:nvGraphicFramePr>
              <xdr:xfrm>
                <a:off x="19050" y="2971799"/>
                <a:ext cx="3438525" cy="1437171"/>
              </xdr:xfrm>
              <a:graphic>
                <a:graphicData uri="http://schemas.microsoft.com/office/drawing/2010/slicer">
                  <sle:slicer xmlns:sle="http://schemas.microsoft.com/office/drawing/2010/slicer" name="COMARCA 4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76200" y="2828270"/>
                  <a:ext cx="3438525" cy="1323820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5" name="ESPECIALIDADE 5">
                  <a:extLst>
                    <a:ext uri="{FF2B5EF4-FFF2-40B4-BE49-F238E27FC236}">
                      <a16:creationId xmlns="" xmlns:a16="http://schemas.microsoft.com/office/drawing/2014/main" id="{923D1BD7-A8CC-4DD0-9524-6647F74B12B7}"/>
                    </a:ext>
                  </a:extLst>
                </xdr:cNvPr>
                <xdr:cNvGraphicFramePr/>
              </xdr:nvGraphicFramePr>
              <xdr:xfrm>
                <a:off x="4514850" y="390526"/>
                <a:ext cx="1590675" cy="2486024"/>
              </xdr:xfrm>
              <a:graphic>
                <a:graphicData uri="http://schemas.microsoft.com/office/drawing/2010/slicer">
                  <sle:slicer xmlns:sle="http://schemas.microsoft.com/office/drawing/2010/slicer" name="ESPECIALIDADE 5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4572000" y="209620"/>
                  <a:ext cx="1590675" cy="2522021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</xdr:grpSp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6" name="Data da Autorização da Despesa 2">
                <a:extLst>
                  <a:ext uri="{FF2B5EF4-FFF2-40B4-BE49-F238E27FC236}">
                    <a16:creationId xmlns="" xmlns:a16="http://schemas.microsoft.com/office/drawing/2014/main" id="{2EAED3F1-FD0C-4540-8B3D-124744AE2446}"/>
                  </a:ext>
                </a:extLst>
              </xdr:cNvPr>
              <xdr:cNvGraphicFramePr/>
            </xdr:nvGraphicFramePr>
            <xdr:xfrm>
              <a:off x="76200" y="4391024"/>
              <a:ext cx="6076950" cy="1133475"/>
            </xdr:xfrm>
            <a:graphic>
              <a:graphicData uri="http://schemas.microsoft.com/office/drawing/2012/timeslicer">
                <tsle:timeslicer name="Data da Autorização da Despesa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6200" y="4391024"/>
                <a:ext cx="6076950" cy="11334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Linha do tempo: Funciona em Excel 2013 ou superior. Não mover ou redimensionar.</a:t>
                </a:r>
              </a:p>
            </xdr:txBody>
          </xdr:sp>
        </mc:Fallback>
      </mc:AlternateContent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</xdr:row>
      <xdr:rowOff>33618</xdr:rowOff>
    </xdr:from>
    <xdr:to>
      <xdr:col>17</xdr:col>
      <xdr:colOff>56028</xdr:colOff>
      <xdr:row>50</xdr:row>
      <xdr:rowOff>166687</xdr:rowOff>
    </xdr:to>
    <xdr:grpSp>
      <xdr:nvGrpSpPr>
        <xdr:cNvPr id="10" name="Agrupar 9">
          <a:extLst>
            <a:ext uri="{FF2B5EF4-FFF2-40B4-BE49-F238E27FC236}">
              <a16:creationId xmlns="" xmlns:a16="http://schemas.microsoft.com/office/drawing/2014/main" id="{15619D4B-8577-41F2-B3B8-B9599ACE16B9}"/>
            </a:ext>
          </a:extLst>
        </xdr:cNvPr>
        <xdr:cNvGrpSpPr/>
      </xdr:nvGrpSpPr>
      <xdr:grpSpPr>
        <a:xfrm>
          <a:off x="1" y="224118"/>
          <a:ext cx="12841939" cy="9512393"/>
          <a:chOff x="-2682092" y="-492853"/>
          <a:chExt cx="7310591" cy="7514483"/>
        </a:xfrm>
      </xdr:grpSpPr>
      <xdr:grpSp>
        <xdr:nvGrpSpPr>
          <xdr:cNvPr id="9" name="Agrupar 8">
            <a:extLst>
              <a:ext uri="{FF2B5EF4-FFF2-40B4-BE49-F238E27FC236}">
                <a16:creationId xmlns="" xmlns:a16="http://schemas.microsoft.com/office/drawing/2014/main" id="{95915E32-5290-47BC-9806-7451477ACD18}"/>
              </a:ext>
            </a:extLst>
          </xdr:cNvPr>
          <xdr:cNvGrpSpPr/>
        </xdr:nvGrpSpPr>
        <xdr:grpSpPr>
          <a:xfrm>
            <a:off x="-2682092" y="-492853"/>
            <a:ext cx="7310591" cy="5036948"/>
            <a:chOff x="-2642481" y="-486912"/>
            <a:chExt cx="7254743" cy="4991895"/>
          </a:xfrm>
        </xdr:grpSpPr>
        <xdr:grpSp>
          <xdr:nvGrpSpPr>
            <xdr:cNvPr id="7" name="Agrupar 6">
              <a:extLst>
                <a:ext uri="{FF2B5EF4-FFF2-40B4-BE49-F238E27FC236}">
                  <a16:creationId xmlns="" xmlns:a16="http://schemas.microsoft.com/office/drawing/2014/main" id="{95AEED9D-0E32-4F58-8560-1EB4DD13A2F3}"/>
                </a:ext>
              </a:extLst>
            </xdr:cNvPr>
            <xdr:cNvGrpSpPr/>
          </xdr:nvGrpSpPr>
          <xdr:grpSpPr>
            <a:xfrm>
              <a:off x="-2642481" y="-486912"/>
              <a:ext cx="7254743" cy="4991895"/>
              <a:chOff x="-2642481" y="-486912"/>
              <a:chExt cx="7254743" cy="4991895"/>
            </a:xfrm>
          </xdr:grpSpPr>
          <xdr:graphicFrame macro="">
            <xdr:nvGraphicFramePr>
              <xdr:cNvPr id="2" name="Gráfico 1">
                <a:extLst>
                  <a:ext uri="{FF2B5EF4-FFF2-40B4-BE49-F238E27FC236}">
                    <a16:creationId xmlns="" xmlns:a16="http://schemas.microsoft.com/office/drawing/2014/main" id="{C5A6C88F-5EF8-454B-8E9A-1BEC874FA016}"/>
                  </a:ext>
                </a:extLst>
              </xdr:cNvPr>
              <xdr:cNvGraphicFramePr/>
            </xdr:nvGraphicFramePr>
            <xdr:xfrm>
              <a:off x="36711" y="-486912"/>
              <a:ext cx="4575551" cy="4991895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mc:AlternateContent xmlns:mc="http://schemas.openxmlformats.org/markup-compatibility/2006" xmlns:a14="http://schemas.microsoft.com/office/drawing/2010/main">
            <mc:Choice Requires="a14">
              <xdr:graphicFrame macro="">
                <xdr:nvGraphicFramePr>
                  <xdr:cNvPr id="3" name="JUÍZO 5">
                    <a:extLst>
                      <a:ext uri="{FF2B5EF4-FFF2-40B4-BE49-F238E27FC236}">
                        <a16:creationId xmlns="" xmlns:a16="http://schemas.microsoft.com/office/drawing/2014/main" id="{D192FE5E-6E1D-4C87-AFA4-FE638803D9F6}"/>
                      </a:ext>
                    </a:extLst>
                  </xdr:cNvPr>
                  <xdr:cNvGraphicFramePr/>
                </xdr:nvGraphicFramePr>
                <xdr:xfrm>
                  <a:off x="-2642481" y="1389850"/>
                  <a:ext cx="2634978" cy="632346"/>
                </xdr:xfrm>
                <a:graphic>
                  <a:graphicData uri="http://schemas.microsoft.com/office/drawing/2010/slicer">
                    <sle:slicer xmlns:sle="http://schemas.microsoft.com/office/drawing/2010/slicer" name="JUÍZO 5"/>
                  </a:graphicData>
                </a:graphic>
              </xdr:graphicFrame>
            </mc:Choice>
            <mc:Fallback xmlns="">
              <xdr:sp macro="" textlink="">
                <xdr:nvSpPr>
                  <xdr:cNvPr id="0" name=""/>
                  <xdr:cNvSpPr>
                    <a:spLocks noTextEdit="1"/>
                  </xdr:cNvSpPr>
                </xdr:nvSpPr>
                <xdr:spPr>
                  <a:xfrm>
                    <a:off x="1" y="2621305"/>
                    <a:ext cx="4664290" cy="807695"/>
                  </a:xfrm>
                  <a:prstGeom prst="rect">
                    <a:avLst/>
                  </a:prstGeom>
                  <a:solidFill>
                    <a:prstClr val="white"/>
                  </a:solidFill>
                  <a:ln w="1">
                    <a:solidFill>
                      <a:prstClr val="green"/>
                    </a:solidFill>
                  </a:ln>
                </xdr:spPr>
                <xdr:txBody>
                  <a:bodyPr vertOverflow="clip" horzOverflow="clip"/>
                  <a:lstStyle/>
                  <a:p>
                    <a:r>
                      <a:rPr lang="pt-BR" sz="1100"/>
  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  </a:r>
                  </a:p>
                </xdr:txBody>
              </xdr:sp>
            </mc:Fallback>
          </mc:AlternateContent>
          <mc:AlternateContent xmlns:mc="http://schemas.openxmlformats.org/markup-compatibility/2006" xmlns:a14="http://schemas.microsoft.com/office/drawing/2010/main">
            <mc:Choice Requires="a14">
              <xdr:graphicFrame macro="">
                <xdr:nvGraphicFramePr>
                  <xdr:cNvPr id="4" name="COMARCA 5">
                    <a:extLst>
                      <a:ext uri="{FF2B5EF4-FFF2-40B4-BE49-F238E27FC236}">
                        <a16:creationId xmlns="" xmlns:a16="http://schemas.microsoft.com/office/drawing/2014/main" id="{199FC634-8752-4AAB-B597-8B153DBF7CAA}"/>
                      </a:ext>
                    </a:extLst>
                  </xdr:cNvPr>
                  <xdr:cNvGraphicFramePr/>
                </xdr:nvGraphicFramePr>
                <xdr:xfrm>
                  <a:off x="-2615352" y="2127473"/>
                  <a:ext cx="2602145" cy="1044001"/>
                </xdr:xfrm>
                <a:graphic>
                  <a:graphicData uri="http://schemas.microsoft.com/office/drawing/2010/slicer">
                    <sle:slicer xmlns:sle="http://schemas.microsoft.com/office/drawing/2010/slicer" name="COMARCA 5"/>
                  </a:graphicData>
                </a:graphic>
              </xdr:graphicFrame>
            </mc:Choice>
            <mc:Fallback xmlns="">
              <xdr:sp macro="" textlink="">
                <xdr:nvSpPr>
                  <xdr:cNvPr id="0" name=""/>
                  <xdr:cNvSpPr>
                    <a:spLocks noTextEdit="1"/>
                  </xdr:cNvSpPr>
                </xdr:nvSpPr>
                <xdr:spPr>
                  <a:xfrm>
                    <a:off x="48023" y="3563470"/>
                    <a:ext cx="4606171" cy="1333502"/>
                  </a:xfrm>
                  <a:prstGeom prst="rect">
                    <a:avLst/>
                  </a:prstGeom>
                  <a:solidFill>
                    <a:prstClr val="white"/>
                  </a:solidFill>
                  <a:ln w="1">
                    <a:solidFill>
                      <a:prstClr val="green"/>
                    </a:solidFill>
                  </a:ln>
                </xdr:spPr>
                <xdr:txBody>
                  <a:bodyPr vertOverflow="clip" horzOverflow="clip"/>
                  <a:lstStyle/>
                  <a:p>
                    <a:r>
                      <a:rPr lang="pt-BR" sz="1100"/>
  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  </a:r>
                  </a:p>
                </xdr:txBody>
              </xdr:sp>
            </mc:Fallback>
          </mc:AlternateContent>
          <mc:AlternateContent xmlns:mc="http://schemas.openxmlformats.org/markup-compatibility/2006" xmlns:a14="http://schemas.microsoft.com/office/drawing/2010/main">
            <mc:Choice Requires="a14">
              <xdr:graphicFrame macro="">
                <xdr:nvGraphicFramePr>
                  <xdr:cNvPr id="5" name="PERITO 6">
                    <a:extLst>
                      <a:ext uri="{FF2B5EF4-FFF2-40B4-BE49-F238E27FC236}">
                        <a16:creationId xmlns="" xmlns:a16="http://schemas.microsoft.com/office/drawing/2014/main" id="{52FC3508-3375-4C72-A8EA-8C5B10273551}"/>
                      </a:ext>
                    </a:extLst>
                  </xdr:cNvPr>
                  <xdr:cNvGraphicFramePr/>
                </xdr:nvGraphicFramePr>
                <xdr:xfrm>
                  <a:off x="-2642481" y="3257228"/>
                  <a:ext cx="2646384" cy="1142480"/>
                </xdr:xfrm>
                <a:graphic>
                  <a:graphicData uri="http://schemas.microsoft.com/office/drawing/2010/slicer">
                    <sle:slicer xmlns:sle="http://schemas.microsoft.com/office/drawing/2010/slicer" name="PERITO 6"/>
                  </a:graphicData>
                </a:graphic>
              </xdr:graphicFrame>
            </mc:Choice>
            <mc:Fallback xmlns="">
              <xdr:sp macro="" textlink="">
                <xdr:nvSpPr>
                  <xdr:cNvPr id="0" name=""/>
                  <xdr:cNvSpPr>
                    <a:spLocks noTextEdit="1"/>
                  </xdr:cNvSpPr>
                </xdr:nvSpPr>
                <xdr:spPr>
                  <a:xfrm>
                    <a:off x="1" y="5006505"/>
                    <a:ext cx="4684480" cy="1459289"/>
                  </a:xfrm>
                  <a:prstGeom prst="rect">
                    <a:avLst/>
                  </a:prstGeom>
                  <a:solidFill>
                    <a:prstClr val="white"/>
                  </a:solidFill>
                  <a:ln w="1">
                    <a:solidFill>
                      <a:prstClr val="green"/>
                    </a:solidFill>
                  </a:ln>
                </xdr:spPr>
                <xdr:txBody>
                  <a:bodyPr vertOverflow="clip" horzOverflow="clip"/>
                  <a:lstStyle/>
                  <a:p>
                    <a:r>
                      <a:rPr lang="pt-BR" sz="1100"/>
  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  </a:r>
                  </a:p>
                </xdr:txBody>
              </xdr:sp>
            </mc:Fallback>
          </mc:AlternateContent>
        </xdr:grpSp>
      </xdr:grpSp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6" name="Data da Autorização da Despesa 3">
                <a:extLst>
                  <a:ext uri="{FF2B5EF4-FFF2-40B4-BE49-F238E27FC236}">
                    <a16:creationId xmlns="" xmlns:a16="http://schemas.microsoft.com/office/drawing/2014/main" id="{C0AD27D6-0DD6-43C8-8702-81508C4C459E}"/>
                  </a:ext>
                </a:extLst>
              </xdr:cNvPr>
              <xdr:cNvGraphicFramePr/>
            </xdr:nvGraphicFramePr>
            <xdr:xfrm>
              <a:off x="-2588506" y="5916730"/>
              <a:ext cx="6000750" cy="1104900"/>
            </xdr:xfrm>
            <a:graphic>
              <a:graphicData uri="http://schemas.microsoft.com/office/drawing/2012/timeslicer">
                <tsle:timeslicer name="Data da Autorização da Despesa 3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64396" y="8337846"/>
                <a:ext cx="10541045" cy="139866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Linha do tempo: Funciona em Excel 2013 ou superior. Não mover ou redimensionar.</a:t>
                </a:r>
              </a:p>
            </xdr:txBody>
          </xdr:sp>
        </mc:Fallback>
      </mc:AlternateContent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78188</xdr:colOff>
      <xdr:row>0</xdr:row>
      <xdr:rowOff>134471</xdr:rowOff>
    </xdr:from>
    <xdr:to>
      <xdr:col>7</xdr:col>
      <xdr:colOff>1714500</xdr:colOff>
      <xdr:row>32</xdr:row>
      <xdr:rowOff>24704</xdr:rowOff>
    </xdr:to>
    <xdr:grpSp>
      <xdr:nvGrpSpPr>
        <xdr:cNvPr id="11" name="Agrupar 10">
          <a:extLst>
            <a:ext uri="{FF2B5EF4-FFF2-40B4-BE49-F238E27FC236}">
              <a16:creationId xmlns="" xmlns:a16="http://schemas.microsoft.com/office/drawing/2014/main" id="{457734B2-BEE7-42AD-BE30-E5ECC2FB31D2}"/>
            </a:ext>
          </a:extLst>
        </xdr:cNvPr>
        <xdr:cNvGrpSpPr/>
      </xdr:nvGrpSpPr>
      <xdr:grpSpPr>
        <a:xfrm>
          <a:off x="3809747" y="134471"/>
          <a:ext cx="11105282" cy="6019851"/>
          <a:chOff x="3090474" y="189936"/>
          <a:chExt cx="3891240" cy="4834089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" name="JUÍZO 2">
                <a:extLst>
                  <a:ext uri="{FF2B5EF4-FFF2-40B4-BE49-F238E27FC236}">
                    <a16:creationId xmlns="" xmlns:a16="http://schemas.microsoft.com/office/drawing/2014/main" id="{1966E79E-E0F9-42E3-A6C7-82B36909BF6F}"/>
                  </a:ext>
                </a:extLst>
              </xdr:cNvPr>
              <xdr:cNvGraphicFramePr/>
            </xdr:nvGraphicFramePr>
            <xdr:xfrm>
              <a:off x="4999955" y="189936"/>
              <a:ext cx="1981759" cy="2365944"/>
            </xdr:xfrm>
            <a:graphic>
              <a:graphicData uri="http://schemas.microsoft.com/office/drawing/2010/slicer">
                <sle:slicer xmlns:sle="http://schemas.microsoft.com/office/drawing/2010/slicer" name="JUÍZO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586897" y="134471"/>
                <a:ext cx="5655779" cy="294629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COMARCA 1">
                <a:extLst>
                  <a:ext uri="{FF2B5EF4-FFF2-40B4-BE49-F238E27FC236}">
                    <a16:creationId xmlns="" xmlns:a16="http://schemas.microsoft.com/office/drawing/2014/main" id="{2AAD4D5A-9D3F-4B77-A1E9-4BBEB3146670}"/>
                  </a:ext>
                </a:extLst>
              </xdr:cNvPr>
              <xdr:cNvGraphicFramePr/>
            </xdr:nvGraphicFramePr>
            <xdr:xfrm>
              <a:off x="4997377" y="2710261"/>
              <a:ext cx="1977617" cy="2308412"/>
            </xdr:xfrm>
            <a:graphic>
              <a:graphicData uri="http://schemas.microsoft.com/office/drawing/2010/slicer">
                <sle:slicer xmlns:sle="http://schemas.microsoft.com/office/drawing/2010/slicer" name="COMARCA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579540" y="3273011"/>
                <a:ext cx="5643958" cy="2874646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PERITO 2">
                <a:extLst>
                  <a:ext uri="{FF2B5EF4-FFF2-40B4-BE49-F238E27FC236}">
                    <a16:creationId xmlns="" xmlns:a16="http://schemas.microsoft.com/office/drawing/2014/main" id="{BA2BF3FB-9424-4AEE-A9C7-2A18124348D4}"/>
                  </a:ext>
                </a:extLst>
              </xdr:cNvPr>
              <xdr:cNvGraphicFramePr/>
            </xdr:nvGraphicFramePr>
            <xdr:xfrm>
              <a:off x="3090474" y="2708317"/>
              <a:ext cx="1839314" cy="2315708"/>
            </xdr:xfrm>
            <a:graphic>
              <a:graphicData uri="http://schemas.microsoft.com/office/drawing/2010/slicer">
                <sle:slicer xmlns:sle="http://schemas.microsoft.com/office/drawing/2010/slicer" name="PERITO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137394" y="3270590"/>
                <a:ext cx="5249252" cy="288373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" name="ESPECIALIDADE 2">
                <a:extLst>
                  <a:ext uri="{FF2B5EF4-FFF2-40B4-BE49-F238E27FC236}">
                    <a16:creationId xmlns="" xmlns:a16="http://schemas.microsoft.com/office/drawing/2014/main" id="{15A0BC8C-18B5-4FC4-A0E5-0EACCF7B035E}"/>
                  </a:ext>
                </a:extLst>
              </xdr:cNvPr>
              <xdr:cNvGraphicFramePr/>
            </xdr:nvGraphicFramePr>
            <xdr:xfrm>
              <a:off x="3098504" y="206307"/>
              <a:ext cx="1836000" cy="2340000"/>
            </xdr:xfrm>
            <a:graphic>
              <a:graphicData uri="http://schemas.microsoft.com/office/drawing/2010/slicer">
                <sle:slicer xmlns:sle="http://schemas.microsoft.com/office/drawing/2010/slicer" name="ESPECIALIDADE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160311" y="154858"/>
                <a:ext cx="5239794" cy="2913983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226327</xdr:colOff>
      <xdr:row>1</xdr:row>
      <xdr:rowOff>33897</xdr:rowOff>
    </xdr:from>
    <xdr:to>
      <xdr:col>20</xdr:col>
      <xdr:colOff>358588</xdr:colOff>
      <xdr:row>33</xdr:row>
      <xdr:rowOff>44824</xdr:rowOff>
    </xdr:to>
    <xdr:grpSp>
      <xdr:nvGrpSpPr>
        <xdr:cNvPr id="7" name="Agrupar 6">
          <a:extLst>
            <a:ext uri="{FF2B5EF4-FFF2-40B4-BE49-F238E27FC236}">
              <a16:creationId xmlns="" xmlns:a16="http://schemas.microsoft.com/office/drawing/2014/main" id="{79CAEEA7-2574-4D32-8BFE-9056172E2649}"/>
            </a:ext>
          </a:extLst>
        </xdr:cNvPr>
        <xdr:cNvGrpSpPr/>
      </xdr:nvGrpSpPr>
      <xdr:grpSpPr>
        <a:xfrm>
          <a:off x="3588092" y="224397"/>
          <a:ext cx="11024378" cy="6106927"/>
          <a:chOff x="3278841" y="224397"/>
          <a:chExt cx="11001375" cy="5739827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PERITO 3">
                <a:extLst>
                  <a:ext uri="{FF2B5EF4-FFF2-40B4-BE49-F238E27FC236}">
                    <a16:creationId xmlns="" xmlns:a16="http://schemas.microsoft.com/office/drawing/2014/main" id="{D95C518C-6318-45BA-9B87-F5E259433D95}"/>
                  </a:ext>
                </a:extLst>
              </xdr:cNvPr>
              <xdr:cNvGraphicFramePr/>
            </xdr:nvGraphicFramePr>
            <xdr:xfrm>
              <a:off x="3288367" y="2013136"/>
              <a:ext cx="2897279" cy="2301129"/>
            </xdr:xfrm>
            <a:graphic>
              <a:graphicData uri="http://schemas.microsoft.com/office/drawing/2010/slicer">
                <sle:slicer xmlns:sle="http://schemas.microsoft.com/office/drawing/2010/slicer" name="PERITO 3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295079" y="2127538"/>
                <a:ext cx="2903337" cy="2448301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ESPECIALIDADE 3">
                <a:extLst>
                  <a:ext uri="{FF2B5EF4-FFF2-40B4-BE49-F238E27FC236}">
                    <a16:creationId xmlns="" xmlns:a16="http://schemas.microsoft.com/office/drawing/2014/main" id="{7943C6CD-FC58-4EFE-9F4B-96C80D4B5942}"/>
                  </a:ext>
                </a:extLst>
              </xdr:cNvPr>
              <xdr:cNvGraphicFramePr/>
            </xdr:nvGraphicFramePr>
            <xdr:xfrm>
              <a:off x="3278841" y="243170"/>
              <a:ext cx="2918011" cy="1594595"/>
            </xdr:xfrm>
            <a:graphic>
              <a:graphicData uri="http://schemas.microsoft.com/office/drawing/2010/slicer">
                <sle:slicer xmlns:sle="http://schemas.microsoft.com/office/drawing/2010/slicer" name="ESPECIALIDADE 3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285533" y="244371"/>
                <a:ext cx="2924113" cy="169658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xdr:graphicFrame macro="">
        <xdr:nvGraphicFramePr>
          <xdr:cNvPr id="5" name="Gráfico 4">
            <a:extLst>
              <a:ext uri="{FF2B5EF4-FFF2-40B4-BE49-F238E27FC236}">
                <a16:creationId xmlns="" xmlns:a16="http://schemas.microsoft.com/office/drawing/2014/main" id="{056E14FA-A6F7-4B9D-A9D4-146E3B39932F}"/>
              </a:ext>
            </a:extLst>
          </xdr:cNvPr>
          <xdr:cNvGraphicFramePr/>
        </xdr:nvGraphicFramePr>
        <xdr:xfrm>
          <a:off x="6566084" y="224397"/>
          <a:ext cx="7714132" cy="573982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272143</xdr:colOff>
      <xdr:row>1</xdr:row>
      <xdr:rowOff>40822</xdr:rowOff>
    </xdr:from>
    <xdr:to>
      <xdr:col>23</xdr:col>
      <xdr:colOff>266139</xdr:colOff>
      <xdr:row>30</xdr:row>
      <xdr:rowOff>70036</xdr:rowOff>
    </xdr:to>
    <xdr:grpSp>
      <xdr:nvGrpSpPr>
        <xdr:cNvPr id="4" name="Agrupar 3">
          <a:extLst>
            <a:ext uri="{FF2B5EF4-FFF2-40B4-BE49-F238E27FC236}">
              <a16:creationId xmlns="" xmlns:a16="http://schemas.microsoft.com/office/drawing/2014/main" id="{034E8DA8-C2F6-403D-A994-A105EBE3E08C}"/>
            </a:ext>
          </a:extLst>
        </xdr:cNvPr>
        <xdr:cNvGrpSpPr/>
      </xdr:nvGrpSpPr>
      <xdr:grpSpPr>
        <a:xfrm>
          <a:off x="5089072" y="231322"/>
          <a:ext cx="12947996" cy="7064107"/>
          <a:chOff x="6027965" y="333374"/>
          <a:chExt cx="12063044" cy="7356322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ESPECIALIDADE 1">
                <a:extLst>
                  <a:ext uri="{FF2B5EF4-FFF2-40B4-BE49-F238E27FC236}">
                    <a16:creationId xmlns="" xmlns:a16="http://schemas.microsoft.com/office/drawing/2014/main" id="{5A6CC584-CF58-4915-BE9F-71EDC1713867}"/>
                  </a:ext>
                </a:extLst>
              </xdr:cNvPr>
              <xdr:cNvGraphicFramePr/>
            </xdr:nvGraphicFramePr>
            <xdr:xfrm>
              <a:off x="6027965" y="333374"/>
              <a:ext cx="2000251" cy="2524125"/>
            </xdr:xfrm>
            <a:graphic>
              <a:graphicData uri="http://schemas.microsoft.com/office/drawing/2010/slicer">
                <sle:slicer xmlns:sle="http://schemas.microsoft.com/office/drawing/2010/slicer" name="ESPECIALIDADE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089072" y="231322"/>
                <a:ext cx="2146991" cy="290009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5" name="DATA DO EMPENHO 1">
                <a:extLst>
                  <a:ext uri="{FF2B5EF4-FFF2-40B4-BE49-F238E27FC236}">
                    <a16:creationId xmlns="" xmlns:a16="http://schemas.microsoft.com/office/drawing/2014/main" id="{32160162-D56D-4318-B161-07DA8A961641}"/>
                  </a:ext>
                </a:extLst>
              </xdr:cNvPr>
              <xdr:cNvGraphicFramePr/>
            </xdr:nvGraphicFramePr>
            <xdr:xfrm>
              <a:off x="8238195" y="6445160"/>
              <a:ext cx="9852814" cy="1244536"/>
            </xdr:xfrm>
            <a:graphic>
              <a:graphicData uri="http://schemas.microsoft.com/office/drawing/2012/timeslicer">
                <tsle:timeslicer name="DATA DO EMPENHO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461446" y="7253449"/>
                <a:ext cx="10575622" cy="142990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Linha do tempo: Funciona em Excel 2013 ou superior. Não mover ou redimensionar.</a:t>
                </a:r>
              </a:p>
            </xdr:txBody>
          </xdr:sp>
        </mc:Fallback>
      </mc:AlternateContent>
      <xdr:graphicFrame macro="">
        <xdr:nvGraphicFramePr>
          <xdr:cNvPr id="7" name="Gráfico 6">
            <a:extLst>
              <a:ext uri="{FF2B5EF4-FFF2-40B4-BE49-F238E27FC236}">
                <a16:creationId xmlns="" xmlns:a16="http://schemas.microsoft.com/office/drawing/2014/main" id="{EAB8AF36-1C2F-49DE-B632-25998660FDF1}"/>
              </a:ext>
            </a:extLst>
          </xdr:cNvPr>
          <xdr:cNvGraphicFramePr/>
        </xdr:nvGraphicFramePr>
        <xdr:xfrm>
          <a:off x="8233156" y="339612"/>
          <a:ext cx="9824358" cy="593386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0</xdr:col>
      <xdr:colOff>63872</xdr:colOff>
      <xdr:row>13</xdr:row>
      <xdr:rowOff>62754</xdr:rowOff>
    </xdr:from>
    <xdr:to>
      <xdr:col>2</xdr:col>
      <xdr:colOff>98052</xdr:colOff>
      <xdr:row>28</xdr:row>
      <xdr:rowOff>42024</xdr:rowOff>
    </xdr:to>
    <xdr:grpSp>
      <xdr:nvGrpSpPr>
        <xdr:cNvPr id="9" name="Agrupar 8">
          <a:extLst>
            <a:ext uri="{FF2B5EF4-FFF2-40B4-BE49-F238E27FC236}">
              <a16:creationId xmlns="" xmlns:a16="http://schemas.microsoft.com/office/drawing/2014/main" id="{CEAC3140-BC1D-4EB1-A33F-7E14D0EEB7FD}"/>
            </a:ext>
          </a:extLst>
        </xdr:cNvPr>
        <xdr:cNvGrpSpPr/>
      </xdr:nvGrpSpPr>
      <xdr:grpSpPr>
        <a:xfrm>
          <a:off x="63872" y="4049647"/>
          <a:ext cx="4851109" cy="2836770"/>
          <a:chOff x="49865" y="3911912"/>
          <a:chExt cx="4852709" cy="3993966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6" name="JUÍZO 1">
                <a:extLst>
                  <a:ext uri="{FF2B5EF4-FFF2-40B4-BE49-F238E27FC236}">
                    <a16:creationId xmlns="" xmlns:a16="http://schemas.microsoft.com/office/drawing/2014/main" id="{BC3C480D-BDB9-4B01-B663-C4337714A6BD}"/>
                  </a:ext>
                </a:extLst>
              </xdr:cNvPr>
              <xdr:cNvGraphicFramePr/>
            </xdr:nvGraphicFramePr>
            <xdr:xfrm>
              <a:off x="84043" y="3911912"/>
              <a:ext cx="4818531" cy="1331574"/>
            </xdr:xfrm>
            <a:graphic>
              <a:graphicData uri="http://schemas.microsoft.com/office/drawing/2010/slicer">
                <sle:slicer xmlns:sle="http://schemas.microsoft.com/office/drawing/2010/slicer" name="JUÍZO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98050" y="3984813"/>
                <a:ext cx="4818531" cy="132403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8" name="COMARCA">
                <a:extLst>
                  <a:ext uri="{FF2B5EF4-FFF2-40B4-BE49-F238E27FC236}">
                    <a16:creationId xmlns="" xmlns:a16="http://schemas.microsoft.com/office/drawing/2014/main" id="{5E5871A6-FC8C-444A-8B13-3668E814279F}"/>
                  </a:ext>
                </a:extLst>
              </xdr:cNvPr>
              <xdr:cNvGraphicFramePr/>
            </xdr:nvGraphicFramePr>
            <xdr:xfrm>
              <a:off x="49865" y="5417052"/>
              <a:ext cx="4852707" cy="2488826"/>
            </xdr:xfrm>
            <a:graphic>
              <a:graphicData uri="http://schemas.microsoft.com/office/drawing/2010/slicer">
                <sle:slicer xmlns:sle="http://schemas.microsoft.com/office/drawing/2010/slicer" name="COMARC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3872" y="5481436"/>
                <a:ext cx="4852707" cy="247474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 editAs="oneCell">
    <xdr:from>
      <xdr:col>2</xdr:col>
      <xdr:colOff>337455</xdr:colOff>
      <xdr:row>10</xdr:row>
      <xdr:rowOff>176893</xdr:rowOff>
    </xdr:from>
    <xdr:to>
      <xdr:col>5</xdr:col>
      <xdr:colOff>476250</xdr:colOff>
      <xdr:row>27</xdr:row>
      <xdr:rowOff>13606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PERITO">
              <a:extLst>
                <a:ext uri="{FF2B5EF4-FFF2-40B4-BE49-F238E27FC236}">
                  <a16:creationId xmlns="" xmlns:a16="http://schemas.microsoft.com/office/drawing/2014/main" id="{71141766-A4AB-45D2-AC9B-503454AE1A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I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54384" y="3347357"/>
              <a:ext cx="2071009" cy="44631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364191</xdr:colOff>
      <xdr:row>1</xdr:row>
      <xdr:rowOff>0</xdr:rowOff>
    </xdr:from>
    <xdr:to>
      <xdr:col>9</xdr:col>
      <xdr:colOff>364190</xdr:colOff>
      <xdr:row>33</xdr:row>
      <xdr:rowOff>168087</xdr:rowOff>
    </xdr:to>
    <xdr:grpSp>
      <xdr:nvGrpSpPr>
        <xdr:cNvPr id="7" name="Agrupar 6">
          <a:extLst>
            <a:ext uri="{FF2B5EF4-FFF2-40B4-BE49-F238E27FC236}">
              <a16:creationId xmlns="" xmlns:a16="http://schemas.microsoft.com/office/drawing/2014/main" id="{8F4AC2D2-8068-4C5A-A87A-215AC2D86815}"/>
            </a:ext>
          </a:extLst>
        </xdr:cNvPr>
        <xdr:cNvGrpSpPr/>
      </xdr:nvGrpSpPr>
      <xdr:grpSpPr>
        <a:xfrm>
          <a:off x="5042647" y="196103"/>
          <a:ext cx="13250955" cy="10225366"/>
          <a:chOff x="4616262" y="350184"/>
          <a:chExt cx="13355171" cy="6813467"/>
        </a:xfrm>
      </xdr:grpSpPr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4" name="DATA DO EMPENHO">
                <a:extLst>
                  <a:ext uri="{FF2B5EF4-FFF2-40B4-BE49-F238E27FC236}">
                    <a16:creationId xmlns="" xmlns:a16="http://schemas.microsoft.com/office/drawing/2014/main" id="{AFFEA3BE-BEAC-4A1A-9AFD-2ACD2CE5099F}"/>
                  </a:ext>
                </a:extLst>
              </xdr:cNvPr>
              <xdr:cNvGraphicFramePr>
                <a:graphicFrameLocks noChangeAspect="1"/>
              </xdr:cNvGraphicFramePr>
            </xdr:nvGraphicFramePr>
            <xdr:xfrm>
              <a:off x="7087720" y="5781351"/>
              <a:ext cx="10883713" cy="1344501"/>
            </xdr:xfrm>
            <a:graphic>
              <a:graphicData uri="http://schemas.microsoft.com/office/drawing/2012/timeslicer">
                <tsle:timeslicer name="DATA DO EMPENH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494819" y="6437658"/>
                <a:ext cx="10798783" cy="154511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Linha do tempo: Funciona em Excel 2013 ou superior. Não mover ou redimensionar.</a:t>
                </a:r>
              </a:p>
            </xdr:txBody>
          </xdr:sp>
        </mc:Fallback>
      </mc:AlternateContent>
      <xdr:graphicFrame macro="">
        <xdr:nvGraphicFramePr>
          <xdr:cNvPr id="5" name="Gráfico 4">
            <a:extLst>
              <a:ext uri="{FF2B5EF4-FFF2-40B4-BE49-F238E27FC236}">
                <a16:creationId xmlns="" xmlns:a16="http://schemas.microsoft.com/office/drawing/2014/main" id="{B11313B1-E374-49C3-AA55-A5ED5D187306}"/>
              </a:ext>
            </a:extLst>
          </xdr:cNvPr>
          <xdr:cNvGraphicFramePr>
            <a:graphicFrameLocks noChangeAspect="1"/>
          </xdr:cNvGraphicFramePr>
        </xdr:nvGraphicFramePr>
        <xdr:xfrm>
          <a:off x="7059706" y="350184"/>
          <a:ext cx="10897720" cy="533415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6" name="JUÍZO">
                <a:extLst>
                  <a:ext uri="{FF2B5EF4-FFF2-40B4-BE49-F238E27FC236}">
                    <a16:creationId xmlns="" xmlns:a16="http://schemas.microsoft.com/office/drawing/2014/main" id="{3AB35A00-5738-49AF-877E-D18405FA70A2}"/>
                  </a:ext>
                </a:extLst>
              </xdr:cNvPr>
              <xdr:cNvGraphicFramePr>
                <a:graphicFrameLocks noChangeAspect="1"/>
              </xdr:cNvGraphicFramePr>
            </xdr:nvGraphicFramePr>
            <xdr:xfrm>
              <a:off x="4616262" y="2561119"/>
              <a:ext cx="2317378" cy="4602532"/>
            </xdr:xfrm>
            <a:graphic>
              <a:graphicData uri="http://schemas.microsoft.com/office/drawing/2010/slicer">
                <sle:slicer xmlns:sle="http://schemas.microsoft.com/office/drawing/2010/slicer" name="JUÍZ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042647" y="2736933"/>
                <a:ext cx="2299295" cy="528927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" name="ESPECIALIDADE">
                <a:extLst>
                  <a:ext uri="{FF2B5EF4-FFF2-40B4-BE49-F238E27FC236}">
                    <a16:creationId xmlns="" xmlns:a16="http://schemas.microsoft.com/office/drawing/2014/main" id="{7BD40BD6-1F81-4BFD-91C9-2E3962ADEA14}"/>
                  </a:ext>
                </a:extLst>
              </xdr:cNvPr>
              <xdr:cNvGraphicFramePr>
                <a:graphicFrameLocks noChangeAspect="1"/>
              </xdr:cNvGraphicFramePr>
            </xdr:nvGraphicFramePr>
            <xdr:xfrm>
              <a:off x="4616264" y="360264"/>
              <a:ext cx="2303370" cy="2077014"/>
            </xdr:xfrm>
            <a:graphic>
              <a:graphicData uri="http://schemas.microsoft.com/office/drawing/2010/slicer">
                <sle:slicer xmlns:sle="http://schemas.microsoft.com/office/drawing/2010/slicer" name="ESPECIALIDAD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042649" y="207687"/>
                <a:ext cx="2285396" cy="2386927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 editAs="oneCell">
    <xdr:from>
      <xdr:col>0</xdr:col>
      <xdr:colOff>154080</xdr:colOff>
      <xdr:row>28</xdr:row>
      <xdr:rowOff>165848</xdr:rowOff>
    </xdr:from>
    <xdr:to>
      <xdr:col>3</xdr:col>
      <xdr:colOff>160244</xdr:colOff>
      <xdr:row>33</xdr:row>
      <xdr:rowOff>242606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ERITO 1">
              <a:extLst>
                <a:ext uri="{FF2B5EF4-FFF2-40B4-BE49-F238E27FC236}">
                  <a16:creationId xmlns="" xmlns:a16="http://schemas.microsoft.com/office/drawing/2014/main" id="{48783AC8-C62F-4BCE-9D5B-E573A9B122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I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080" y="6973422"/>
              <a:ext cx="4684620" cy="14169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63873</xdr:colOff>
      <xdr:row>14</xdr:row>
      <xdr:rowOff>146797</xdr:rowOff>
    </xdr:from>
    <xdr:to>
      <xdr:col>3</xdr:col>
      <xdr:colOff>140073</xdr:colOff>
      <xdr:row>23</xdr:row>
      <xdr:rowOff>182096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OMARCA 2">
              <a:extLst>
                <a:ext uri="{FF2B5EF4-FFF2-40B4-BE49-F238E27FC236}">
                  <a16:creationId xmlns="" xmlns:a16="http://schemas.microsoft.com/office/drawing/2014/main" id="{2A708DF2-CFEF-4DC1-97E3-F76D0F57A0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ARC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873" y="4208929"/>
              <a:ext cx="4754656" cy="2696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düardo Gonçalves" refreshedDate="44404.634200810186" createdVersion="7" refreshedVersion="7" minRefreshableVersion="3" recordCount="103">
  <cacheSource type="worksheet">
    <worksheetSource ref="A3:U106" sheet="Dados (Tabela)"/>
  </cacheSource>
  <cacheFields count="23">
    <cacheField name="Nº DE PERÍCIAS" numFmtId="49">
      <sharedItems/>
    </cacheField>
    <cacheField name="DATA DA REQUISIÇÃO" numFmtId="0">
      <sharedItems containsSemiMixedTypes="0" containsNonDate="0" containsDate="1" containsString="0" minDate="2017-12-13T00:00:00" maxDate="2021-11-25T00:00:00"/>
    </cacheField>
    <cacheField name="PROCESSO ADMIN. Nº" numFmtId="49">
      <sharedItems/>
    </cacheField>
    <cacheField name="JUÍZO" numFmtId="0">
      <sharedItems count="78">
        <s v="5ª Vara de Sousa"/>
        <s v="5ª Vara de Patos"/>
        <s v="2ª Vara de Queimadas"/>
        <s v="Vara única de Sumé"/>
        <s v="4ª Vara de Sousa"/>
        <s v="1ª Vara Cível de Campina Grande"/>
        <s v="Vara única de Serra Branca"/>
        <s v="2ª Vara de Pombal"/>
        <s v=" 1ª Vara Cível de Campina Grande"/>
        <s v="7ª Vara de Sousa"/>
        <s v="3ª Vara de Família de Campina Grande"/>
        <s v="9ª Vara Cível de Campina Grande"/>
        <s v="2ª Vara de Família de Campina Grande"/>
        <s v="9ª Vara de Ingá"/>
        <s v="3ª Vara de Cajazeiras"/>
        <s v="7ª Vara Cível de João Pessoa"/>
        <s v="3ª Vara Cível de Campina Grande"/>
        <s v="1ª Vara de Família de Campina Grande"/>
        <s v="8ª Vara Cível de Campina Grande"/>
        <s v="5ª Vara Cível de Campina Grande"/>
        <s v="4ª Vara de Família de Campina Grande"/>
        <s v="4ª Vara de Bayeux"/>
        <s v="5ª Vara de Guarabira"/>
        <s v="4ª Vara de Cabedelo"/>
        <s v="7ª Vara de Patos"/>
        <s v="Vara única de Belém"/>
        <s v="Vara única de São José de _x000a_Piranhas"/>
        <s v="Vara única de Pocinhos"/>
        <s v="4ª Vara Cível de Campina Grande"/>
        <s v="2ª Vara de Piancó"/>
        <s v="5ª Vara de Família de Campina Grande"/>
        <s v="9ª Vara Cível de João Pessoa"/>
        <s v="2ª Vara de Bayeux"/>
        <s v="7ª Vara  de Sousa"/>
        <s v="8ª Vara Cível de João Pessoa"/>
        <s v="12ª Vara Cível de João Pessoa"/>
        <s v="2ª Vara Cível de João Pessoa"/>
        <s v="10ª Vara Cível de Campina Grande"/>
        <s v="2ª Vara de Família de João Pessoa"/>
        <s v="1ª Vara Cível de João Pessoa"/>
        <s v="3ª Vara de Itaporanga"/>
        <s v="Vara única de São Bento"/>
        <s v="12ª Vara de João Pessoa" u="1"/>
        <s v="5a Vara de Sousa" u="1"/>
        <s v="2a Vara Cível da Capital" u="1"/>
        <s v="2ª Vara  de Piancó" u="1"/>
        <s v="7ª Vara da Capital" u="1"/>
        <s v="Comarca de Belém" u="1"/>
        <s v="Comarca de Pocinhos" u="1"/>
        <s v="Comarca de Sumé" u="1"/>
        <s v="10ª Vara de Campina Grande" u="1"/>
        <s v="9ª Vara de João Pessoa" u="1"/>
        <s v="4ª Vara de Campina Grande" u="1"/>
        <s v="Comarca de São Bento" u="1"/>
        <s v="2ª Vara de João Pessoa" u="1"/>
        <s v="5ª Vara  de Campina Grande" u="1"/>
        <s v="Comarca de São José_x000a_Piranhas" u="1"/>
        <s v=" Vara Única de São Bento" u="1"/>
        <s v="9ª Vara de Campina Grande" u="1"/>
        <s v="7ª Vara de João Pessoa" u="1"/>
        <s v="2ª Vara de Campina Grande" u="1"/>
        <s v="VARA ÚNICA DE SÃO JOSÉ DE_x000a_PIRANHAS-PB" u="1"/>
        <s v="Comarca de SÃO JOSÉ DE_x000a_PIRANHAS-PB" u="1"/>
        <s v=" 1ª Vara de Campina Grande" u="1"/>
        <s v="Comarca de Serra Branca" u="1"/>
        <s v="4a Vara de Sousa" u="1"/>
        <s v="5a Vara de Patos" u="1"/>
        <s v="5ª Vara de Campina Grande" u="1"/>
        <s v="Comarca de São José de_x000a_Piranhas" u="1"/>
        <s v="3ª Vara de Família Campina Grande" u="1"/>
        <s v="8ª Vara de João Pessoa" u="1"/>
        <s v="3ª Vara de Campina Grande" u="1"/>
        <s v="1ª Vara de João Pessoa" u="1"/>
        <s v="4ª Vara  de Campina Grande" u="1"/>
        <s v="3ª Vara  de Itaporanga" u="1"/>
        <s v="8ª Vara de Campina Grande" u="1"/>
        <s v="Comarca de São José de _x000a_Piranhas" u="1"/>
        <s v="1ª Vara de Campina Grande" u="1"/>
      </sharedItems>
    </cacheField>
    <cacheField name="COMARCA" numFmtId="0">
      <sharedItems count="26">
        <s v="Comarca de Sousa"/>
        <s v="Comarca de Patos"/>
        <s v="Comarca de Queimadas"/>
        <s v="Comarca de Sumé"/>
        <s v="Comarca de Campina Grande"/>
        <s v="Comarca de Serra Branca"/>
        <s v="Comarca de Pombal"/>
        <s v="Comarca de Ingá"/>
        <s v="Comarca de Cajazeiras"/>
        <s v="Comarca de João Pessoa"/>
        <s v="Comarca de Bayeux"/>
        <s v="Comarca de Guarabira"/>
        <s v="Comarca de Cabedelo"/>
        <s v="Comarca de Belém"/>
        <s v="Comarca de São José de _x000a_Piranhas"/>
        <s v="Comarca de Pocinhos"/>
        <s v="Comarca de Piancó"/>
        <s v="Comarca de Itaporanga"/>
        <s v="Comarca de São Bento"/>
        <s v="Comarca  de Campina Grande" u="1"/>
        <s v=" Comarca  de Campina Grande" u="1"/>
        <s v="Comarca  de Piancó" u="1"/>
        <s v="1Comarca  de João Pessoa" u="1"/>
        <s v="Comarca  de Sousa" u="1"/>
        <s v="Comarca  de Itaporanga" u="1"/>
        <s v="Comarca  de João Pessoa" u="1"/>
      </sharedItems>
    </cacheField>
    <cacheField name="PROCESSO Nº" numFmtId="0">
      <sharedItems/>
    </cacheField>
    <cacheField name="PROMOVENTE" numFmtId="0">
      <sharedItems/>
    </cacheField>
    <cacheField name="PROMOVIDO" numFmtId="0">
      <sharedItems/>
    </cacheField>
    <cacheField name="PERITO" numFmtId="0">
      <sharedItems count="62">
        <s v="CLÁUDIA SARMENTO GADELHA"/>
        <s v="Felipe Queiroga Gadelha"/>
        <s v="ANTÔNIO LEITE LOUREIRO NETO PERÍCIAS E CÁLCULOS JURÍDICOS EIRELI"/>
        <s v="ELDIMAN SOARES DE ARAÚJO"/>
        <s v="SILVANIA CASSIA MAYER JERONIMO"/>
        <s v="ANTÔNIO GABRIEL FEITOSA ROLIM"/>
        <s v="ALEXSANDRA DE ANDRADE CABRAL"/>
        <s v="MARTINHO FERNANDES SOUSA MOTA"/>
        <s v="ABIK ENGENHARIA E CONSULTORIA LTDA"/>
        <s v="HIRAN DE MELO FILHO"/>
        <s v="EBRON GUEDES DE MELO"/>
        <s v="Mauridete Grangeiro de Barros"/>
        <s v="Werlley Targino de Araújo"/>
        <s v="Janaína Bezerra de Queiroz"/>
        <s v="Rafael Alexandre_x000a_Fernandes dos Santos Queiroz"/>
        <s v="Valnice_x000a_de Moraes Rolim"/>
        <s v="Valéria Bezerra Cavalcanti Petrucci"/>
        <s v="HYGO DE ALMEIDA PORDEUS"/>
        <s v="Janio de Araújo Oliveira"/>
        <s v="Glória_x000a_Geane Oliveira Fernandes"/>
        <s v="DJANETE SANTOS DO BÚ"/>
        <s v="Daniel dos Santos"/>
        <s v="Henrique José Henriques Arteiro"/>
        <s v="Isabel Amorim Leôncio"/>
        <s v="Adrineide Martins Pamplona de Sousa_x000a_"/>
        <s v="Diego da Fonseca Soares"/>
        <s v="Gustavo Henrique Valença de Melo"/>
        <s v="Jéssica de Queiroz Vieira"/>
        <s v="Adália de Sá Costa"/>
        <s v="NILSON SHIZUE SUASSUNA"/>
        <s v="Carlene Fulco da Silva"/>
        <s v="Manuel Caetano de Brito Neto"/>
        <s v="Tiago Martins Formiga"/>
        <s v="Marcos Tiago de_x000a_Sousa Victor"/>
        <s v="Claudia Cristina Studart Leal"/>
        <s v="ANA ELIZABETH ARAÚJO LUNA"/>
        <s v="José de Santana Filho"/>
        <s v="Iago Mangueira Leite"/>
        <s v="Marcos Vinicius Amorim Freitas"/>
        <s v=" Fábio Kenedy Almeida Trigueiro"/>
        <s v="ADAUTO DE ARAÚJO VICENTE"/>
        <s v="Paulo Roberto Mota"/>
        <s v="AMANDA DA SILVEIRA CANDEIA"/>
        <s v="Cícero da_x000a_Costa Cirne"/>
        <s v="Rennan Felipe Santos da Silva"/>
        <s v="Rafael Camelo de Andrade Trajano"/>
        <s v="Yves Conrado Prudencio"/>
        <s v="ALEXSANDRO DA SILVA FERNANDES"/>
        <s v="ANTÓNIO GABRIEL FEITOSA ROLIM" u="1"/>
        <s v="MAURIDETE GRANGEIRO DE BARROS " u="1"/>
        <s v=" Marcos Tiago de Sousa Victor" u="1"/>
        <s v="ABIK ENGENHARIA ECONSULTORIA LTDA" u="1"/>
        <s v="MARCOS TIAGO DE SOUSA_x000a_VICTOR" u="1"/>
        <s v="ELDIMAN SOARES_x000a_DE ARAÚJO" u="1"/>
        <s v="JANAINA_x000a_BEZERRA DE QUEIROZ" u="1"/>
        <s v="Janaina Bezerra de Queiroz" u="1"/>
        <s v="Alexsandra de_x000a_Andrade Cabral" u="1"/>
        <s v="EBROM GUEDES DE MELO" u="1"/>
        <s v=" ABIK ENGENHARIA E CONSULTORIA" u="1"/>
        <s v=" FELIPE QUEIROGA GADELHA" u="1"/>
        <s v="Maurinete Grangeiro de Barros" u="1"/>
        <s v=" Diego da Fonseca Soares" u="1"/>
      </sharedItems>
    </cacheField>
    <cacheField name="CPF/CNJP" numFmtId="0">
      <sharedItems containsMixedTypes="1" containsNumber="1" containsInteger="1" minValue="9104652401" maxValue="9104652401"/>
    </cacheField>
    <cacheField name="ESPECIALIDADE" numFmtId="0">
      <sharedItems count="8">
        <s v="MEDICINA / ODONTOLOGIA"/>
        <s v="GRAFOSCOPIA"/>
        <s v="DIREITO"/>
        <s v="SERVIÇO SOCIAL"/>
        <s v="PSICOLOGIA"/>
        <s v="ENGENHARIA E ARQUITETURA"/>
        <s v="CIÊNCIAS CONTÁBEIS"/>
        <s v="MEDICINA" u="1"/>
      </sharedItems>
    </cacheField>
    <cacheField name="ESPÉCIE DE PERÍCIA" numFmtId="0">
      <sharedItems/>
    </cacheField>
    <cacheField name="Fator" numFmtId="0">
      <sharedItems containsSemiMixedTypes="0" containsString="0" containsNumber="1" containsInteger="1" minValue="1" maxValue="17"/>
    </cacheField>
    <cacheField name="Valor Tabelado Anexo I - Tabela I" numFmtId="4">
      <sharedItems containsSemiMixedTypes="0" containsString="0" containsNumber="1" containsInteger="1" minValue="300" maxValue="870"/>
    </cacheField>
    <cacheField name="VALOR ARBITRADO" numFmtId="4">
      <sharedItems containsSemiMixedTypes="0" containsString="0" containsNumber="1" minValue="200" maxValue="1850"/>
    </cacheField>
    <cacheField name="CHECAGEM" numFmtId="0">
      <sharedItems/>
    </cacheField>
    <cacheField name="DATA ADIANTAMENTO" numFmtId="4">
      <sharedItems containsNonDate="0" containsString="0" containsBlank="1"/>
    </cacheField>
    <cacheField name="R$" numFmtId="4">
      <sharedItems containsNonDate="0" containsString="0" containsBlank="1"/>
    </cacheField>
    <cacheField name="%" numFmtId="10">
      <sharedItems containsBlank="1"/>
    </cacheField>
    <cacheField name="CHECAGEM ADIATAMENTO" numFmtId="10">
      <sharedItems/>
    </cacheField>
    <cacheField name="DATA DO EMPENHO" numFmtId="164">
      <sharedItems containsSemiMixedTypes="0" containsNonDate="0" containsDate="1" containsString="0" minDate="2020-11-09T00:00:00" maxDate="2021-07-01T00:00:00" count="36">
        <d v="2020-11-09T00:00:00"/>
        <d v="2021-03-13T00:00:00"/>
        <d v="2021-03-12T00:00:00"/>
        <d v="2021-03-18T00:00:00"/>
        <d v="2021-03-19T00:00:00"/>
        <d v="2021-03-21T00:00:00"/>
        <d v="2021-03-23T00:00:00"/>
        <d v="2021-03-29T00:00:00"/>
        <d v="2021-04-09T00:00:00"/>
        <d v="2021-02-12T00:00:00"/>
        <d v="2021-04-13T00:00:00"/>
        <d v="2021-04-15T00:00:00"/>
        <d v="2021-04-16T00:00:00"/>
        <d v="2021-04-20T00:00:00"/>
        <d v="2021-04-22T00:00:00"/>
        <d v="2021-04-29T00:00:00"/>
        <d v="2021-05-05T00:00:00"/>
        <d v="2021-05-07T00:00:00"/>
        <d v="2021-05-10T00:00:00"/>
        <d v="2021-05-13T00:00:00"/>
        <d v="2021-05-14T00:00:00"/>
        <d v="2021-05-17T00:00:00"/>
        <d v="2021-05-15T00:00:00"/>
        <d v="2021-05-18T00:00:00"/>
        <d v="2021-05-22T00:00:00"/>
        <d v="2021-05-25T00:00:00"/>
        <d v="2021-06-03T00:00:00"/>
        <d v="2021-06-07T00:00:00"/>
        <d v="2021-06-08T00:00:00"/>
        <d v="2021-06-16T00:00:00"/>
        <d v="2021-03-01T00:00:00"/>
        <d v="2021-06-14T00:00:00"/>
        <d v="2021-06-11T00:00:00"/>
        <d v="2021-06-15T00:00:00"/>
        <d v="2021-06-28T00:00:00"/>
        <d v="2021-06-30T00:00:00"/>
      </sharedItems>
      <fieldGroup par="22" base="20">
        <rangePr groupBy="months" startDate="2020-11-09T00:00:00" endDate="2021-07-01T00:00:00"/>
        <groupItems count="14">
          <s v="&lt;09/11/2020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7/2021"/>
        </groupItems>
      </fieldGroup>
    </cacheField>
    <cacheField name="Trimestres" numFmtId="0" databaseField="0">
      <fieldGroup base="20">
        <rangePr groupBy="quarters" startDate="2020-11-09T00:00:00" endDate="2021-07-01T00:00:00"/>
        <groupItems count="6">
          <s v="&lt;09/11/2020"/>
          <s v="Trim1"/>
          <s v="Trim2"/>
          <s v="Trim3"/>
          <s v="Trim4"/>
          <s v="&gt;01/07/2021"/>
        </groupItems>
      </fieldGroup>
    </cacheField>
    <cacheField name="Anos" numFmtId="0" databaseField="0">
      <fieldGroup base="20">
        <rangePr groupBy="years" startDate="2020-11-09T00:00:00" endDate="2021-07-01T00:00:00"/>
        <groupItems count="4">
          <s v="&lt;09/11/2020"/>
          <s v="2020"/>
          <s v="2021"/>
          <s v="&gt;01/07/2021"/>
        </groupItems>
      </fieldGroup>
    </cacheField>
  </cacheFields>
  <extLst>
    <ext xmlns:x14="http://schemas.microsoft.com/office/spreadsheetml/2009/9/main" uri="{725AE2AE-9491-48be-B2B4-4EB974FC3084}">
      <x14:pivotCacheDefinition pivotCacheId="103062323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Edüardo Gonçalves" refreshedDate="44845.502977430559" createdVersion="7" refreshedVersion="8" minRefreshableVersion="3" recordCount="804">
  <cacheSource type="worksheet">
    <worksheetSource ref="A3:W807" sheet="Dados (Tabela)"/>
  </cacheSource>
  <cacheFields count="23">
    <cacheField name="Nº DE PERÍCIAS" numFmtId="49">
      <sharedItems/>
    </cacheField>
    <cacheField name="DATA DA REQUISIÇÃO" numFmtId="0">
      <sharedItems containsDate="1" containsBlank="1" containsMixedTypes="1" minDate="2017-07-19T00:00:00" maxDate="2022-12-04T00:00:00"/>
    </cacheField>
    <cacheField name="PROCESSO ADMIN. Nº" numFmtId="49">
      <sharedItems containsBlank="1"/>
    </cacheField>
    <cacheField name="JUÍZO" numFmtId="0">
      <sharedItems containsBlank="1" count="88">
        <s v="5ª Vara de Sousa"/>
        <s v="5ª Vara de Patos"/>
        <s v="2ª Vara de Queimadas"/>
        <s v="Vara única de Sumé"/>
        <s v="4ª Vara de Sousa"/>
        <s v="1ª Vara Cível de Campina Grande"/>
        <s v="Vara única de Serra Branca"/>
        <s v="2ª Vara de Pombal"/>
        <s v="7ª Vara de Sousa"/>
        <s v="3ª Vara de Família de Campina Grande"/>
        <s v="9ª Vara Cível de Campina Grande"/>
        <s v="2ª Vara de Família de Campina Grande"/>
        <s v="9ª Vara de Ingá"/>
        <s v="3ª Vara de Cajazeiras"/>
        <s v="7ª Vara Cível de João Pessoa"/>
        <s v="3ª Vara Cível de Campina Grande"/>
        <s v="1ª Vara de Família de Campina Grande"/>
        <s v="8ª Vara Cível de Campina Grande"/>
        <s v="5ª Vara Cível de Campina Grande"/>
        <s v="4ª Vara de Família de Campina Grande"/>
        <s v="4ª Vara de Bayeux"/>
        <s v="5ª Vara de Guarabira"/>
        <s v="4ª Vara de Cabedelo"/>
        <s v="7ª Vara de Patos"/>
        <s v="Vara única de Belém"/>
        <s v="Vara única de São José de Piranhas"/>
        <s v="Vara única de Pocinhos"/>
        <s v="4ª Vara Cível de Campina Grande"/>
        <s v="2ª Vara de Piancó"/>
        <s v="5ª Vara de Família de Campina Grande"/>
        <s v="9ª Vara Cível de João Pessoa"/>
        <s v="2ª Vara de Bayeux"/>
        <s v="8ª Vara Cível de João Pessoa"/>
        <s v="12ª Vara Cível de João Pessoa"/>
        <s v="2ª Vara Cível de João Pessoa"/>
        <s v="10ª Vara Cível de Campina Grande"/>
        <s v="2ª Vara de Família de João Pessoa"/>
        <s v="1ª Vara Cível de João Pessoa"/>
        <s v="3ª Vara de Itaporanga"/>
        <s v="Vara única de São Bento"/>
        <s v="4ª Vara Cível de João Pessoa"/>
        <s v="4ª Vara de Guarabira"/>
        <s v="2ª Vara de Cabedelo"/>
        <s v="17ª Vara Cível de João Pessoa"/>
        <s v="Vara única de Bananeiras"/>
        <s v="4ª Vara de Santa Rita"/>
        <s v="6ª Vara Cível de Campina Grande"/>
        <s v="16ª Vara Cível de João Pessoa"/>
        <s v="5ª Vara Cível de João Pessoa"/>
        <s v="2ª Vara da Infância de João Pessoa"/>
        <s v="Vara única de Alagoa Nova"/>
        <s v="Vara única de Santa Luzia"/>
        <s v="2ª Vara de Catolé do Rocha"/>
        <s v="4ª Vara de Cajazeiras"/>
        <s v="1ª Vara de Mamanguape"/>
        <s v="2ª Vara da Fazenda de Campina Grande"/>
        <s v="1ª Vara Regional Cível de Mangabeira"/>
        <s v="2ª Vara Cível de Campina Grande"/>
        <s v="1ª Vara de Esperança"/>
        <s v="Vara única de Pedras de Fogo"/>
        <s v="3ª Vara Cível de João Pessoa"/>
        <s v="1ª Regional Cível de Mangabeira"/>
        <s v="1ª Vara de Pombal"/>
        <s v="2ª Vara de Mamanguape"/>
        <s v="2ª Vara da Fazenda Pública de Campina Grande"/>
        <s v="5ª Vara de Cabedelo"/>
        <s v="Vara única de Pirpirituba"/>
        <m/>
        <s v="3ª Vara de Cabedelo"/>
        <s v="Vara única de Alagoa Grande"/>
        <s v="Vara única de Coremas"/>
        <s v="7ª Vara Cível de Campina Grande"/>
        <s v="5ª Vara de Cajazeiras"/>
        <s v="11ª Vara Cível de João Pessoa"/>
        <s v="1ª Vara de Catolé do Rocha"/>
        <s v="Vara única de Princesa Isabel"/>
        <s v="2ª Vara de Fazenda de Campina Grande"/>
        <s v="2ª Vara de São João do Rio do Peixe"/>
        <s v="Vara única de Remígio"/>
        <s v="Vara única de Conceição"/>
        <s v="16ª Vara de João Pessoa" u="1"/>
        <s v="Comarca de São Bento" u="1"/>
        <s v="1ª Vara de Ingá" u="1"/>
        <s v="Vara única da Comarca de Alagoa Nova" u="1"/>
        <s v="7ª Vara  de Sousa" u="1"/>
        <s v="Vara única de São José de _x000a_Piranhas" u="1"/>
        <s v=" 1ª Vara Cível de Campina Grande" u="1"/>
        <s v="1ª Vara de Campina Grande" u="1"/>
      </sharedItems>
    </cacheField>
    <cacheField name="COMARCA" numFmtId="0">
      <sharedItems containsBlank="1" count="37">
        <s v="Comarca de Sousa"/>
        <s v="Comarca de Patos"/>
        <s v="Comarca de Queimadas"/>
        <s v="Comarca de Sumé"/>
        <s v="Comarca de Campina Grande"/>
        <s v="Comarca de Serra Branca"/>
        <s v="Comarca de Pombal"/>
        <s v="Comarca de Ingá"/>
        <s v="Comarca de Cajazeiras"/>
        <s v="Comarca de João Pessoa"/>
        <s v="Comarca de Bayeux"/>
        <s v="Comarca de Guarabira"/>
        <s v="Comarca de Cabedelo"/>
        <s v="Comarca de Belém"/>
        <s v="Comarca de São José de Piranhas"/>
        <s v="Comarca de Pocinhos"/>
        <s v="Comarca de Piancó"/>
        <s v="Comarca de Itaporanga"/>
        <s v="Comarca de São Bento"/>
        <s v="Comarca de Bananeiras"/>
        <s v="Comarca de Santa Rita"/>
        <s v="Comarca de Alagoa Nova"/>
        <s v="Comarca de Santa Luzia"/>
        <s v="Comarca de Catolé do Rocha"/>
        <s v="Comarca de Mamanguape"/>
        <s v="Comarca de Esperança"/>
        <s v="Comarca de Pedras de Fogo"/>
        <s v="Comarca de Pirpirituba"/>
        <m/>
        <s v="Comarca de Alagoa Grande"/>
        <s v="Comarca de Coremas"/>
        <s v=" "/>
        <s v="Comarca de Princesa Isabel"/>
        <s v="Comarca de São João do Rio do Peixe"/>
        <s v="Comarca de Remígio"/>
        <s v="Comarca de Conceição"/>
        <s v="Comarca de São José de _x000a_Piranhas" u="1"/>
      </sharedItems>
    </cacheField>
    <cacheField name="PROCESSO Nº" numFmtId="0">
      <sharedItems containsBlank="1"/>
    </cacheField>
    <cacheField name="PROMOVENTE" numFmtId="0">
      <sharedItems containsBlank="1"/>
    </cacheField>
    <cacheField name="PROMOVIDO" numFmtId="0">
      <sharedItems containsBlank="1"/>
    </cacheField>
    <cacheField name="PERITO" numFmtId="0">
      <sharedItems containsBlank="1" count="158">
        <s v="CLÁUDIA SARMENTO GADELHA"/>
        <s v="Felipe Queiroga Gadelha"/>
        <s v="Antônio Leite Loureiro Neto"/>
        <s v="ELDIMAN SOARES DE ARAÚJO"/>
        <s v="SILVANIA CASSIA MAYER JERONIMO"/>
        <s v="ANTÔNIO GABRIEL FEITOSA ROLIM"/>
        <s v="ALEXSANDRA DE ANDRADE CABRAL"/>
        <s v="MARTINHO FERNANDES SOUSA MOTA"/>
        <s v="ABIK ENGENHARIA E CONSULTORIA LTDA"/>
        <s v="HIRAN DE MELO FILHO"/>
        <s v="EBRON GUEDES DE MELO"/>
        <s v="Mauridete Grangeiro de Barros"/>
        <s v="Werlley Targino de Araújo"/>
        <s v="JANAINA BEZERRA DE QUEIROZ "/>
        <s v="Rafael Alexandre_x000a_Fernandes dos Santos Queiroz"/>
        <s v="Valnice_x000a_de Moraes Rolim"/>
        <s v="Valéria Bezerra Cavalcanti Petrucci"/>
        <s v="HYGO DE ALMEIDA PORDEUS"/>
        <s v="Janio de Araújo Oliveira"/>
        <s v="Glória_x000a_Geane Oliveira Fernandes"/>
        <s v="DJANETE SANTOS DO BÚ"/>
        <s v="Daniel dos Santos"/>
        <s v="Henrique José Henriques Arteiro"/>
        <s v="Isabel Amorim Leôncio"/>
        <s v="Adrineide Martins Pamplona de Sousa_x000a_"/>
        <s v="Diego da Fonseca Soares"/>
        <s v="Gustavo Henrique Valença de Melo"/>
        <s v="Jéssica de Queiroz Vieira"/>
        <s v="Adália de Sá Costa"/>
        <s v="NILSON SHIZUE SUASSUNA"/>
        <s v="Carlene Fulco da Silva"/>
        <s v="MANUEL CAETANO DE BRITO NETO "/>
        <s v="Tiago Martins Formiga"/>
        <s v="Marcos Tiago de_x000a_Sousa Victor"/>
        <s v="Claudia Cristina Studart Leal"/>
        <s v="ANA ELIZABETH ARAUJO LUNA"/>
        <s v="José de Santana Filho"/>
        <s v="Iago Mangueira Leite"/>
        <s v="Marcos Vinicius Amorim Freitas"/>
        <s v="Fábio Kenedy Almeida Trigueiro"/>
        <s v="ADAUTO DE ARAÚJO VICENTE"/>
        <s v="Paulo Roberto Mota"/>
        <s v="AMANDA DA SILVEIRA CANDEIA"/>
        <s v="Cícero da Costa Cirne"/>
        <s v="Rennan Felipe Santos da Silva"/>
        <s v="Rafael Camelo de Andrade Trajano"/>
        <s v="Yves Conrado Prudencio"/>
        <s v="ALEXSANDRO DA SILVA FERNANDES"/>
        <s v="JOSÉ ODERNES ARAÚJO"/>
        <s v="Mílton Tavares de Melo Júnior"/>
        <s v="HERON ANDRADE MARINHO LMF CONSTRUCOES LTDA"/>
        <s v="Adja Maria da Silva Pereira"/>
        <s v="INGRÁCIA MARIA DE LIMA FERREIRA DUTRA"/>
        <s v="ANDRÉ CRISTIANO DA COSTA LIMA"/>
        <s v="LUCIANO JOSE LIRA MENDES"/>
        <s v="HENRIQUE RODRIGUES GOMES DA SILVA "/>
        <s v="DAVES BARBOSA LUCAS "/>
        <s v="MANUEL CAETANO DE BRITO NETO"/>
        <s v="MARY SANDRA DA SILVA "/>
        <s v="ALISSON ALVES MAGALHAES"/>
        <s v="Thiago Chaves Leite"/>
        <s v="Anastácio Alonso Varela"/>
        <s v="Carlos José Cartaxo"/>
        <s v="IZAIRANE DUTRA DE SOUSA"/>
        <s v="Eldemar Moreira de Oliveira"/>
        <s v="Raul Felipe Montenegro dos Santos"/>
        <s v="ALEXANDRA KALLYNE LUCENA LIRA LIMA"/>
        <s v="CLEANTONY RIBEIRO DE MEDEIROS"/>
        <s v="Marcela Martins de Vasconcelos"/>
        <s v="Antônio Nelbi Fernandes"/>
        <s v="Emerson Lopes de Araújo Pereira"/>
        <s v="Júlio César Lopes Serpa"/>
        <s v="Adrineide Martins Pamplona de Sousa"/>
        <s v="Diogo da Fonseca Soares"/>
        <s v="JOSEDILMA ARAÚJO DOS SANTO"/>
        <s v="MARIANA COSTA SEVERO"/>
        <s v="GABRIELLE VIDERES DE ALMEIDA MARQUES"/>
        <s v="Aline Almeida Leitão Braga"/>
        <s v="Carlos Pedro Sousa Marques"/>
        <s v="José Brasileiro Dourado Júnior"/>
        <s v="Igor Gondim"/>
        <s v="Micael Guedes da Silva"/>
        <s v="Rômulo Hamad Pereira Filho"/>
        <s v="FRANCKLIN CLAYTON OLIVEIRA VENTURA"/>
        <s v="Pedro Valentim Dantas Júnior"/>
        <s v="Daniel Ferreira Guimarães"/>
        <s v="Tiago Henrique Wanderley Monteiro"/>
        <s v="Manuel Caetano de Brito"/>
        <s v="JULIANA BESERRA DE LIMA"/>
        <s v="Silvio Romero Suassuna Primeiro"/>
        <s v="ALMI FERNANDES RIBEIRO JÚNIOR"/>
        <s v="Bianca Martins"/>
        <s v="Mirtes de Figueiredo Brito"/>
        <s v="Amanda Maria Alves do Amaral"/>
        <s v="Fabiano Gomes Cabral"/>
        <s v="Marta Liane de Almeida Ramalho Loureiro"/>
        <s v="HEUDER ROMERO LIBERALINO DA NÓBREGA"/>
        <s v="RONIVALDO DE OLIVEIRA BARROS"/>
        <s v="Francisco de Assis dos Santos"/>
        <s v="ADRIANA VIEIRA ALVES"/>
        <s v="RAVEL CARNEIRO EVARISTO"/>
        <s v="Daiane Silva de Abreu"/>
        <s v="Sérgio Maurício Valois Pina Moreira"/>
        <s v="MARCELO GAUDÊNCIO PONCE DE LEON"/>
        <s v="Giovanna Vilar Frazão Marques"/>
        <s v="Amanda Kivia Dantas de Oliveira"/>
        <s v="Breno Francisco Pereira"/>
        <s v="Luiz Brito de Souza Júnior"/>
        <s v="Dalianny Arruda Formiga"/>
        <s v="Romero Suassuna Primeiro"/>
        <s v="Marcelo Tolentino Avelino de Almeida"/>
        <s v="Waydson Basílio das Santos"/>
        <s v="Luanna Bezerra de Luna Lins"/>
        <s v="Eduardo Pereira de Sousa Neto"/>
        <s v="Giordano Mouzalas de Souza e Silva"/>
        <m/>
        <s v="ISABEL PORTELA RABELLO"/>
        <s v="Francisco Guedes de Souza Neto"/>
        <s v="JACQUELINE LEITE IMPERIANO"/>
        <s v="ADNEY JOSÉ DUARTE DE SOUZA"/>
        <s v="Márcio Ubiratan de Morais Santos"/>
        <s v="Guilherme Matias Da Silva Sousa"/>
        <s v="Adamis Ricardo da Silva Santos"/>
        <s v="RAYANE ARAÚJO TORRES LEMOS"/>
        <s v="Raphael Driessen_x000a_de Araújo Torres"/>
        <s v="Fábio Queiroz Lopes"/>
        <s v="Áurea Leite Amaral de Melo"/>
        <s v="FÉLIX GUSTAVO DE ANDRADE SANTOS"/>
        <s v="Rodrigo de Queiroz Nóbrega"/>
        <s v="GILSON DIAS DE MELO"/>
        <s v="Robson Kel Batista de Lima"/>
        <s v="Guilherme Albuquerque Gonçalves"/>
        <s v="HEVERTON ALVES COSTA"/>
        <s v="Wigna Letícia Dutra dos Santos"/>
        <s v="Jefferson Balduíno dos Santos"/>
        <s v="Káthia Batista de Asevêdo"/>
        <s v="Fabiana  Brasileiro Nunes Dantas Vilar"/>
        <s v="Andréa Calegar"/>
        <s v="Bruno Cesar Santos Oliveira"/>
        <s v="Kádimo Artur Dutra Rolim"/>
        <s v="Elves Rodolfo Rodrigues Galdino"/>
        <s v="HIRAN DE MELO FILHO, " u="1"/>
        <s v="Raul Felipe Montenegro dos Santos_x000a_" u="1"/>
        <s v="MAURIDETE GRANGEIRO DE BARROS " u="1"/>
        <s v="ANTÔNIO LEITE LOUREIRO NETO PERÍCIAS E CÁLCULOS JURÍDICOS EIRELI" u="1"/>
        <s v="JOSÉ SANTANA FILHO" u="1"/>
        <s v="CARLENE FULCO DA SILVA " u="1"/>
        <s v="ANA ELIZABETH ARAÚJO LUNA" u="1"/>
        <s v="ALEXSANDRO DA SILVA FERNANDES " u="1"/>
        <s v=" Thiago Chaves Leite" u="1"/>
        <s v="Cícero da_x000a_Costa Cirne" u="1"/>
        <s v="FELIPE QUEIROGA GADELHA " u="1"/>
        <s v=" Fábio Kenedy Almeida Trigueiro" u="1"/>
        <s v="Janaina Bezerra de Queiroz" u="1"/>
        <s v="Janaína Bezerra de Queiroz" u="1"/>
        <s v="ANTONIO LEITE LOUREIRO NETO" u="1"/>
        <s v=" INGRACIA_x000a_MARIA DE LIMA FERREIRA DUTRA" u="1"/>
        <s v="ELIZABETH ALMEIDA SANTOS DE OLIVEIRA " u="1"/>
      </sharedItems>
    </cacheField>
    <cacheField name="CPF/CNJP" numFmtId="0">
      <sharedItems containsBlank="1" containsMixedTypes="1" containsNumber="1" containsInteger="1" minValue="9104652401" maxValue="9104652401"/>
    </cacheField>
    <cacheField name="ESPECIALIDADE" numFmtId="0">
      <sharedItems containsBlank="1" count="11">
        <s v="MEDICINA / ODONTOLOGIA"/>
        <s v="GRAFOSCOPIA"/>
        <s v="DIREITO"/>
        <s v="SERVIÇO SOCIAL"/>
        <s v="PSICOLOGIA"/>
        <s v="ENGENHARIA E ARQUITETURA"/>
        <s v="CIÊNCIAS CONTÁBEIS"/>
        <s v="OUTRAS"/>
        <m/>
        <s v="LIBRAS" u="1"/>
        <s v="LAUDO DE AVALIAÇÃO DE BENS FUNGÍVEIS/IMÓVEL RURAL/URBANO, CONFORME NORMAS DA ABNT RESPECTIVAS" u="1"/>
      </sharedItems>
    </cacheField>
    <cacheField name="ESPÉCIE DE PERÍCIA" numFmtId="0">
      <sharedItems containsBlank="1"/>
    </cacheField>
    <cacheField name="Fator" numFmtId="0">
      <sharedItems containsString="0" containsBlank="1" containsNumber="1" containsInteger="1" minValue="1" maxValue="19"/>
    </cacheField>
    <cacheField name="Valor Tabelado Anexo I - Tabela I" numFmtId="4">
      <sharedItems containsBlank="1" containsMixedTypes="1" containsNumber="1" containsInteger="1" minValue="300" maxValue="870"/>
    </cacheField>
    <cacheField name="VALOR ARBITRADO" numFmtId="4">
      <sharedItems containsString="0" containsBlank="1" containsNumber="1" minValue="200" maxValue="16940"/>
    </cacheField>
    <cacheField name="CHECAGEM" numFmtId="0">
      <sharedItems containsBlank="1"/>
    </cacheField>
    <cacheField name="DATA ADIANTAMENTO" numFmtId="165">
      <sharedItems containsNonDate="0" containsDate="1" containsString="0" containsBlank="1" minDate="2021-11-12T00:00:00" maxDate="2021-11-13T00:00:00"/>
    </cacheField>
    <cacheField name="R$" numFmtId="4">
      <sharedItems containsString="0" containsBlank="1" containsNumber="1" containsInteger="1" minValue="5082" maxValue="5082"/>
    </cacheField>
    <cacheField name="%" numFmtId="10">
      <sharedItems containsBlank="1" containsMixedTypes="1" containsNumber="1" minValue="0.3" maxValue="0.3"/>
    </cacheField>
    <cacheField name="CHECAGEM ADIATAMENTO" numFmtId="10">
      <sharedItems containsBlank="1"/>
    </cacheField>
    <cacheField name="Data da Autorização da Despesa" numFmtId="164">
      <sharedItems containsNonDate="0" containsDate="1" containsString="0" containsBlank="1" minDate="2002-06-10T00:00:00" maxDate="2022-09-30T00:00:00" count="224">
        <d v="2020-11-09T00:00:00"/>
        <d v="2021-03-13T00:00:00"/>
        <d v="2021-03-12T00:00:00"/>
        <d v="2021-03-18T00:00:00"/>
        <d v="2021-03-19T00:00:00"/>
        <d v="2021-03-21T00:00:00"/>
        <d v="2021-03-23T00:00:00"/>
        <d v="2021-03-29T00:00:00"/>
        <d v="2021-04-09T00:00:00"/>
        <d v="2021-02-12T00:00:00"/>
        <d v="2021-04-13T00:00:00"/>
        <d v="2021-04-15T00:00:00"/>
        <d v="2021-04-16T00:00:00"/>
        <d v="2021-04-20T00:00:00"/>
        <d v="2021-04-22T00:00:00"/>
        <d v="2021-04-29T00:00:00"/>
        <d v="2021-05-05T00:00:00"/>
        <d v="2021-05-07T00:00:00"/>
        <d v="2021-05-10T00:00:00"/>
        <d v="2021-05-13T00:00:00"/>
        <d v="2021-05-14T00:00:00"/>
        <d v="2021-05-17T00:00:00"/>
        <d v="2021-05-15T00:00:00"/>
        <d v="2021-05-18T00:00:00"/>
        <d v="2021-05-22T00:00:00"/>
        <d v="2021-05-25T00:00:00"/>
        <d v="2021-06-03T00:00:00"/>
        <d v="2021-06-07T00:00:00"/>
        <d v="2021-06-08T00:00:00"/>
        <d v="2021-06-16T00:00:00"/>
        <d v="2021-03-01T00:00:00"/>
        <d v="2021-06-14T00:00:00"/>
        <d v="2021-06-11T00:00:00"/>
        <d v="2021-06-15T00:00:00"/>
        <d v="2021-06-28T00:00:00"/>
        <d v="2021-06-30T00:00:00"/>
        <d v="2021-07-01T00:00:00"/>
        <d v="2021-07-02T00:00:00"/>
        <d v="2021-07-05T00:00:00"/>
        <d v="2021-07-07T00:00:00"/>
        <d v="2021-07-08T00:00:00"/>
        <d v="2021-07-09T00:00:00"/>
        <d v="2021-07-12T00:00:00"/>
        <d v="2021-07-13T00:00:00"/>
        <d v="2021-07-16T00:00:00"/>
        <d v="2021-07-19T00:00:00"/>
        <d v="2021-07-18T00:00:00"/>
        <d v="2021-07-21T00:00:00"/>
        <d v="2021-07-22T00:00:00"/>
        <d v="2021-07-23T00:00:00"/>
        <d v="2020-10-21T00:00:00"/>
        <d v="2021-02-16T00:00:00"/>
        <d v="2021-01-20T00:00:00"/>
        <d v="2021-02-14T00:00:00"/>
        <d v="2021-02-08T00:00:00"/>
        <d v="2021-02-15T00:00:00"/>
        <d v="2021-02-06T00:00:00"/>
        <d v="2021-02-18T00:00:00"/>
        <d v="2021-07-30T00:00:00"/>
        <d v="2021-03-02T00:00:00"/>
        <d v="2021-02-24T00:00:00"/>
        <d v="2021-02-22T00:00:00"/>
        <d v="2021-03-08T00:00:00"/>
        <d v="2021-03-04T00:00:00"/>
        <d v="2021-03-05T00:00:00"/>
        <d v="2019-08-14T00:00:00"/>
        <d v="2021-03-15T00:00:00"/>
        <d v="2021-06-12T00:00:00"/>
        <d v="2021-07-27T00:00:00"/>
        <d v="2021-07-29T00:00:00"/>
        <d v="2021-08-06T00:00:00"/>
        <d v="2021-08-09T00:00:00"/>
        <d v="2021-08-11T00:00:00"/>
        <d v="2021-08-12T00:00:00"/>
        <d v="2021-08-16T00:00:00"/>
        <d v="2021-08-14T00:00:00"/>
        <d v="2021-08-15T00:00:00"/>
        <d v="2021-08-13T00:00:00"/>
        <d v="2021-08-18T00:00:00"/>
        <d v="2021-08-23T00:00:00"/>
        <d v="2021-08-26T00:00:00"/>
        <d v="2021-08-30T00:00:00"/>
        <d v="2021-09-01T00:00:00"/>
        <d v="2021-09-03T00:00:00"/>
        <d v="2021-09-02T00:00:00"/>
        <d v="2021-09-05T00:00:00"/>
        <d v="2021-09-07T00:00:00"/>
        <d v="2021-09-09T00:00:00"/>
        <d v="2021-09-13T00:00:00"/>
        <d v="2021-09-10T00:00:00"/>
        <d v="2021-09-14T00:00:00"/>
        <d v="2021-09-17T00:00:00"/>
        <d v="2021-09-20T00:00:00"/>
        <d v="2021-09-21T00:00:00"/>
        <d v="2021-09-22T00:00:00"/>
        <d v="2021-09-23T00:00:00"/>
        <d v="2021-11-12T00:00:00"/>
        <d v="2021-10-05T00:00:00"/>
        <d v="2021-10-06T00:00:00"/>
        <d v="2021-10-07T00:00:00"/>
        <d v="2021-10-08T00:00:00"/>
        <d v="2021-10-11T00:00:00"/>
        <d v="2021-10-14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8T00:00:00"/>
        <d v="2021-10-29T00:00:00"/>
        <d v="2021-10-30T00:00:00"/>
        <d v="2021-11-04T00:00:00"/>
        <d v="2021-11-05T00:00:00"/>
        <d v="2021-11-09T00:00:00"/>
        <d v="2021-11-10T00:00:00"/>
        <d v="2021-11-11T00:00:00"/>
        <m/>
        <d v="2021-11-16T00:00:00"/>
        <d v="2021-11-18T00:00:00"/>
        <d v="2021-11-19T00:00:00"/>
        <d v="2021-11-20T00:00:00"/>
        <d v="2021-11-22T00:00:00"/>
        <d v="2021-11-29T00:00:00"/>
        <d v="2021-11-30T00:00:00"/>
        <d v="2021-12-01T00:00:00"/>
        <d v="2021-12-02T00:00:00"/>
        <d v="2021-12-03T00:00:00"/>
        <d v="2021-12-07T00:00:00"/>
        <d v="2021-12-09T00:00:00"/>
        <d v="2021-12-10T00:00:00"/>
        <d v="2021-12-13T00:00:00"/>
        <d v="2021-12-14T00:00:00"/>
        <d v="2021-12-16T00:00:00"/>
        <d v="2021-12-17T00:00:00"/>
        <d v="2022-01-12T00:00:00"/>
        <d v="2022-01-18T00:00:00"/>
        <d v="2022-02-02T00:00:00"/>
        <d v="2022-02-04T00:00:00"/>
        <d v="2022-02-07T00:00:00"/>
        <d v="2022-02-14T00:00:00"/>
        <d v="2022-02-11T00:00:00"/>
        <d v="2022-02-15T00:00:00"/>
        <d v="2022-02-20T00:00:00"/>
        <d v="2022-02-21T00:00:00"/>
        <d v="2022-02-18T00:00:00"/>
        <d v="2022-02-22T00:00:00"/>
        <d v="2022-03-02T00:00:00"/>
        <d v="2022-03-04T00:00:00"/>
        <d v="2022-02-24T00:00:00"/>
        <d v="2022-03-08T00:00:00"/>
        <d v="2022-03-18T00:00:00"/>
        <d v="2022-03-11T00:00:00"/>
        <d v="2022-03-12T00:00:00"/>
        <d v="2022-03-13T00:00:00"/>
        <d v="2022-03-19T00:00:00"/>
        <d v="2022-03-21T00:00:00"/>
        <d v="2022-03-10T00:00:00"/>
        <d v="2022-03-22T00:00:00"/>
        <d v="2022-03-14T00:00:00"/>
        <d v="2022-03-17T00:00:00"/>
        <d v="2022-03-15T00:00:00"/>
        <d v="2022-03-30T00:00:00"/>
        <d v="2022-04-04T00:00:00"/>
        <d v="2022-03-27T00:00:00"/>
        <d v="2022-04-05T00:00:00"/>
        <d v="2022-04-07T00:00:00"/>
        <d v="2022-04-08T00:00:00"/>
        <d v="2022-04-12T00:00:00"/>
        <d v="2022-04-25T00:00:00"/>
        <d v="2022-04-26T00:00:00"/>
        <d v="2022-04-28T00:00:00"/>
        <d v="2022-04-29T00:00:00"/>
        <d v="2022-04-22T00:00:00"/>
        <d v="2022-05-03T00:00:00"/>
        <d v="2022-05-02T00:00:00"/>
        <d v="2022-05-06T00:00:00"/>
        <d v="2022-05-23T00:00:00"/>
        <d v="2022-05-27T00:00:00"/>
        <d v="2022-05-26T00:00:00"/>
        <d v="2022-06-01T00:00:00"/>
        <d v="2022-06-02T00:00:00"/>
        <d v="2022-05-30T00:00:00"/>
        <d v="2022-06-06T00:00:00"/>
        <d v="2022-05-12T00:00:00"/>
        <d v="2022-05-17T00:00:00"/>
        <d v="2022-05-18T00:00:00"/>
        <d v="2022-06-10T00:00:00"/>
        <d v="2022-06-11T00:00:00"/>
        <d v="2002-06-10T00:00:00"/>
        <d v="2022-06-30T00:00:00"/>
        <d v="2022-06-28T00:00:00"/>
        <d v="2022-06-27T00:00:00"/>
        <d v="2022-06-16T00:00:00"/>
        <d v="2022-06-13T00:00:00"/>
        <d v="2022-06-14T00:00:00"/>
        <d v="2022-07-05T00:00:00"/>
        <d v="2022-07-04T00:00:00"/>
        <d v="2022-07-07T00:00:00"/>
        <d v="2022-07-12T00:00:00"/>
        <d v="2022-07-13T00:00:00"/>
        <d v="2022-07-21T00:00:00"/>
        <d v="2022-08-05T00:00:00"/>
        <d v="2022-08-10T00:00:00"/>
        <d v="2022-08-02T00:00:00"/>
        <d v="2022-08-03T00:00:00"/>
        <d v="2022-08-12T00:00:00"/>
        <d v="2022-08-17T00:00:00"/>
        <d v="2022-09-08T00:00:00"/>
        <d v="2022-09-13T00:00:00"/>
        <d v="2022-09-15T00:00:00"/>
        <d v="2022-09-12T00:00:00"/>
        <d v="2022-09-20T00:00:00"/>
        <d v="2022-09-19T00:00:00"/>
        <d v="2022-09-16T00:00:00"/>
        <d v="2022-08-23T00:00:00"/>
        <d v="2022-08-30T00:00:00"/>
        <d v="2022-09-02T00:00:00"/>
        <d v="2022-09-06T00:00:00"/>
        <d v="2002-09-12T00:00:00"/>
        <d v="2022-09-23T00:00:00"/>
        <d v="2022-09-29T00:00:00"/>
        <d v="2022-09-26T00:00:00"/>
      </sharedItems>
    </cacheField>
    <cacheField name="SALDO A RECEBER" numFmtId="4">
      <sharedItems containsBlank="1" containsMixedTypes="1" containsNumber="1" minValue="200" maxValue="11858"/>
    </cacheField>
    <cacheField name="SALDO FINAL" numFmtId="4">
      <sharedItems containsBlank="1" containsMixedTypes="1" containsNumber="1" containsInteger="1" minValue="0" maxValue="11858"/>
    </cacheField>
  </cacheFields>
  <extLst>
    <ext xmlns:x14="http://schemas.microsoft.com/office/spreadsheetml/2009/9/main" uri="{725AE2AE-9491-48be-B2B4-4EB974FC3084}">
      <x14:pivotCacheDefinition pivotCacheId="5714351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s v="01"/>
    <d v="2020-10-22T00:00:00"/>
    <s v="2020153102"/>
    <x v="0"/>
    <x v="0"/>
    <s v="0802125-_x000a_38.2018.8.15.0371"/>
    <s v="UBERLANDIA FERREIRA DE ARAUJO SILVA"/>
    <s v="MUNICIPIO DE SOUSA"/>
    <x v="0"/>
    <s v="027.099.114-00"/>
    <x v="0"/>
    <s v="OUTRAS"/>
    <n v="15"/>
    <n v="370"/>
    <n v="370"/>
    <s v="OK"/>
    <m/>
    <m/>
    <s v=""/>
    <s v=""/>
    <x v="0"/>
  </r>
  <r>
    <s v="02"/>
    <d v="2021-03-10T00:00:00"/>
    <s v="2021033397"/>
    <x v="1"/>
    <x v="1"/>
    <s v="0800904-89.2018.8.15.0251"/>
    <s v="ESPÓLIO DE IVAN BARROS DO NASCIMENTO"/>
    <s v="BANCO SANTANDER (BRASIL) S.A._x000a_"/>
    <x v="1"/>
    <s v="021.205.144-02"/>
    <x v="1"/>
    <s v="PERÍCIA GRAFOSCÓPICA"/>
    <n v="1"/>
    <n v="300"/>
    <n v="300"/>
    <s v="OK"/>
    <m/>
    <m/>
    <s v=""/>
    <s v=""/>
    <x v="1"/>
  </r>
  <r>
    <s v="03"/>
    <d v="2021-03-09T00:00:00"/>
    <s v="2021032765"/>
    <x v="1"/>
    <x v="1"/>
    <s v="0819131-86.2016.8.15.2001"/>
    <s v="PEDRO PEREIRA DA SILVA"/>
    <s v="BANCO ITAU CONSIGNADO S.A"/>
    <x v="2"/>
    <s v="34.354.738/0001-30"/>
    <x v="2"/>
    <s v="OUTRAS"/>
    <n v="2"/>
    <n v="370"/>
    <n v="370"/>
    <s v="OK"/>
    <m/>
    <m/>
    <s v=""/>
    <s v=""/>
    <x v="2"/>
  </r>
  <r>
    <s v="04"/>
    <d v="2021-03-17T00:00:00"/>
    <s v="2021036730"/>
    <x v="2"/>
    <x v="2"/>
    <s v="0800038-54.2020.815.0981"/>
    <s v="KÁCIO RICARDO DA ROCHA "/>
    <s v="INSS"/>
    <x v="3"/>
    <s v="068.997.174-50"/>
    <x v="0"/>
    <s v="OUTRAS"/>
    <n v="15"/>
    <n v="370"/>
    <n v="370"/>
    <s v="OK"/>
    <m/>
    <m/>
    <m/>
    <s v=""/>
    <x v="3"/>
  </r>
  <r>
    <s v="05"/>
    <d v="2021-03-10T00:00:00"/>
    <s v="2021033696"/>
    <x v="3"/>
    <x v="3"/>
    <s v="0800535-77.2018.815.0451"/>
    <s v="EVALDO MENDONÇA RODRIGUES DOS SANTOS"/>
    <s v="TAMIRES ANDRESA RODRIGUES DOS SANTOS"/>
    <x v="4"/>
    <s v="006.872.824-52"/>
    <x v="3"/>
    <s v="ESTUDO SOCIAL"/>
    <n v="17"/>
    <n v="300"/>
    <n v="300"/>
    <s v="OK"/>
    <m/>
    <m/>
    <s v=""/>
    <s v=""/>
    <x v="4"/>
  </r>
  <r>
    <s v="06"/>
    <d v="2021-03-10T00:00:00"/>
    <s v="2021033637"/>
    <x v="3"/>
    <x v="3"/>
    <s v="0800203-47.2017.815.0451"/>
    <s v="GERLUCE DE SOUZA QUEIROZ"/>
    <s v="EDILSON DE SOUSA SILVA"/>
    <x v="4"/>
    <s v="006.872.824-52 "/>
    <x v="3"/>
    <s v="ESTUDO SOCIAL"/>
    <n v="17"/>
    <n v="300"/>
    <n v="300"/>
    <s v="OK"/>
    <m/>
    <m/>
    <s v=""/>
    <s v=""/>
    <x v="4"/>
  </r>
  <r>
    <s v="07"/>
    <d v="2021-03-10T00:00:00"/>
    <s v="2021033653"/>
    <x v="3"/>
    <x v="3"/>
    <s v="0800203-47.2017.815.0451"/>
    <s v="GERLUCE DE SOUZA QUEIROZ"/>
    <s v="EDILSON DE SOUSA SILVA"/>
    <x v="5"/>
    <s v="088.368.794-11"/>
    <x v="4"/>
    <s v="ESTUDO SOCIAL"/>
    <n v="16"/>
    <n v="300"/>
    <n v="300"/>
    <s v="OK"/>
    <m/>
    <m/>
    <s v=""/>
    <s v=""/>
    <x v="4"/>
  </r>
  <r>
    <s v="08"/>
    <d v="2021-03-10T00:00:00"/>
    <s v="2021033688"/>
    <x v="3"/>
    <x v="3"/>
    <s v="0800296-77.2016.815.0451"/>
    <s v="JANAISA MARIA DA SILVA "/>
    <s v="TAMIRES PIONE DA SILVA"/>
    <x v="5"/>
    <s v="088.368.794-11"/>
    <x v="4"/>
    <s v="ESTUDO SOCIAL"/>
    <n v="17"/>
    <n v="300"/>
    <n v="300"/>
    <s v="OK"/>
    <m/>
    <m/>
    <s v=""/>
    <s v=""/>
    <x v="4"/>
  </r>
  <r>
    <s v="09"/>
    <d v="2021-03-16T00:00:00"/>
    <s v="2021035876"/>
    <x v="4"/>
    <x v="0"/>
    <s v="0802588-43.2019.8.15.0371"/>
    <s v="KACILENE AUGUSTA DA SILVA"/>
    <s v="MUNICIPIO DO LASTRO"/>
    <x v="1"/>
    <s v="021.205.144-02"/>
    <x v="5"/>
    <s v="LAUDO DE INSALUBRIDADE E/OU PERICULOSIDADE, CONFORME NORMAS DA ABNT RESPECTIVAS"/>
    <n v="11"/>
    <n v="370"/>
    <n v="370"/>
    <s v="OK"/>
    <m/>
    <m/>
    <s v=""/>
    <s v=""/>
    <x v="4"/>
  </r>
  <r>
    <s v="10"/>
    <d v="2021-03-15T00:00:00"/>
    <s v="2021035093"/>
    <x v="4"/>
    <x v="0"/>
    <s v="0800918-04.2018.8.15.0371"/>
    <s v="DANIEL LEITE DE OLIVEIRA FILHO"/>
    <s v="MUNICÍPIO DE SOUSA"/>
    <x v="1"/>
    <s v="021.205.144-02"/>
    <x v="5"/>
    <s v="LAUDO DE INSALUBRIDADE E/OU PERICULOSIDADE, CONFORME NORMAS DA ABNT RESPECTIVAS"/>
    <n v="11"/>
    <n v="370"/>
    <n v="370"/>
    <s v="OK"/>
    <m/>
    <m/>
    <s v=""/>
    <s v=""/>
    <x v="5"/>
  </r>
  <r>
    <s v="11"/>
    <d v="2021-03-15T00:00:00"/>
    <s v="2021035132"/>
    <x v="4"/>
    <x v="0"/>
    <s v="0804078-03.2019.8.15.0371"/>
    <s v="SEBASTIAO JOSE DE CARVALHO NETO"/>
    <s v="MUNICIPIO DE SOUSA"/>
    <x v="1"/>
    <s v="021.205.144-02"/>
    <x v="5"/>
    <s v="LAUDO DE INSALUBRIDADE E/OU PERICULOSIDADE, CONFORME NORMAS DA ABNT RESPECTIVAS"/>
    <n v="11"/>
    <n v="370"/>
    <n v="370"/>
    <s v="OK"/>
    <m/>
    <m/>
    <s v=""/>
    <s v=""/>
    <x v="5"/>
  </r>
  <r>
    <s v="12"/>
    <d v="2021-07-03T00:00:00"/>
    <s v="2020097732"/>
    <x v="5"/>
    <x v="4"/>
    <s v="0800663-60.2016.8.15.0001"/>
    <s v="ERICK MASSIMO PEQUENO DOS REIS"/>
    <s v="ASSOC DOS PROFISSIONAIS LIB.UNIV.DO BRASIL-APLUB"/>
    <x v="6"/>
    <s v="018.641.624-57"/>
    <x v="1"/>
    <s v="LAUDO GRAFOTÉCNICO"/>
    <n v="2"/>
    <n v="370"/>
    <n v="370"/>
    <s v="OK"/>
    <m/>
    <m/>
    <s v=""/>
    <s v=""/>
    <x v="5"/>
  </r>
  <r>
    <s v="13"/>
    <d v="2021-03-16T00:00:00"/>
    <s v="2021035833"/>
    <x v="4"/>
    <x v="0"/>
    <s v="0801417-85.2018.8.15.0371"/>
    <s v="EDNA MARIA DANTAS DE SOUSA"/>
    <s v="MUNICIPIO DE SOUSA"/>
    <x v="1"/>
    <s v="021.205.144-03"/>
    <x v="5"/>
    <s v="LAUDO DE INSALUBRIDADE E/OU PERICULOSIDADE, CONFORME NORMAS DA ABNT RESPECTIVAS"/>
    <n v="11"/>
    <n v="370"/>
    <n v="370"/>
    <s v="OK"/>
    <m/>
    <m/>
    <s v=""/>
    <s v=""/>
    <x v="5"/>
  </r>
  <r>
    <s v="14"/>
    <d v="2021-03-10T00:00:00"/>
    <s v="2021033707"/>
    <x v="3"/>
    <x v="3"/>
    <s v="0800469-97.2018.815.0451"/>
    <s v="1ªVARA FAMÍLIA E SUCESSÕES DE SÃO MIGUEL_x000a_PAULISTA"/>
    <s v="JUÍZO DE DIREITO DA COMARCA DE SUMÉ"/>
    <x v="5"/>
    <s v="088.368.794-11"/>
    <x v="4"/>
    <s v="ESTUDO SOCIAL"/>
    <n v="16"/>
    <n v="300"/>
    <n v="300"/>
    <s v="OK"/>
    <m/>
    <m/>
    <s v=""/>
    <s v=""/>
    <x v="5"/>
  </r>
  <r>
    <s v="15"/>
    <d v="2021-03-10T00:00:00"/>
    <s v="2021033731"/>
    <x v="3"/>
    <x v="3"/>
    <s v="0800469-97.2018.815.0451"/>
    <s v="1ªVARA FAMÍLIA E SUCESSÕES DE SÃO MIGUEL_x000a_PAULISTA"/>
    <s v="JUÍZO DE DIREITO DA COMARCA DE SUMÉ"/>
    <x v="4"/>
    <s v="006.872.824-52 "/>
    <x v="3"/>
    <s v="ESTUDO SOCIAL"/>
    <n v="17"/>
    <n v="300"/>
    <n v="300"/>
    <s v="OK"/>
    <m/>
    <m/>
    <s v=""/>
    <s v=""/>
    <x v="5"/>
  </r>
  <r>
    <s v="16"/>
    <d v="2020-11-03T00:00:00"/>
    <s v="2020157697"/>
    <x v="6"/>
    <x v="5"/>
    <s v="0000091-65.2012.8.15.0911"/>
    <s v="INEZ PEREIRA CAVALCANTE E OUTRO"/>
    <s v="CLAUDIA SIMONE FIGUEIREDO CUSTODIO E OUTROS"/>
    <x v="7"/>
    <s v="161.259.084-53"/>
    <x v="5"/>
    <s v="PARECER TÉCNICO DE ESTABILIDADEDE EDIFICAÇÃO"/>
    <n v="1"/>
    <n v="300"/>
    <n v="300"/>
    <s v="OK"/>
    <m/>
    <m/>
    <s v=""/>
    <s v=""/>
    <x v="3"/>
  </r>
  <r>
    <s v="17"/>
    <d v="2021-03-10T00:00:00"/>
    <s v="2021033670"/>
    <x v="3"/>
    <x v="3"/>
    <s v="0800296-77.2016.815.0451"/>
    <s v="JANAISA MARIA DA SILVA "/>
    <s v="TAMIRES PIONE DA SILVA"/>
    <x v="4"/>
    <s v="006.872.824-52"/>
    <x v="3"/>
    <s v="ESTUDO SOCIAL"/>
    <n v="17"/>
    <n v="300"/>
    <n v="300"/>
    <s v="OK"/>
    <m/>
    <m/>
    <s v=""/>
    <s v=""/>
    <x v="5"/>
  </r>
  <r>
    <s v="18"/>
    <d v="2021-03-22T00:00:00"/>
    <s v="2021038000"/>
    <x v="1"/>
    <x v="1"/>
    <s v="0806619-78.2019.8.15.0251"/>
    <s v="CARLOS AFONSO SOARES CAVALCANTI"/>
    <s v="BANCO BRADESCO FINANCIAMENTOS S.A."/>
    <x v="1"/>
    <s v="021.205.144-02"/>
    <x v="1"/>
    <s v="LAUDO GRAFOTÉCNICO"/>
    <n v="1"/>
    <n v="300"/>
    <n v="300"/>
    <s v="OK"/>
    <m/>
    <m/>
    <s v=""/>
    <s v=""/>
    <x v="5"/>
  </r>
  <r>
    <s v="19"/>
    <d v="2021-03-22T00:00:00"/>
    <s v="2021038139"/>
    <x v="2"/>
    <x v="2"/>
    <s v="0001670-90.2016.8.15.0981"/>
    <s v="ERIBERTO MARQUES DE _x000a_FREITAS"/>
    <s v="INSS"/>
    <x v="3"/>
    <s v=" 043.079.784-20"/>
    <x v="0"/>
    <s v="OUTRAS"/>
    <n v="15"/>
    <n v="370"/>
    <n v="370"/>
    <s v="OK"/>
    <m/>
    <m/>
    <s v=""/>
    <s v=""/>
    <x v="6"/>
  </r>
  <r>
    <s v="20"/>
    <d v="2021-03-22T00:00:00"/>
    <s v="2021038180"/>
    <x v="2"/>
    <x v="2"/>
    <s v="0001214-77.2015.0981"/>
    <s v="JONATHAN OLIVEIRA DOS ANJOS"/>
    <s v="INSS"/>
    <x v="3"/>
    <s v=" 043.079.784-20"/>
    <x v="0"/>
    <s v="OUTRAS"/>
    <n v="15"/>
    <n v="370"/>
    <n v="370"/>
    <s v="OK"/>
    <m/>
    <m/>
    <s v=""/>
    <s v=""/>
    <x v="6"/>
  </r>
  <r>
    <s v="21"/>
    <d v="2021-03-22T00:00:00"/>
    <s v="2021038155"/>
    <x v="2"/>
    <x v="2"/>
    <s v="0801509-42.2019.8.15.0981"/>
    <s v="SEVERINO CABOCLO_x000a_DA SILVA JÚNIOR"/>
    <s v="INSS"/>
    <x v="3"/>
    <s v="043.079.784-20"/>
    <x v="0"/>
    <s v="OUTRAS"/>
    <n v="15"/>
    <n v="370"/>
    <n v="370"/>
    <s v="OK"/>
    <m/>
    <m/>
    <s v=""/>
    <s v=""/>
    <x v="6"/>
  </r>
  <r>
    <s v="22"/>
    <d v="2021-03-22T00:00:00"/>
    <s v="2021038163"/>
    <x v="2"/>
    <x v="2"/>
    <s v=" 0001632-49.2014.8.15.0981"/>
    <s v="JOAO PAULO FERNANDES"/>
    <s v="INSS"/>
    <x v="3"/>
    <s v="043.079.784-20"/>
    <x v="0"/>
    <s v="OUTRAS"/>
    <n v="15"/>
    <n v="370"/>
    <n v="370"/>
    <s v="OK"/>
    <m/>
    <m/>
    <s v=""/>
    <s v=""/>
    <x v="6"/>
  </r>
  <r>
    <s v="23"/>
    <d v="2021-03-22T00:00:00"/>
    <s v="2021038198"/>
    <x v="2"/>
    <x v="2"/>
    <s v="0000568-04.2014.8.15.0981"/>
    <s v="JOSÉ RILDO BARBOSA NUNES "/>
    <s v="INSS"/>
    <x v="3"/>
    <s v="043.079.784-20"/>
    <x v="0"/>
    <s v="OUTRAS"/>
    <n v="15"/>
    <n v="370"/>
    <n v="370"/>
    <s v="OK"/>
    <m/>
    <m/>
    <s v=""/>
    <s v=""/>
    <x v="6"/>
  </r>
  <r>
    <s v="24"/>
    <d v="2021-03-23T00:00:00"/>
    <s v="2021038704"/>
    <x v="7"/>
    <x v="6"/>
    <s v="0002562-41.2012.8.15.0301"/>
    <s v="Adail Gilberto de Sousa Silva e outro"/>
    <s v="Francisco Leite da Silva e outros"/>
    <x v="8"/>
    <s v="34.746.608/0001-81"/>
    <x v="5"/>
    <s v="LAUDO PERICIAL EM AÇÃO DEMARCATÓRIA"/>
    <n v="10"/>
    <n v="870"/>
    <n v="870"/>
    <s v="OK"/>
    <m/>
    <m/>
    <s v=""/>
    <s v=""/>
    <x v="7"/>
  </r>
  <r>
    <s v="25"/>
    <d v="2021-03-26T00:00:00"/>
    <s v="2021040477"/>
    <x v="8"/>
    <x v="4"/>
    <s v="0826413-59.2019.8.15.000"/>
    <s v="ROBERIO GOMES DE LIMA LINS"/>
    <s v="HERON ANDRADE MARINHO LMF CONSTRUCOES LTDA"/>
    <x v="9"/>
    <s v="096.857.564-14"/>
    <x v="5"/>
    <s v="LAUDO PERICIAL DAS CONDIÇÕES ESTRUTURAIS DE SEGURNÇA E SOLIDEZ DE IM´VEL, CONFORME NORMA DA ABNT RESPECTIV AS"/>
    <n v="8"/>
    <n v="370"/>
    <n v="370"/>
    <s v="OK"/>
    <m/>
    <m/>
    <s v=""/>
    <s v=""/>
    <x v="7"/>
  </r>
  <r>
    <s v="26"/>
    <d v="2021-04-08T00:00:00"/>
    <s v="2021043650"/>
    <x v="7"/>
    <x v="6"/>
    <s v="0001535-23.2012.815.0301"/>
    <s v="ADENILZA ALVINA_x000a_CAVALCANTI"/>
    <s v="ESPÓLIO DE FRANCISCA TRIGUEIRO_x000a_TORRES"/>
    <x v="8"/>
    <s v="34.746.608/0001-81"/>
    <x v="5"/>
    <s v="LAUDO PERICIAL EM AÇÃO DEMARCATÓRIA"/>
    <n v="10"/>
    <n v="870"/>
    <n v="870"/>
    <s v="OK"/>
    <m/>
    <m/>
    <s v=""/>
    <s v=""/>
    <x v="8"/>
  </r>
  <r>
    <s v="27"/>
    <d v="2021-11-24T00:00:00"/>
    <s v="2020170964"/>
    <x v="9"/>
    <x v="0"/>
    <s v="0803653-10.2018.8.15.0371"/>
    <s v="FRANCISCO PEREIRA DE SOUSA"/>
    <s v="JOSÉ ALVES DA SILVA &quot;MACAXEIRA&quot;"/>
    <x v="10"/>
    <s v="109.743.648-58"/>
    <x v="5"/>
    <s v="LAUDO PERICIAL EM AÇÃO DEMARCATÓRIA"/>
    <n v="10"/>
    <n v="870"/>
    <n v="1500"/>
    <s v="OK"/>
    <m/>
    <m/>
    <s v=""/>
    <s v=""/>
    <x v="8"/>
  </r>
  <r>
    <s v="28"/>
    <d v="2021-02-01T00:00:00"/>
    <s v="2021013834"/>
    <x v="10"/>
    <x v="4"/>
    <s v="0816721-36.2019.8.15.0001"/>
    <s v="SIDILENE PEREIRA GONCALVES"/>
    <s v="ROMILDA GOMES (IRMÃ PAULINA)"/>
    <x v="11"/>
    <s v=" 397.520.114-20"/>
    <x v="3"/>
    <s v="ESTUDO SOCIAL"/>
    <n v="17"/>
    <n v="300"/>
    <n v="450"/>
    <s v="OK"/>
    <m/>
    <m/>
    <s v=""/>
    <s v=""/>
    <x v="9"/>
  </r>
  <r>
    <s v="29"/>
    <d v="2021-01-29T00:00:00"/>
    <s v="2021013117"/>
    <x v="11"/>
    <x v="4"/>
    <s v="0020828-39.2013.8.15.0011"/>
    <s v="JOSE CUNHA DANTAS SOBRINHO E OUTROS"/>
    <s v="COMPANHIA DE ÁGUA E ESGOTOS DA PARAÍBA - CAGEPA"/>
    <x v="12"/>
    <s v="700291034-52"/>
    <x v="5"/>
    <s v="LAUDO DE AVALIAÇÃO DE IMÓVEL URBANO, CONFORME NORMAS DA ABNT RESPECTIVA"/>
    <n v="6"/>
    <n v="430"/>
    <n v="1850"/>
    <s v="OK"/>
    <m/>
    <m/>
    <s v=""/>
    <s v=""/>
    <x v="8"/>
  </r>
  <r>
    <s v="30"/>
    <d v="2021-02-11T00:00:00"/>
    <s v="2020031934"/>
    <x v="12"/>
    <x v="4"/>
    <s v="0816608-19.2018.8.15.0001"/>
    <s v=" JORGE LUIS GOMES"/>
    <s v="MARIANA SANTOS DE SOUSA"/>
    <x v="13"/>
    <s v="052.523.994.41"/>
    <x v="3"/>
    <s v="ESTUDO SOCIAL"/>
    <n v="17"/>
    <n v="300"/>
    <n v="300"/>
    <s v="OK"/>
    <m/>
    <m/>
    <s v=""/>
    <s v=""/>
    <x v="10"/>
  </r>
  <r>
    <s v="31"/>
    <d v="2019-02-14T00:00:00"/>
    <s v="2019033404"/>
    <x v="13"/>
    <x v="7"/>
    <s v="0800867-86.2016.815.0201"/>
    <s v="Sueli de Andrade Alves Correia"/>
    <s v=" Suênia Alves Correia"/>
    <x v="14"/>
    <s v="070.725.784-04"/>
    <x v="0"/>
    <s v="OUTRAS"/>
    <n v="15"/>
    <n v="370"/>
    <n v="200"/>
    <s v="OK"/>
    <m/>
    <m/>
    <s v=""/>
    <s v=""/>
    <x v="11"/>
  </r>
  <r>
    <s v="32"/>
    <d v="2021-04-15T00:00:00"/>
    <s v="2021046449"/>
    <x v="14"/>
    <x v="8"/>
    <s v="0802469-31.2016.8.15.0131"/>
    <s v="Fabiano Mendonça Cruz"/>
    <s v="Damiana Mangueira de Albuquerque"/>
    <x v="15"/>
    <s v=" 853.750.714-87"/>
    <x v="3"/>
    <s v="ESTUDO SOCIAL"/>
    <n v="17"/>
    <n v="300"/>
    <n v="300"/>
    <s v="OK"/>
    <m/>
    <m/>
    <s v=""/>
    <s v=""/>
    <x v="12"/>
  </r>
  <r>
    <s v="33"/>
    <d v="2021-04-20T00:00:00"/>
    <s v="2021048231"/>
    <x v="15"/>
    <x v="9"/>
    <s v="0829161-49.2017.8.15.2001"/>
    <s v="JOSE ARNOBIO DA SILVA PAIVA"/>
    <s v="BANCO PAN"/>
    <x v="16"/>
    <s v=" 027.388.704-14"/>
    <x v="6"/>
    <s v="OUTROS"/>
    <n v="5"/>
    <n v="370"/>
    <n v="200"/>
    <s v="OK"/>
    <m/>
    <m/>
    <s v=""/>
    <s v=""/>
    <x v="13"/>
  </r>
  <r>
    <s v="34"/>
    <d v="2021-04-22T00:00:00"/>
    <s v="2021049302"/>
    <x v="16"/>
    <x v="4"/>
    <s v="0805148-06.2016.8.15.0001"/>
    <s v="EPITACIO PEREIRA DA SILVA"/>
    <s v="ORLY VEICULOS COMERCIO E IMPORTACAO LTDA"/>
    <x v="17"/>
    <s v="035.798.954-60"/>
    <x v="5"/>
    <s v="PERÍCIA MECÂNICA"/>
    <n v="9"/>
    <n v="700"/>
    <n v="700"/>
    <s v="OK"/>
    <m/>
    <m/>
    <s v=""/>
    <s v=""/>
    <x v="14"/>
  </r>
  <r>
    <s v="35"/>
    <d v="2021-04-22T00:00:00"/>
    <s v="2021049319"/>
    <x v="16"/>
    <x v="4"/>
    <s v=" 0817799-70.2016.8.15.0001"/>
    <s v="ROBERTO BARBOSA E OUTRA"/>
    <s v="ANTONIO CABRAL DE CASTRO E S/ ESPOSA MARLUCE_x000a_CAVALCANTI F. CASTRO"/>
    <x v="18"/>
    <s v="052.364.334-95"/>
    <x v="5"/>
    <s v="OUTRAS"/>
    <n v="12"/>
    <n v="370"/>
    <n v="300"/>
    <s v="OK"/>
    <m/>
    <m/>
    <s v=""/>
    <s v=""/>
    <x v="14"/>
  </r>
  <r>
    <s v="36"/>
    <d v="2019-06-20T00:00:00"/>
    <s v="2019127184"/>
    <x v="14"/>
    <x v="8"/>
    <s v="0002400-03.2014.815.013"/>
    <s v="Ministério Público"/>
    <s v="Janaína da Silva"/>
    <x v="19"/>
    <s v=" 020.667.704-93"/>
    <x v="0"/>
    <s v="LAUDO EM INTERDIÇÃO/DNA"/>
    <n v="13"/>
    <n v="370"/>
    <n v="300"/>
    <s v="OK"/>
    <m/>
    <m/>
    <s v=""/>
    <s v=""/>
    <x v="15"/>
  </r>
  <r>
    <s v="37"/>
    <d v="2019-11-27T00:00:00"/>
    <s v="2019264473"/>
    <x v="5"/>
    <x v="4"/>
    <s v="0020986-94.2013.8.15.0011"/>
    <s v="SUELDO RODRIGUES DOS SANTOS"/>
    <s v="MARIANA BABY IND E COM DE FRALDAS DESCARTAVEIS_x000a_LTDA"/>
    <x v="6"/>
    <s v="018.641.624-57"/>
    <x v="1"/>
    <s v="LAUDO GRAFOTÉCNICO"/>
    <n v="1"/>
    <n v="300"/>
    <n v="300"/>
    <s v="OK"/>
    <m/>
    <m/>
    <s v=""/>
    <s v=""/>
    <x v="15"/>
  </r>
  <r>
    <s v="38"/>
    <d v="2017-12-13T00:00:00"/>
    <s v="2017236129"/>
    <x v="17"/>
    <x v="4"/>
    <s v="0806616-39.2015.8.15.0001"/>
    <s v="Edineuza Maria Barbosa"/>
    <s v=" Adonis Rocha de Oliveira"/>
    <x v="20"/>
    <s v="884.306.344-87"/>
    <x v="3"/>
    <s v="ESTUDO SOCIAL"/>
    <n v="17"/>
    <n v="300"/>
    <n v="442.93"/>
    <s v="OK"/>
    <m/>
    <m/>
    <s v=""/>
    <s v=""/>
    <x v="16"/>
  </r>
  <r>
    <s v="39"/>
    <d v="2019-02-13T00:00:00"/>
    <s v="2019032696"/>
    <x v="18"/>
    <x v="4"/>
    <s v="0008665-90.2014.8.15.0011"/>
    <s v="DIOGO FERREIRA DA SILVA"/>
    <s v="Asia Motos Comércio e Serviços de Motos LTDA.- EPP"/>
    <x v="21"/>
    <s v="026.649.234-71"/>
    <x v="5"/>
    <s v="PERÍCIA MECÂNICA"/>
    <n v="12"/>
    <n v="370"/>
    <n v="954"/>
    <s v="OK"/>
    <m/>
    <m/>
    <s v=""/>
    <s v=""/>
    <x v="17"/>
  </r>
  <r>
    <s v="40"/>
    <d v="2020-02-21T00:00:00"/>
    <s v="2020040574"/>
    <x v="19"/>
    <x v="4"/>
    <s v="0813510-94.2016.8.15.0001"/>
    <s v=" Franciele Felix Saules de Almeida"/>
    <s v="BV Financeira S/A CRÉDITO, FINANCIAMENTO E INVESTIMENTO"/>
    <x v="22"/>
    <s v="023.989.844-35"/>
    <x v="1"/>
    <s v="LAUDO GRAFOTÉCNICO"/>
    <n v="1"/>
    <n v="300"/>
    <n v="300"/>
    <s v="OK"/>
    <m/>
    <m/>
    <s v=""/>
    <s v=""/>
    <x v="17"/>
  </r>
  <r>
    <s v="41"/>
    <d v="2019-08-21T00:00:00"/>
    <s v="2019173772"/>
    <x v="12"/>
    <x v="4"/>
    <s v="0018962-_x000a_59.2014.8.15.0011"/>
    <s v="SEVERINA CAROLINA BEZERRA"/>
    <s v="ROBERTO_x000a_BEZERRA CAMPOS"/>
    <x v="23"/>
    <s v="884.933.504-00"/>
    <x v="3"/>
    <s v="ESTUDO SOCIAL"/>
    <n v="17"/>
    <n v="300"/>
    <n v="300"/>
    <s v="OK"/>
    <m/>
    <m/>
    <s v=""/>
    <s v=""/>
    <x v="18"/>
  </r>
  <r>
    <s v="42"/>
    <d v="2020-10-21T00:00:00"/>
    <s v="2020152685"/>
    <x v="20"/>
    <x v="4"/>
    <s v="0821877-73.2017.815.0001"/>
    <s v="ANTÔNIO BATISTA CABRAL  e outra"/>
    <s v="JANAÍNA BARBOSA DE ARAÚJO"/>
    <x v="24"/>
    <s v="885.626.704-72"/>
    <x v="3"/>
    <s v="ESTUDO SOCIAL"/>
    <n v="17"/>
    <n v="300"/>
    <n v="300"/>
    <s v="OK"/>
    <m/>
    <m/>
    <s v=""/>
    <s v=""/>
    <x v="18"/>
  </r>
  <r>
    <s v="43"/>
    <d v="2019-12-06T00:00:00"/>
    <s v="2019275513"/>
    <x v="5"/>
    <x v="4"/>
    <s v="0800867-36.2018.8.15.0001"/>
    <s v="LUCENILDA SILVA LIRA"/>
    <s v="MARIA ODETE NUNES PEREIRA"/>
    <x v="9"/>
    <s v="096.857.564-14"/>
    <x v="5"/>
    <s v="LAUDO PERICIAL DAS CONDIÇÕES ESTRUTURAIS DE SEGURNÇA E SOLIDEZ DE IM´VEL, CONFORME NORMA DA ABNT RESPECTIV AS"/>
    <n v="8"/>
    <n v="370"/>
    <n v="370"/>
    <s v="OK"/>
    <m/>
    <m/>
    <s v=""/>
    <s v=""/>
    <x v="18"/>
  </r>
  <r>
    <s v="44"/>
    <d v="2020-03-17T00:00:00"/>
    <s v="2020058244"/>
    <x v="21"/>
    <x v="10"/>
    <s v="0801349-96.2017.815.0751"/>
    <s v="Maria Dalva dos Santos Costa"/>
    <s v="Município de Bayeux"/>
    <x v="25"/>
    <s v="104.955.027-74"/>
    <x v="5"/>
    <s v="LAUDO DE INSALUBRIDADE E/OU PERICULOSIDADE, CONFORME NORMAS DA ABNT RESPECTIVAS"/>
    <n v="11"/>
    <n v="370"/>
    <n v="370"/>
    <s v="OK"/>
    <m/>
    <m/>
    <s v=""/>
    <s v=""/>
    <x v="19"/>
  </r>
  <r>
    <s v="45"/>
    <d v="2020-07-30T00:00:00"/>
    <s v="2020113868"/>
    <x v="22"/>
    <x v="11"/>
    <s v="0801908-80.2018.8.15.0181"/>
    <s v="VILMA GUIMARAES DE ALMEIDA"/>
    <s v=" ESTADO DA PARAÍBA-PB"/>
    <x v="1"/>
    <s v="021.205.144-02"/>
    <x v="5"/>
    <s v="LAUDO DE INSALUBRIDADE E/OU PERICULOSIDADE, CONFORME NORMAS DA ABNT RESPECTIVAS"/>
    <n v="11"/>
    <n v="370"/>
    <n v="370"/>
    <s v="OK"/>
    <m/>
    <m/>
    <s v=""/>
    <s v=""/>
    <x v="19"/>
  </r>
  <r>
    <s v="46"/>
    <d v="2020-02-17T00:00:00"/>
    <s v="2020035961"/>
    <x v="10"/>
    <x v="4"/>
    <s v="0001932-74.2015.8.15.0011"/>
    <s v="MORGANA DE FARIAS GOMES"/>
    <s v="VALBER DE SOUSA SILVA"/>
    <x v="11"/>
    <s v="397.520.114-20"/>
    <x v="3"/>
    <s v="ESTUDO SOCIAL"/>
    <n v="17"/>
    <n v="300"/>
    <n v="450"/>
    <s v="OK"/>
    <m/>
    <m/>
    <s v=""/>
    <s v=""/>
    <x v="20"/>
  </r>
  <r>
    <s v="47"/>
    <d v="2020-09-09T00:00:00"/>
    <s v="2020135008"/>
    <x v="10"/>
    <x v="4"/>
    <s v=" 0818897-85.2019.8.15.0001_x000a_"/>
    <s v="VITÓRIA DE OLIVEIRA SOUSA"/>
    <s v="VERÔNICA DE OLIVEIRA SOUSA"/>
    <x v="11"/>
    <s v="397.520.114-20"/>
    <x v="3"/>
    <s v="ESTUDO SOCIAL"/>
    <n v="17"/>
    <n v="300"/>
    <n v="450"/>
    <s v="OK"/>
    <m/>
    <m/>
    <s v=""/>
    <s v=""/>
    <x v="20"/>
  </r>
  <r>
    <s v="48"/>
    <d v="2020-01-21T00:00:00"/>
    <s v="2020012547"/>
    <x v="10"/>
    <x v="4"/>
    <s v="0813154-31.2018.815.0001"/>
    <s v="FABIO HERMINEGILDO DE OLIVEIRA"/>
    <s v="DEBORA DE SOUSA GOMES"/>
    <x v="13"/>
    <s v="052.523.994-41"/>
    <x v="3"/>
    <s v="ESTUDO SOCIAL"/>
    <n v="17"/>
    <n v="300"/>
    <n v="450"/>
    <s v="OK"/>
    <m/>
    <m/>
    <s v=""/>
    <s v=""/>
    <x v="20"/>
  </r>
  <r>
    <s v="49"/>
    <d v="2021-02-24T00:00:00"/>
    <s v="2021026531"/>
    <x v="23"/>
    <x v="12"/>
    <s v=" 0002103-15.2009.815.0731"/>
    <s v=" Rita da Costa Vieira"/>
    <s v="Banco Volks S.A."/>
    <x v="26"/>
    <s v="332.867.874-34"/>
    <x v="6"/>
    <s v="LAUDO EM AÇÃO REVISIONAL ENVOLVENDO NEGÓCIOS BANCÁRIOS ATÉ 4 (QUATRO) CONTRATOS"/>
    <n v="2"/>
    <n v="370"/>
    <n v="1164"/>
    <s v="OK"/>
    <m/>
    <m/>
    <s v=""/>
    <s v=""/>
    <x v="20"/>
  </r>
  <r>
    <s v="50"/>
    <d v="2021-02-23T00:00:00"/>
    <s v="2021025348"/>
    <x v="10"/>
    <x v="4"/>
    <s v="0802233-13.2018.8.15.0001"/>
    <s v="ALAECO FRANCISCO DE ARRUDA"/>
    <s v="MARIA APARECIDA DE ANDRADE"/>
    <x v="11"/>
    <s v="397.520.114-20"/>
    <x v="3"/>
    <s v="ESTUDO SOCIAL"/>
    <n v="17"/>
    <n v="300"/>
    <n v="450"/>
    <s v="OK"/>
    <m/>
    <m/>
    <s v=""/>
    <s v=""/>
    <x v="20"/>
  </r>
  <r>
    <s v="51"/>
    <d v="2021-04-07T00:00:00"/>
    <s v="2021042794"/>
    <x v="1"/>
    <x v="1"/>
    <s v="0800155-42.2017.8.15.0531"/>
    <s v="MARLUCE LOPES PEREIRA"/>
    <s v="BANCO BRADESCO SA e outro"/>
    <x v="1"/>
    <s v="021.205.144-02"/>
    <x v="1"/>
    <s v="PERÍCIA GRAFOSCÓPICA"/>
    <n v="1"/>
    <n v="300"/>
    <n v="1000"/>
    <s v="OK"/>
    <m/>
    <m/>
    <s v=""/>
    <s v=""/>
    <x v="20"/>
  </r>
  <r>
    <s v="52"/>
    <d v="2020-04-16T00:00:00"/>
    <s v="2020066791"/>
    <x v="24"/>
    <x v="1"/>
    <s v="0000433-19.2012.8.15.0251"/>
    <s v="MARIA DAS GRACAS ARAUJO e outra"/>
    <s v="FRANCISCA PEREIRA DE ALMEIDA"/>
    <x v="27"/>
    <s v=" 090.129.864-60"/>
    <x v="5"/>
    <s v="LAUDO PERICIAL EM AÇÃO DEMARCATÓRIA"/>
    <n v="10"/>
    <n v="870"/>
    <n v="880"/>
    <s v="OK"/>
    <m/>
    <m/>
    <s v=""/>
    <s v=""/>
    <x v="20"/>
  </r>
  <r>
    <s v="53"/>
    <d v="2020-02-17T00:00:00"/>
    <s v="2020035945"/>
    <x v="10"/>
    <x v="4"/>
    <s v="0807670-98.2019.815.0001"/>
    <s v="JOSEFA FREIRE CAMELO"/>
    <s v="MARINEIDE SILVA CAMELO e outro"/>
    <x v="11"/>
    <s v="397.520.114-20"/>
    <x v="3"/>
    <s v="ESTUDO SOCIAL"/>
    <n v="17"/>
    <n v="300"/>
    <n v="450"/>
    <s v="OK"/>
    <m/>
    <m/>
    <s v=""/>
    <s v=""/>
    <x v="20"/>
  </r>
  <r>
    <s v="54"/>
    <d v="2020-02-17T00:00:00"/>
    <s v="2020035988"/>
    <x v="10"/>
    <x v="4"/>
    <s v="0807110-59.2019.815.0001"/>
    <s v="MARIA DO SOCORRO DA SILVA"/>
    <s v="SEM POLO PASSIVO"/>
    <x v="11"/>
    <s v="397.520.114-20"/>
    <x v="3"/>
    <s v="ESTUDO SOCIAL"/>
    <n v="17"/>
    <n v="300"/>
    <n v="450"/>
    <s v="OK"/>
    <m/>
    <m/>
    <s v=""/>
    <s v=""/>
    <x v="20"/>
  </r>
  <r>
    <s v="55"/>
    <d v="2019-11-26T00:00:00"/>
    <s v="2019263761"/>
    <x v="10"/>
    <x v="4"/>
    <s v="0022871-46.2013.815.0011"/>
    <s v="THALITA SIRLEY BEZERRA DE MELO"/>
    <s v="EDSON WESLEY DE MELO SOUZA"/>
    <x v="11"/>
    <s v="397.520.114-20"/>
    <x v="3"/>
    <s v="ESTUDO SOCIAL"/>
    <n v="17"/>
    <n v="300"/>
    <n v="450"/>
    <s v="OK"/>
    <m/>
    <m/>
    <s v=""/>
    <s v=""/>
    <x v="21"/>
  </r>
  <r>
    <s v="56"/>
    <d v="2020-06-18T00:00:00"/>
    <s v="2020092890"/>
    <x v="10"/>
    <x v="4"/>
    <s v="0023493-91.2014.8.15.0011"/>
    <s v="ADRIANO DE OLIVEIRA UCHÔA"/>
    <s v="CARMEM BERTHA VICENTE DA SILVA"/>
    <x v="28"/>
    <s v="038.490.458-80"/>
    <x v="3"/>
    <s v="ESTUDO SOCIAL"/>
    <n v="17"/>
    <n v="300"/>
    <n v="622"/>
    <s v="OK"/>
    <m/>
    <m/>
    <s v=""/>
    <s v=""/>
    <x v="20"/>
  </r>
  <r>
    <s v="57"/>
    <d v="2021-02-26T00:00:00"/>
    <s v="2021027794"/>
    <x v="25"/>
    <x v="13"/>
    <s v="0001150-77.2014.8.15.0601"/>
    <s v="MARIA BATISTA FERREIRA"/>
    <s v="BPREV -MUNICÍPIO DE DONA INÊS"/>
    <x v="29"/>
    <s v="000.827.794-06"/>
    <x v="5"/>
    <s v="LAUDO DE INSALUBRIDADE E/OU PERICULOSIDADE, CONFORME NORMAS DA ABNT RESPECTIVAS"/>
    <n v="11"/>
    <n v="370"/>
    <n v="400"/>
    <s v="OK"/>
    <m/>
    <m/>
    <s v=""/>
    <s v=""/>
    <x v="20"/>
  </r>
  <r>
    <s v="58"/>
    <d v="2021-03-09T00:00:00"/>
    <s v="2021032940"/>
    <x v="10"/>
    <x v="4"/>
    <s v="0826184-65.2020.8.15.0001"/>
    <s v="PAULO ANDRE DA SILVA SANTOS e OUTRA"/>
    <s v="SAMARA TELES DA SILVA"/>
    <x v="11"/>
    <s v="397.520.114-20"/>
    <x v="3"/>
    <s v="ESTUDO SOCIAL"/>
    <n v="17"/>
    <n v="300"/>
    <n v="450"/>
    <s v="OK"/>
    <m/>
    <m/>
    <s v=""/>
    <s v=""/>
    <x v="20"/>
  </r>
  <r>
    <s v="59"/>
    <d v="2019-10-08T00:00:00"/>
    <s v="2019216827"/>
    <x v="10"/>
    <x v="4"/>
    <s v="0014451-_x000a_81.2015.815.0011"/>
    <s v="SERGIO LUIZ MALTA DE AZEVEDO"/>
    <s v="LAIS SOARES MALTA E OUTRO"/>
    <x v="30"/>
    <s v="031.401.004-18"/>
    <x v="3"/>
    <s v="ESTUDO SOCIAL"/>
    <n v="17"/>
    <n v="300"/>
    <n v="622"/>
    <s v="OK"/>
    <m/>
    <m/>
    <s v=""/>
    <s v=""/>
    <x v="20"/>
  </r>
  <r>
    <s v="60"/>
    <d v="2021-02-25T00:00:00"/>
    <s v="2021027204"/>
    <x v="26"/>
    <x v="14"/>
    <s v="0000806-43.2012.815.0221"/>
    <s v="JOSE RIBAMAR DIAS DE SOUSA e OUTROS"/>
    <s v="MANOEL BEZERRA DIAS"/>
    <x v="31"/>
    <s v="053.027.324-16"/>
    <x v="0"/>
    <s v="LAUDO EM INTERDIÇÃO/DNA"/>
    <n v="13"/>
    <n v="370"/>
    <n v="370"/>
    <s v="OK"/>
    <m/>
    <m/>
    <s v=""/>
    <s v=""/>
    <x v="22"/>
  </r>
  <r>
    <s v="61"/>
    <d v="2021-05-10T00:00:00"/>
    <s v="2021056539"/>
    <x v="21"/>
    <x v="10"/>
    <s v="0001258-44.2014.815.0751"/>
    <s v="Janaína Fernandes Limada Silva"/>
    <s v="Município de Bayeux"/>
    <x v="25"/>
    <s v="104.955.027-74"/>
    <x v="5"/>
    <s v="LAUDO DE INSALUBRIDADE E/OU PERICULOSIDADE, CONFORME NORMAS DA ABNT RESPECTIVAS"/>
    <n v="11"/>
    <n v="370"/>
    <n v="370"/>
    <s v="OK"/>
    <m/>
    <m/>
    <s v=""/>
    <s v=""/>
    <x v="22"/>
  </r>
  <r>
    <s v="62"/>
    <d v="2021-05-14T00:00:00"/>
    <s v="2021060111"/>
    <x v="27"/>
    <x v="15"/>
    <s v="0001006-21.2016.8.15.0541"/>
    <s v="FELIPE DO NASCIMENTO TAVARES"/>
    <s v="INSS INSTITUTO NACIONAL DO SEGURO SOCIAL"/>
    <x v="32"/>
    <s v="051.447.734-27"/>
    <x v="0"/>
    <s v="OUTRAS"/>
    <n v="15"/>
    <n v="370"/>
    <n v="200"/>
    <s v="OK"/>
    <m/>
    <m/>
    <s v=""/>
    <s v=""/>
    <x v="23"/>
  </r>
  <r>
    <s v="63"/>
    <d v="2021-05-14T00:00:00"/>
    <s v="2021060103"/>
    <x v="27"/>
    <x v="15"/>
    <s v="0000660-46.2011.8.15.0541"/>
    <s v="MAILTON BARROS MARINHO"/>
    <s v="INSS INSTITUTO NACIONAL DO SEGURO SOCIAL"/>
    <x v="32"/>
    <s v="051.447.734-27"/>
    <x v="0"/>
    <s v="OUTRAS"/>
    <n v="15"/>
    <n v="370"/>
    <n v="500"/>
    <s v="OK"/>
    <m/>
    <m/>
    <s v=""/>
    <s v=""/>
    <x v="23"/>
  </r>
  <r>
    <s v="64"/>
    <d v="2021-05-14T00:00:00"/>
    <s v="2021060099"/>
    <x v="28"/>
    <x v="4"/>
    <s v=" 0801909-23.2018.8.15.0001"/>
    <s v="JESSICA MARQUES ROCHA"/>
    <s v="LINALDO AGRIPINO DOS SANTOS"/>
    <x v="33"/>
    <s v="027.494.154-62"/>
    <x v="5"/>
    <s v="LAUDO PERICIAL DAS CONDIÇÕES ESTRUTURAIS DE SEGURNÇA E SOLIDEZ DE IMÓVEL, CONFORME NORMA DA ABNT RESPECTIVAS"/>
    <n v="8"/>
    <n v="370"/>
    <n v="370"/>
    <s v="OK"/>
    <m/>
    <m/>
    <s v=""/>
    <s v=""/>
    <x v="23"/>
  </r>
  <r>
    <s v="65"/>
    <d v="2021-04-26T00:00:00"/>
    <s v="2021050663"/>
    <x v="29"/>
    <x v="16"/>
    <s v="0800713-48.2017.8.15.0261"/>
    <s v="Antônia Henrique_x000a_Tomaz"/>
    <s v="Ana Henrique Sobrinha"/>
    <x v="34"/>
    <s v="061.721.584-73"/>
    <x v="0"/>
    <s v="LAUDO EM INTERDIÇÃO/DNA"/>
    <n v="13"/>
    <n v="370"/>
    <n v="370"/>
    <s v="OK"/>
    <m/>
    <m/>
    <s v=""/>
    <s v=""/>
    <x v="23"/>
  </r>
  <r>
    <s v="66"/>
    <d v="2020-01-28T00:00:00"/>
    <s v="2020018890"/>
    <x v="30"/>
    <x v="4"/>
    <s v="0809474-43.2015.815.0001"/>
    <s v="ALISSON PEREIRA SANTANA"/>
    <s v="LARISSA PERES DE SALES CONCEIÇÃO"/>
    <x v="35"/>
    <s v=" 059.931.514-80"/>
    <x v="4"/>
    <s v="PSICOLOGIA"/>
    <n v="16"/>
    <n v="300"/>
    <n v="300"/>
    <s v="OK"/>
    <m/>
    <m/>
    <s v=""/>
    <s v=""/>
    <x v="24"/>
  </r>
  <r>
    <s v="67"/>
    <d v="2021-05-27T00:00:00"/>
    <s v="2021065923"/>
    <x v="1"/>
    <x v="1"/>
    <s v="0802069-69.2021.8.15.0251"/>
    <s v="MARIA CARMELITA DE LACERDA ALMEIDA"/>
    <s v="BANCO MERCANTIL DO BRASIL S.A."/>
    <x v="1"/>
    <s v="021.205.144-02"/>
    <x v="1"/>
    <s v="LAUDO GRAFOTÉCNICO"/>
    <n v="1"/>
    <n v="300"/>
    <n v="300"/>
    <s v="OK"/>
    <m/>
    <m/>
    <s v=""/>
    <s v=""/>
    <x v="25"/>
  </r>
  <r>
    <s v="68"/>
    <d v="2021-06-02T00:00:00"/>
    <s v="2021070703"/>
    <x v="28"/>
    <x v="4"/>
    <s v="0809888-07.2016.8.15.0001"/>
    <s v="DANILLO MARTINS FREITAS SANTOS "/>
    <s v="B.A.C CONSTRUCAO, INCORPORACAO,IMOBILARIA_x000a_EIRELI"/>
    <x v="33"/>
    <s v="027.494.154-62"/>
    <x v="5"/>
    <s v="LAUDO PERICIAL DAS CONDIÇÕES ESTRUTURAIS DE SEGURNÇA E SOLIDEZ DE IMÓVEL, CONFORME NORMA DA ABNT RESPECTIVAS"/>
    <n v="8"/>
    <n v="370"/>
    <n v="370"/>
    <s v="OK"/>
    <m/>
    <m/>
    <s v=""/>
    <s v=""/>
    <x v="26"/>
  </r>
  <r>
    <s v="69"/>
    <d v="2021-05-28T00:00:00"/>
    <s v="2021067759"/>
    <x v="28"/>
    <x v="4"/>
    <s v="0822307-59.2016.8.15.0001"/>
    <s v="JOSE FABIO MELO COSTA"/>
    <s v="CLARO S/A"/>
    <x v="36"/>
    <s v="048.870.264-04"/>
    <x v="1"/>
    <s v="PERÍCIA GRAFOSCÓPICA"/>
    <n v="1"/>
    <n v="300"/>
    <n v="300"/>
    <s v="OK"/>
    <m/>
    <m/>
    <s v=""/>
    <s v=""/>
    <x v="26"/>
  </r>
  <r>
    <s v="70"/>
    <d v="2021-06-07T00:00:00"/>
    <s v="2021072709"/>
    <x v="31"/>
    <x v="9"/>
    <s v="0101045-50.2012.8.15.2001"/>
    <s v="ANTONIO JOSÉ DE VASCONCELOS_x000a_COSTA"/>
    <s v="ENERGISA PARAIBA - DISTRIBUIDORA DE_x000a_ENERGIA S.A"/>
    <x v="37"/>
    <s v="081.405.674-18"/>
    <x v="5"/>
    <s v="LAUDO PERICIAL DAS CONDIÇÕES ESTRUTURAIS DE SEGURNÇA E SOLIDEZ DE IMÓVEL, CONFORME NORMA DA ABNT RESPECTIVAS"/>
    <n v="8"/>
    <n v="370"/>
    <n v="370"/>
    <s v="OK"/>
    <m/>
    <m/>
    <s v=""/>
    <s v=""/>
    <x v="27"/>
  </r>
  <r>
    <s v="71"/>
    <d v="2021-06-08T00:00:00"/>
    <s v="2021073564"/>
    <x v="32"/>
    <x v="10"/>
    <s v="0001735-38.2012.8.15.0751"/>
    <s v="João Batista Soares do Nascimento Júnior"/>
    <s v="FEDERAL DE SEGUROS_x000a_S/A"/>
    <x v="38"/>
    <s v="051.944.134-67"/>
    <x v="0"/>
    <s v="OUTRAS"/>
    <n v="12"/>
    <n v="370"/>
    <n v="200"/>
    <s v="OK"/>
    <m/>
    <m/>
    <s v=""/>
    <s v=""/>
    <x v="28"/>
  </r>
  <r>
    <s v="72"/>
    <d v="2021-06-07T00:00:00"/>
    <s v="2021073239"/>
    <x v="28"/>
    <x v="4"/>
    <s v="0809422-47.2015.8.15.0001"/>
    <s v="DIEGO MARTINS DUARTE e outra"/>
    <s v="ROCE CONSTRUCAO E EMPREENDIMENTOS_x000a_IMOBILIARIOS LTDA"/>
    <x v="33"/>
    <s v="027.494.154-62"/>
    <x v="5"/>
    <s v="LAUDO PERICIAL DAS CONDIÇÕES ESTRUTURAIS DE SEGURNÇA E SOLIDEZ DE IMÓVEL, CONFORME NORMA DA ABNT RESPECTIVAS"/>
    <n v="8"/>
    <n v="370"/>
    <n v="370"/>
    <s v="OK"/>
    <m/>
    <m/>
    <s v=""/>
    <s v=""/>
    <x v="28"/>
  </r>
  <r>
    <s v="73"/>
    <d v="2020-12-11T00:00:00"/>
    <s v="2020183925"/>
    <x v="23"/>
    <x v="12"/>
    <s v="0800091-_x000a_14.2017.815.0731"/>
    <s v="ANTÔNIO SEBASTIÃO DE LIMA"/>
    <s v=" BANCO BRADESCO AS"/>
    <x v="1"/>
    <s v="021.205.144-02"/>
    <x v="1"/>
    <s v="PERÍCIA GRAFOSCÓPICA"/>
    <n v="1"/>
    <n v="300"/>
    <n v="300"/>
    <s v="OK"/>
    <m/>
    <m/>
    <s v=""/>
    <s v=""/>
    <x v="29"/>
  </r>
  <r>
    <s v="74"/>
    <d v="2021-02-26T00:00:00"/>
    <s v="2021027809"/>
    <x v="25"/>
    <x v="13"/>
    <s v="0001206-13.2014.8.15.0601"/>
    <s v="JOSE BARBOSA MOREIRA"/>
    <s v="INSS"/>
    <x v="29"/>
    <s v="000.827.794-06"/>
    <x v="0"/>
    <s v="LAUDO DE INSALUBRIDADE E/OU PERICULOSIDADE, CONFORME NORMAS DA ABNT RESPECTIVAS"/>
    <n v="11"/>
    <n v="370"/>
    <n v="400"/>
    <s v="OK"/>
    <m/>
    <m/>
    <s v=""/>
    <s v=""/>
    <x v="30"/>
  </r>
  <r>
    <s v="75"/>
    <d v="2021-02-26T00:00:00"/>
    <s v="2021027760"/>
    <x v="25"/>
    <x v="13"/>
    <s v="0000123-59.2014.8.15.0601"/>
    <s v=" PEDRO DOMINGOS DOS SANTOS"/>
    <s v="PBPREV"/>
    <x v="29"/>
    <s v="000.827.794-06"/>
    <x v="0"/>
    <s v="LAUDO DE INSALUBRIDADE E/OU PERICULOSIDADE, CONFORME NORMAS DA ABNT RESPECTIVAS"/>
    <n v="11"/>
    <n v="370"/>
    <n v="400"/>
    <s v="OK"/>
    <m/>
    <m/>
    <s v=""/>
    <s v=""/>
    <x v="30"/>
  </r>
  <r>
    <s v="76"/>
    <d v="2020-11-24T00:00:00"/>
    <s v="2020170997"/>
    <x v="33"/>
    <x v="0"/>
    <s v="0803504-14.2018.8.15.0371"/>
    <s v="ESPEDITA PAULINO DE BRITO"/>
    <s v="JUDIVAN FERNANDES DE ANDRADE"/>
    <x v="10"/>
    <s v="109.743.648-58"/>
    <x v="5"/>
    <s v="LAUDO DE AVALIAÇÃO DE IMÓVEL URBANO, CONFORME NORMAS DA ABNT RESPECTIVA"/>
    <n v="6"/>
    <n v="430"/>
    <n v="1500"/>
    <s v="OK"/>
    <m/>
    <m/>
    <s v=""/>
    <s v=""/>
    <x v="20"/>
  </r>
  <r>
    <s v="77"/>
    <d v="2021-01-18T00:00:00"/>
    <s v="2021006909"/>
    <x v="18"/>
    <x v="4"/>
    <s v="0003920-04.2013.815.0011"/>
    <s v="FRANCISCO DE ASSIS OLIVEIRA DE MORAIS E OUTRA"/>
    <s v=" HOSPITAL DE OLHOS DE CARUARU LTDA E OUTRO"/>
    <x v="39"/>
    <s v="380.111.314-00"/>
    <x v="0"/>
    <s v="LAUDO SOBRE DANOS FÍSICOS E ESTÉTICOS"/>
    <n v="14"/>
    <n v="370"/>
    <n v="870"/>
    <s v="OK"/>
    <m/>
    <m/>
    <s v=""/>
    <s v=""/>
    <x v="20"/>
  </r>
  <r>
    <s v="78"/>
    <d v="2021-03-08T00:00:00"/>
    <s v="2021032548"/>
    <x v="34"/>
    <x v="9"/>
    <s v="0844820-35.2016.8.15.2001"/>
    <s v="JOAO FAGUNDES DO NASCIMENTO"/>
    <s v="DISAL ADMINISTRADORA DE CONSORCIOS LTDA"/>
    <x v="40"/>
    <s v="160.702.754-20"/>
    <x v="6"/>
    <s v="OUTROS"/>
    <n v="5"/>
    <n v="370"/>
    <n v="1850"/>
    <s v="OK"/>
    <m/>
    <m/>
    <s v=""/>
    <s v=""/>
    <x v="20"/>
  </r>
  <r>
    <s v="79"/>
    <d v="2021-02-09T00:00:00"/>
    <s v="2021019028"/>
    <x v="35"/>
    <x v="9"/>
    <s v="0034938.63.2008.815.2001"/>
    <s v="Raquel Andrade Garcia"/>
    <s v="Domingos Soares de Souza"/>
    <x v="41"/>
    <s v="070.963.994-53"/>
    <x v="5"/>
    <s v="LAUDO PERICIAL EM AÇÃO DEMARCATÓRIA"/>
    <n v="10"/>
    <n v="870"/>
    <n v="1480"/>
    <s v="OK"/>
    <m/>
    <m/>
    <s v=""/>
    <s v=""/>
    <x v="21"/>
  </r>
  <r>
    <s v="80"/>
    <d v="2020-09-21T00:00:00"/>
    <s v="2020139534"/>
    <x v="10"/>
    <x v="4"/>
    <s v="0821185-06.2019.8.15.0001"/>
    <s v="MARIA ROSA MÍSTICA SOUTO ANDRADE"/>
    <s v="ALEXANDRE DA SILVA SANTOS"/>
    <x v="11"/>
    <s v="397.520.114-20"/>
    <x v="3"/>
    <s v="ESTUDO SOCIAL"/>
    <n v="17"/>
    <n v="300"/>
    <n v="300"/>
    <s v="OK"/>
    <m/>
    <m/>
    <s v=""/>
    <s v=""/>
    <x v="2"/>
  </r>
  <r>
    <s v="81"/>
    <d v="2020-03-12T00:00:00"/>
    <s v="2020054925"/>
    <x v="10"/>
    <x v="4"/>
    <s v="0821771-43.2019.8.15.0001"/>
    <s v="WEDSON DOUGLAS SILVA MOREIRA"/>
    <s v="THAYSSA ESTHEFASNE GOMES SILVA"/>
    <x v="13"/>
    <s v="052.523.994-41"/>
    <x v="3"/>
    <s v="ESTUDO SOCIAL"/>
    <n v="17"/>
    <n v="300"/>
    <n v="300"/>
    <s v="OK"/>
    <m/>
    <m/>
    <s v=""/>
    <s v=""/>
    <x v="2"/>
  </r>
  <r>
    <s v="82"/>
    <d v="2020-02-12T00:00:00"/>
    <s v="2020033340"/>
    <x v="10"/>
    <x v="4"/>
    <s v="0009796-66.2015.815.0001"/>
    <s v="DAIANA APOLINARIO DORNELLAS"/>
    <s v="IVANILDO BASCIMENTO ALMEIDA"/>
    <x v="13"/>
    <s v="052.523.994.41"/>
    <x v="3"/>
    <s v="ESTUDO SOCIAL"/>
    <n v="17"/>
    <n v="300"/>
    <n v="300"/>
    <s v="OK"/>
    <m/>
    <m/>
    <s v=""/>
    <s v=""/>
    <x v="2"/>
  </r>
  <r>
    <s v="83"/>
    <d v="2020-03-03T00:00:00"/>
    <s v="2020047129"/>
    <x v="10"/>
    <x v="4"/>
    <s v=" 0813882-72.2018.815.0001"/>
    <s v="PAULO ROBERTO FIGUEIRA DOS SANTOS"/>
    <s v="RENALLY INGRID DA SILVA SOARES"/>
    <x v="13"/>
    <s v="052.523.994.41"/>
    <x v="3"/>
    <s v="ESTUDO SOCIAL"/>
    <n v="17"/>
    <n v="300"/>
    <n v="300"/>
    <s v="OK"/>
    <m/>
    <m/>
    <s v=""/>
    <s v=""/>
    <x v="2"/>
  </r>
  <r>
    <s v="84"/>
    <d v="2021-06-14T00:00:00"/>
    <s v="2021076028"/>
    <x v="0"/>
    <x v="0"/>
    <s v="0801205-31.2021.8.15.0251"/>
    <s v="TERESINHA ZELIA DE SOUSA"/>
    <s v="BANCO BRADESCO FINANCIAMENTOS S.A"/>
    <x v="1"/>
    <s v="021.205.144-02"/>
    <x v="1"/>
    <s v="PERÍCIA GRAFOSCÓPICA"/>
    <n v="1"/>
    <n v="300"/>
    <n v="300"/>
    <s v="OK"/>
    <m/>
    <m/>
    <s v=""/>
    <s v=""/>
    <x v="31"/>
  </r>
  <r>
    <s v="85"/>
    <d v="2020-01-16T00:00:00"/>
    <s v="2020009684"/>
    <x v="10"/>
    <x v="4"/>
    <s v="0811776-06.2019.815.0001_x000a_"/>
    <s v="SERGILNO MONTEIRO REIS DE LIMA"/>
    <s v="ALINE SOUSA LIMA e outro"/>
    <x v="11"/>
    <s v="397.520.114-20"/>
    <x v="3"/>
    <s v="ESTUDO SOCIAL"/>
    <n v="17"/>
    <n v="300"/>
    <n v="450"/>
    <s v="OK"/>
    <m/>
    <m/>
    <s v=""/>
    <s v=""/>
    <x v="32"/>
  </r>
  <r>
    <s v="86"/>
    <d v="2020-02-17T00:00:00"/>
    <s v="2020036000"/>
    <x v="10"/>
    <x v="4"/>
    <s v="0010740-68.2015.815.0011"/>
    <s v="LUIZ RODRIGUES DE SILVA"/>
    <s v="BRUNO RODRIGUES NUNES"/>
    <x v="11"/>
    <s v="397.520.114-20"/>
    <x v="3"/>
    <s v="ESTUDO SOCIAL"/>
    <n v="17"/>
    <n v="300"/>
    <n v="450"/>
    <s v="OK"/>
    <m/>
    <m/>
    <s v=""/>
    <s v=""/>
    <x v="32"/>
  </r>
  <r>
    <s v="87"/>
    <d v="2021-03-02T00:00:00"/>
    <s v="2021029419"/>
    <x v="10"/>
    <x v="4"/>
    <s v=" 0801257-35.2020.8.15.0001"/>
    <s v="CLEUZIMAR DIAS DE OLIVEIRA GADELHA e outro"/>
    <s v=" CLODOMAR DIAS DE OLIVEIRA"/>
    <x v="11"/>
    <s v="397.520.114-20"/>
    <x v="3"/>
    <s v="ESTUDO SOCIAL"/>
    <n v="17"/>
    <n v="300"/>
    <n v="450"/>
    <s v="OK"/>
    <m/>
    <m/>
    <s v=""/>
    <s v=""/>
    <x v="32"/>
  </r>
  <r>
    <s v="88"/>
    <d v="2021-02-23T00:00:00"/>
    <s v="2021025612"/>
    <x v="18"/>
    <x v="4"/>
    <s v="0800916-19.2014.8.15.0001"/>
    <s v="ANGELO FLAVIO DA SILVA"/>
    <s v="RAUL AGRIPINO SANTOS"/>
    <x v="42"/>
    <s v="047.164.824 – 80"/>
    <x v="5"/>
    <s v="LAUDO DE AVALIAÇÃO DE BENS FUNGÍVEIS/IMÓVEL RURAL/URBANO, CONFORME NORMAS DA ABNT RESPECTIVAS"/>
    <n v="9"/>
    <n v="700"/>
    <n v="1480"/>
    <s v="OK"/>
    <m/>
    <m/>
    <s v=""/>
    <s v=""/>
    <x v="33"/>
  </r>
  <r>
    <s v="89"/>
    <d v="2021-02-01T00:00:00"/>
    <s v="2021013883"/>
    <x v="10"/>
    <x v="4"/>
    <s v="0831955-58.2019.8.15.0001"/>
    <s v="BRUNNA SUELY QUEIROZ DE LIMA"/>
    <s v="WILLIAM ARAUJO DE SOUZA"/>
    <x v="11"/>
    <s v="397.520.114-20"/>
    <x v="3"/>
    <s v="ESTUDO SOCIAL"/>
    <n v="17"/>
    <n v="300"/>
    <n v="450"/>
    <s v="OK"/>
    <m/>
    <m/>
    <s v=""/>
    <s v=""/>
    <x v="32"/>
  </r>
  <r>
    <s v="90"/>
    <d v="2021-04-09T00:00:00"/>
    <s v="2021044179"/>
    <x v="10"/>
    <x v="4"/>
    <s v=" 0824755-97.2019.8.15.0001"/>
    <s v="FLAVIA JAIANE MENDES JUSTINO"/>
    <s v="ALEX DA SILVA"/>
    <x v="11"/>
    <s v="397.520.114-20"/>
    <x v="3"/>
    <s v="ESTUDO SOCIAL"/>
    <n v="17"/>
    <n v="300"/>
    <n v="450"/>
    <s v="OK"/>
    <m/>
    <m/>
    <s v=""/>
    <s v=""/>
    <x v="32"/>
  </r>
  <r>
    <s v="91"/>
    <d v="2019-11-06T00:00:00"/>
    <s v="2019243186"/>
    <x v="10"/>
    <x v="4"/>
    <s v="0804417-73.2017.815.0001"/>
    <s v="Carmem Lúcia Bernardo de Oliveira"/>
    <s v="Elisângela Oliveira de Lima e outro"/>
    <x v="13"/>
    <s v="052.523.994-41"/>
    <x v="3"/>
    <s v="ESTUDO SOCIAL"/>
    <n v="17"/>
    <n v="300"/>
    <n v="450"/>
    <s v="OK"/>
    <m/>
    <m/>
    <s v=""/>
    <s v=""/>
    <x v="32"/>
  </r>
  <r>
    <s v="92"/>
    <d v="2021-04-06T00:00:00"/>
    <s v="2021042181"/>
    <x v="10"/>
    <x v="4"/>
    <s v="0802011-45.2018.8.15.0001"/>
    <s v="TIAGO DA SILVA MARTINS"/>
    <s v="DENISE SANTOS DE MELO"/>
    <x v="11"/>
    <s v="397.520.114-20"/>
    <x v="3"/>
    <s v="ESTUDO SOCIAL"/>
    <n v="17"/>
    <n v="300"/>
    <n v="450"/>
    <s v="OK"/>
    <m/>
    <m/>
    <s v=""/>
    <s v=""/>
    <x v="32"/>
  </r>
  <r>
    <s v="93"/>
    <d v="2021-03-03T00:00:00"/>
    <s v="2021030208"/>
    <x v="36"/>
    <x v="9"/>
    <s v="0811189-03.2016.8.15.2001"/>
    <s v="MARIA DO CARMO LIRA FREIRE"/>
    <s v="BFB LEASING S/A ARRENDAMENTO MERCANTIL"/>
    <x v="40"/>
    <s v="160.702.754-20"/>
    <x v="6"/>
    <s v="LAUDO EM AÇÃO REVISIONAL ENVOLVENDO NEGÓCIOS BANCÁRIOS ATÉ 4 (QUATRO) CONTRATOS"/>
    <n v="2"/>
    <n v="370"/>
    <n v="1000"/>
    <s v="OK"/>
    <m/>
    <m/>
    <s v=""/>
    <s v=""/>
    <x v="32"/>
  </r>
  <r>
    <s v="94"/>
    <d v="2018-06-28T00:00:00"/>
    <s v="2018133201"/>
    <x v="37"/>
    <x v="4"/>
    <s v="0005518-66.2008.815.0011"/>
    <s v="José Carlos Leite"/>
    <s v="Bradesco Vida e Previdência"/>
    <x v="43"/>
    <s v="451.125.414.15"/>
    <x v="6"/>
    <s v="LAUDO EM AÇÃO REVISIONAL ENVOLVENDO NEGÓCIOS BANCÁRIOS ATÉ 4 (QUATRO) CONTRATOS"/>
    <n v="2"/>
    <n v="370"/>
    <n v="937"/>
    <s v="OK"/>
    <m/>
    <m/>
    <s v=""/>
    <s v=""/>
    <x v="32"/>
  </r>
  <r>
    <s v="95"/>
    <d v="2021-01-27T00:00:00"/>
    <s v="2021011937"/>
    <x v="10"/>
    <x v="4"/>
    <s v="0828609-02.2019.8.15.0001"/>
    <s v="CICERO FRANCISCO DE SOUZA"/>
    <s v="MARIA DO SOCORRO DE ALMEIDA"/>
    <x v="11"/>
    <s v="397.520.114-20"/>
    <x v="3"/>
    <s v="ESTUDO SOCIAL"/>
    <n v="17"/>
    <n v="300"/>
    <n v="450"/>
    <s v="OK"/>
    <m/>
    <m/>
    <s v=""/>
    <s v=""/>
    <x v="32"/>
  </r>
  <r>
    <s v="96"/>
    <d v="2018-06-19T00:00:00"/>
    <s v="2018127463"/>
    <x v="38"/>
    <x v="9"/>
    <s v="0019935-_x000a_24.2015.8.15.2001"/>
    <s v="João Monteiro de Franca Neto"/>
    <s v="Maria Ilzenir Moreira Franca"/>
    <x v="44"/>
    <s v=" 071.413.924-67"/>
    <x v="6"/>
    <s v="LAUDO EM AÇÃO REVISIONAL ENVOLVENDO NEGÓCIOS BANCÁRIOS ATÉ 4 (QUATRO) CONTRATOS"/>
    <n v="2"/>
    <n v="370"/>
    <n v="1500"/>
    <s v="OK"/>
    <m/>
    <m/>
    <s v=""/>
    <s v=""/>
    <x v="32"/>
  </r>
  <r>
    <s v="97"/>
    <d v="2020-08-11T00:00:00"/>
    <s v="2020120742"/>
    <x v="39"/>
    <x v="9"/>
    <s v="0818877-16.2016.8.15.2001"/>
    <s v="JOSE BATISTA CAMELO"/>
    <s v="BANCO BRADESCO AS"/>
    <x v="45"/>
    <s v="065.020.044-66"/>
    <x v="6"/>
    <s v="LAUDO EM AÇÃO REVISIONAL ENVOLVENDO NEGÓCIOS BANCÁRIOS ATÉ 4 (QUATRO) CONTRATOS"/>
    <n v="2"/>
    <n v="370"/>
    <n v="1500"/>
    <s v="OK"/>
    <m/>
    <m/>
    <s v=""/>
    <s v=""/>
    <x v="32"/>
  </r>
  <r>
    <s v="98"/>
    <d v="2020-02-04T00:00:00"/>
    <s v="2020025061"/>
    <x v="36"/>
    <x v="9"/>
    <s v="0123356-35.2012.8.15.2001"/>
    <s v="JOSINALDO RESENDO SOARES"/>
    <s v="BV FINANCEIRA SA CREDITO FINANCIAMENTO E_x000a_INVESTIMENTO"/>
    <x v="40"/>
    <s v="160.702.754-20"/>
    <x v="6"/>
    <s v="LAUDO EM AÇÃO REVISIONAL ENVOLVENDO NEGÓCIOS BANCÁRIOS ATÉ 4 (QUATRO) CONTRATOS"/>
    <n v="2"/>
    <n v="370"/>
    <n v="1200"/>
    <s v="OK"/>
    <m/>
    <m/>
    <s v=""/>
    <s v=""/>
    <x v="32"/>
  </r>
  <r>
    <s v="99"/>
    <d v="2021-03-16T00:00:00"/>
    <s v="2021036199"/>
    <x v="30"/>
    <x v="4"/>
    <s v="0805405-26.2019.8.15.0001"/>
    <s v="VALERIA LIRA DE AMORIM"/>
    <s v="MARCO AURELIO LIRA DE AMORIM"/>
    <x v="46"/>
    <n v="9104652401"/>
    <x v="6"/>
    <s v="OUTROS"/>
    <n v="5"/>
    <n v="370"/>
    <n v="1110"/>
    <s v="OK"/>
    <m/>
    <m/>
    <s v=""/>
    <s v=""/>
    <x v="32"/>
  </r>
  <r>
    <s v="100"/>
    <d v="2021-06-15T00:00:00"/>
    <s v="2021077406"/>
    <x v="28"/>
    <x v="4"/>
    <s v="0806908-87.2016.8.15.0001"/>
    <s v="KARLA CRISTINA CORREIA DE SOUSA"/>
    <s v="BANCO_x000a_BRADESCO SA E OUTRO"/>
    <x v="36"/>
    <s v="048.870.264-04"/>
    <x v="1"/>
    <s v="LAUDO GRAFOTÉCNICO"/>
    <n v="1"/>
    <n v="300"/>
    <n v="300"/>
    <s v="OK"/>
    <m/>
    <m/>
    <s v=""/>
    <s v=""/>
    <x v="29"/>
  </r>
  <r>
    <s v="101"/>
    <d v="2021-04-26T00:00:00"/>
    <s v="2021050735"/>
    <x v="29"/>
    <x v="16"/>
    <s v="0800318-38.2018.8.15.1161"/>
    <s v="Mara do Socorro da Silva"/>
    <s v="Francisca Maria da Silva"/>
    <x v="34"/>
    <s v="061.721.584-73"/>
    <x v="0"/>
    <s v="LAUDO EM INTERDIÇÃO/DNA"/>
    <n v="13"/>
    <n v="370"/>
    <n v="370"/>
    <s v="OK"/>
    <m/>
    <m/>
    <s v=""/>
    <s v=""/>
    <x v="29"/>
  </r>
  <r>
    <s v="102"/>
    <d v="2021-03-16T00:00:00"/>
    <s v="2021035825"/>
    <x v="40"/>
    <x v="17"/>
    <s v="0800684-_x000a_80.2019.8.15.0211"/>
    <s v="Raimunda Luíza da Silva"/>
    <s v="Sabemi Seguradora S.A."/>
    <x v="1"/>
    <s v="021.205.144-02"/>
    <x v="1"/>
    <s v="PERÍCIA GRAFOTÉCNICA"/>
    <n v="1"/>
    <n v="300"/>
    <n v="1000"/>
    <s v="OK"/>
    <m/>
    <m/>
    <s v=""/>
    <s v=""/>
    <x v="34"/>
  </r>
  <r>
    <s v="103"/>
    <d v="2021-06-29T00:00:00"/>
    <s v="2021082428"/>
    <x v="41"/>
    <x v="18"/>
    <s v=" 0800957-18.2021.8.15.0881"/>
    <s v="JOSIVALDO GOMES DANTAS "/>
    <s v="TEREZINHA GOMES DANTAS"/>
    <x v="47"/>
    <s v=" 044.220.834-06"/>
    <x v="3"/>
    <s v="ESTUDO SOCIAL"/>
    <n v="17"/>
    <n v="300"/>
    <n v="240"/>
    <s v="OK"/>
    <m/>
    <m/>
    <s v=""/>
    <s v=""/>
    <x v="3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4">
  <r>
    <s v="01"/>
    <d v="2020-10-22T00:00:00"/>
    <s v="2020153102"/>
    <x v="0"/>
    <x v="0"/>
    <s v="0802125-_x000a_38.2018.8.15.0371"/>
    <s v="UBERLANDIA FERREIRA DE ARAUJO SILVA"/>
    <s v="MUNICIPIO DE SOUSA"/>
    <x v="0"/>
    <s v="027.099.114-00"/>
    <x v="0"/>
    <s v="OUTRAS"/>
    <n v="15"/>
    <n v="370"/>
    <n v="370"/>
    <s v="OK"/>
    <m/>
    <m/>
    <s v=""/>
    <s v=""/>
    <x v="0"/>
    <n v="370"/>
    <n v="0"/>
  </r>
  <r>
    <s v="02"/>
    <d v="2021-03-10T00:00:00"/>
    <s v="2021033397"/>
    <x v="1"/>
    <x v="1"/>
    <s v="0800904-89.2018.8.15.0251"/>
    <s v="ESPÓLIO DE IVAN BARROS DO NASCIMENTO"/>
    <s v="BANCO SANTANDER (BRASIL) S.A._x000a_"/>
    <x v="1"/>
    <s v="021.205.144-02"/>
    <x v="1"/>
    <s v="PERÍCIA GRAFOSCÓPICA"/>
    <n v="1"/>
    <n v="300"/>
    <n v="300"/>
    <s v="OK"/>
    <m/>
    <m/>
    <s v=""/>
    <s v=""/>
    <x v="1"/>
    <n v="300"/>
    <n v="0"/>
  </r>
  <r>
    <s v="03"/>
    <d v="2021-03-09T00:00:00"/>
    <s v="2021032765"/>
    <x v="1"/>
    <x v="1"/>
    <s v="0819131-86.2016.8.15.2001"/>
    <s v="PEDRO PEREIRA DA SILVA"/>
    <s v="BANCO ITAU CONSIGNADO S.A"/>
    <x v="2"/>
    <s v="34.354.738/0001-30"/>
    <x v="2"/>
    <s v="OUTRAS"/>
    <n v="2"/>
    <n v="370"/>
    <n v="370"/>
    <s v="OK"/>
    <m/>
    <m/>
    <s v=""/>
    <s v=""/>
    <x v="2"/>
    <n v="370"/>
    <n v="0"/>
  </r>
  <r>
    <s v="04"/>
    <d v="2021-03-17T00:00:00"/>
    <s v="2021036730"/>
    <x v="2"/>
    <x v="2"/>
    <s v="0800038-54.2020.815.0981"/>
    <s v="KÁCIO RICARDO DA ROCHA "/>
    <s v="INSS"/>
    <x v="3"/>
    <s v="068.997.174-50"/>
    <x v="0"/>
    <s v="OUTRAS"/>
    <n v="15"/>
    <n v="370"/>
    <n v="370"/>
    <s v="OK"/>
    <m/>
    <m/>
    <m/>
    <s v=""/>
    <x v="3"/>
    <n v="370"/>
    <n v="0"/>
  </r>
  <r>
    <s v="05"/>
    <d v="2021-03-10T00:00:00"/>
    <s v="2021033696"/>
    <x v="3"/>
    <x v="3"/>
    <s v="0800535-77.2018.815.0451"/>
    <s v="EVALDO MENDONÇA RODRIGUES DOS SANTOS"/>
    <s v="TAMIRES ANDRESA RODRIGUES DOS SANTOS"/>
    <x v="4"/>
    <s v="006.872.824-52"/>
    <x v="3"/>
    <s v="ESTUDO SOCIAL"/>
    <n v="17"/>
    <n v="300"/>
    <n v="300"/>
    <s v="OK"/>
    <m/>
    <m/>
    <s v=""/>
    <s v=""/>
    <x v="4"/>
    <n v="300"/>
    <n v="0"/>
  </r>
  <r>
    <s v="06"/>
    <d v="2021-03-10T00:00:00"/>
    <s v="2021033637"/>
    <x v="3"/>
    <x v="3"/>
    <s v="0800203-47.2017.815.0451"/>
    <s v="GERLUCE DE SOUZA QUEIROZ"/>
    <s v="EDILSON DE SOUSA SILVA"/>
    <x v="4"/>
    <s v="006.872.824-52 "/>
    <x v="3"/>
    <s v="ESTUDO SOCIAL"/>
    <n v="17"/>
    <n v="300"/>
    <n v="300"/>
    <s v="OK"/>
    <m/>
    <m/>
    <s v=""/>
    <s v=""/>
    <x v="4"/>
    <n v="300"/>
    <n v="0"/>
  </r>
  <r>
    <s v="07"/>
    <d v="2021-03-10T00:00:00"/>
    <s v="2021033653"/>
    <x v="3"/>
    <x v="3"/>
    <s v="0800203-47.2017.815.0451"/>
    <s v="GERLUCE DE SOUZA QUEIROZ"/>
    <s v="EDILSON DE SOUSA SILVA"/>
    <x v="5"/>
    <s v="088.368.794-11"/>
    <x v="4"/>
    <s v="ESTUDO SOCIAL"/>
    <n v="16"/>
    <n v="300"/>
    <n v="300"/>
    <s v="OK"/>
    <m/>
    <m/>
    <s v=""/>
    <s v=""/>
    <x v="4"/>
    <n v="300"/>
    <n v="0"/>
  </r>
  <r>
    <s v="08"/>
    <d v="2021-03-10T00:00:00"/>
    <s v="2021033688"/>
    <x v="3"/>
    <x v="3"/>
    <s v="0800296-77.2016.815.0451"/>
    <s v="JANAISA MARIA DA SILVA "/>
    <s v="TAMIRES PIONE DA SILVA"/>
    <x v="5"/>
    <s v="088.368.794-11"/>
    <x v="4"/>
    <s v="ESTUDO SOCIAL"/>
    <n v="17"/>
    <n v="300"/>
    <n v="300"/>
    <s v="OK"/>
    <m/>
    <m/>
    <s v=""/>
    <s v=""/>
    <x v="4"/>
    <n v="300"/>
    <n v="0"/>
  </r>
  <r>
    <s v="09"/>
    <d v="2021-03-16T00:00:00"/>
    <s v="2021035876"/>
    <x v="4"/>
    <x v="0"/>
    <s v="0802588-43.2019.8.15.0371"/>
    <s v="KACILENE AUGUSTA DA SILVA"/>
    <s v="MUNICIPIO DO LASTRO"/>
    <x v="1"/>
    <s v="021.205.144-02"/>
    <x v="5"/>
    <s v="LAUDO DE INSALUBRIDADE E/OU PERICULOSIDADE, CONFORME NORMAS DA ABNT RESPECTIVAS"/>
    <n v="11"/>
    <n v="370"/>
    <n v="370"/>
    <s v="OK"/>
    <m/>
    <m/>
    <s v=""/>
    <s v=""/>
    <x v="4"/>
    <n v="370"/>
    <n v="0"/>
  </r>
  <r>
    <s v="10"/>
    <d v="2021-03-15T00:00:00"/>
    <s v="2021035093"/>
    <x v="4"/>
    <x v="0"/>
    <s v="0800918-04.2018.8.15.0371"/>
    <s v="DANIEL LEITE DE OLIVEIRA FILHO"/>
    <s v="MUNICÍPIO DE SOUSA"/>
    <x v="1"/>
    <s v="021.205.144-02"/>
    <x v="5"/>
    <s v="LAUDO DE INSALUBRIDADE E/OU PERICULOSIDADE, CONFORME NORMAS DA ABNT RESPECTIVAS"/>
    <n v="11"/>
    <n v="370"/>
    <n v="370"/>
    <s v="OK"/>
    <m/>
    <m/>
    <s v=""/>
    <s v=""/>
    <x v="5"/>
    <n v="370"/>
    <n v="0"/>
  </r>
  <r>
    <s v="11"/>
    <d v="2021-03-15T00:00:00"/>
    <s v="2021035132"/>
    <x v="4"/>
    <x v="0"/>
    <s v="0804078-03.2019.8.15.0371"/>
    <s v="SEBASTIAO JOSE DE CARVALHO NETO"/>
    <s v="MUNICIPIO DE SOUSA"/>
    <x v="1"/>
    <s v="021.205.144-02"/>
    <x v="5"/>
    <s v="LAUDO DE INSALUBRIDADE E/OU PERICULOSIDADE, CONFORME NORMAS DA ABNT RESPECTIVAS"/>
    <n v="11"/>
    <n v="370"/>
    <n v="370"/>
    <s v="OK"/>
    <m/>
    <m/>
    <s v=""/>
    <s v=""/>
    <x v="5"/>
    <n v="370"/>
    <n v="0"/>
  </r>
  <r>
    <s v="12"/>
    <d v="2021-07-03T00:00:00"/>
    <s v="2020097732"/>
    <x v="5"/>
    <x v="4"/>
    <s v="0800663-60.2016.8.15.0001"/>
    <s v="ERICK MASSIMO PEQUENO DOS REIS"/>
    <s v="ASSOC DOS PROFISSIONAIS LIB.UNIV.DO BRASIL-APLUB"/>
    <x v="6"/>
    <s v="018.641.624-57"/>
    <x v="1"/>
    <s v="LAUDO GRAFOTÉCNICO"/>
    <n v="2"/>
    <n v="370"/>
    <n v="370"/>
    <s v="OK"/>
    <m/>
    <m/>
    <s v=""/>
    <s v=""/>
    <x v="5"/>
    <n v="370"/>
    <n v="0"/>
  </r>
  <r>
    <s v="13"/>
    <d v="2021-03-16T00:00:00"/>
    <s v="2021035833"/>
    <x v="4"/>
    <x v="0"/>
    <s v="0801417-85.2018.8.15.0371"/>
    <s v="EDNA MARIA DANTAS DE SOUSA"/>
    <s v="MUNICIPIO DE SOUSA"/>
    <x v="1"/>
    <s v="021.205.144-03"/>
    <x v="5"/>
    <s v="LAUDO DE INSALUBRIDADE E/OU PERICULOSIDADE, CONFORME NORMAS DA ABNT RESPECTIVAS"/>
    <n v="11"/>
    <n v="370"/>
    <n v="370"/>
    <s v="OK"/>
    <m/>
    <m/>
    <s v=""/>
    <s v=""/>
    <x v="5"/>
    <n v="370"/>
    <n v="0"/>
  </r>
  <r>
    <s v="14"/>
    <d v="2021-03-10T00:00:00"/>
    <s v="2021033707"/>
    <x v="3"/>
    <x v="3"/>
    <s v="0800469-97.2018.815.0451"/>
    <s v="1ªVARA FAMÍLIA E SUCESSÕES DE SÃO MIGUEL_x000a_PAULISTA"/>
    <s v="JUÍZO DE DIREITO DA COMARCA DE SUMÉ"/>
    <x v="5"/>
    <s v="088.368.794-11"/>
    <x v="4"/>
    <s v="ESTUDO SOCIAL"/>
    <n v="16"/>
    <n v="300"/>
    <n v="300"/>
    <s v="OK"/>
    <m/>
    <m/>
    <s v=""/>
    <s v=""/>
    <x v="5"/>
    <n v="300"/>
    <n v="0"/>
  </r>
  <r>
    <s v="15"/>
    <d v="2021-03-10T00:00:00"/>
    <s v="2021033731"/>
    <x v="3"/>
    <x v="3"/>
    <s v="0800469-97.2018.815.0451"/>
    <s v="1ªVARA FAMÍLIA E SUCESSÕES DE SÃO MIGUEL_x000a_PAULISTA"/>
    <s v="JUÍZO DE DIREITO DA COMARCA DE SUMÉ"/>
    <x v="4"/>
    <s v="006.872.824-52 "/>
    <x v="3"/>
    <s v="ESTUDO SOCIAL"/>
    <n v="17"/>
    <n v="300"/>
    <n v="300"/>
    <s v="OK"/>
    <m/>
    <m/>
    <s v=""/>
    <s v=""/>
    <x v="5"/>
    <n v="300"/>
    <n v="0"/>
  </r>
  <r>
    <s v="16"/>
    <d v="2020-11-03T00:00:00"/>
    <s v="2020157697"/>
    <x v="6"/>
    <x v="5"/>
    <s v="0000091-65.2012.8.15.0911"/>
    <s v="INEZ PEREIRA CAVALCANTE E OUTRO"/>
    <s v="CLAUDIA SIMONE FIGUEIREDO CUSTODIO E OUTROS"/>
    <x v="7"/>
    <s v="161.259.084-53"/>
    <x v="5"/>
    <s v="PARECER TÉCNICO DE ESTABILIDADEDE EDIFICAÇÃO"/>
    <n v="1"/>
    <n v="300"/>
    <n v="300"/>
    <s v="OK"/>
    <m/>
    <m/>
    <s v=""/>
    <s v=""/>
    <x v="3"/>
    <n v="300"/>
    <n v="0"/>
  </r>
  <r>
    <s v="17"/>
    <d v="2021-03-10T00:00:00"/>
    <s v="2021033670"/>
    <x v="3"/>
    <x v="3"/>
    <s v="0800296-77.2016.815.0451"/>
    <s v="JANAISA MARIA DA SILVA "/>
    <s v="TAMIRES PIONE DA SILVA"/>
    <x v="4"/>
    <s v="006.872.824-52"/>
    <x v="3"/>
    <s v="ESTUDO SOCIAL"/>
    <n v="17"/>
    <n v="300"/>
    <n v="300"/>
    <s v="OK"/>
    <m/>
    <m/>
    <s v=""/>
    <s v=""/>
    <x v="5"/>
    <n v="300"/>
    <n v="0"/>
  </r>
  <r>
    <s v="18"/>
    <d v="2021-03-22T00:00:00"/>
    <s v="2021038000"/>
    <x v="1"/>
    <x v="1"/>
    <s v="0806619-78.2019.8.15.0251"/>
    <s v="CARLOS AFONSO SOARES CAVALCANTI"/>
    <s v="BANCO BRADESCO FINANCIAMENTOS S.A."/>
    <x v="1"/>
    <s v="021.205.144-02"/>
    <x v="1"/>
    <s v="LAUDO GRAFOTÉCNICO"/>
    <n v="1"/>
    <n v="300"/>
    <n v="300"/>
    <s v="OK"/>
    <m/>
    <m/>
    <s v=""/>
    <s v=""/>
    <x v="5"/>
    <n v="300"/>
    <n v="0"/>
  </r>
  <r>
    <s v="19"/>
    <d v="2021-03-22T00:00:00"/>
    <s v="2021038139"/>
    <x v="2"/>
    <x v="2"/>
    <s v="0001670-90.2016.8.15.0981"/>
    <s v="ERIBERTO MARQUES DE _x000a_FREITAS"/>
    <s v="INSS"/>
    <x v="3"/>
    <s v=" 043.079.784-20"/>
    <x v="0"/>
    <s v="OUTRAS"/>
    <n v="15"/>
    <n v="370"/>
    <n v="370"/>
    <s v="OK"/>
    <m/>
    <m/>
    <s v=""/>
    <s v=""/>
    <x v="6"/>
    <n v="370"/>
    <n v="0"/>
  </r>
  <r>
    <s v="20"/>
    <d v="2021-03-22T00:00:00"/>
    <s v="2021038180"/>
    <x v="2"/>
    <x v="2"/>
    <s v="0001214-77.2015.0981"/>
    <s v="JONATHAN OLIVEIRA DOS ANJOS"/>
    <s v="INSS"/>
    <x v="3"/>
    <s v=" 043.079.784-20"/>
    <x v="0"/>
    <s v="OUTRAS"/>
    <n v="15"/>
    <n v="370"/>
    <n v="370"/>
    <s v="OK"/>
    <m/>
    <m/>
    <s v=""/>
    <s v=""/>
    <x v="6"/>
    <n v="370"/>
    <n v="0"/>
  </r>
  <r>
    <s v="21"/>
    <d v="2021-03-22T00:00:00"/>
    <s v="2021038155"/>
    <x v="2"/>
    <x v="2"/>
    <s v="0801509-42.2019.8.15.0981"/>
    <s v="SEVERINO CABOCLO_x000a_DA SILVA JÚNIOR"/>
    <s v="INSS"/>
    <x v="3"/>
    <s v="043.079.784-20"/>
    <x v="0"/>
    <s v="OUTRAS"/>
    <n v="15"/>
    <n v="370"/>
    <n v="370"/>
    <s v="OK"/>
    <m/>
    <m/>
    <s v=""/>
    <s v=""/>
    <x v="6"/>
    <n v="370"/>
    <n v="0"/>
  </r>
  <r>
    <s v="22"/>
    <d v="2021-03-22T00:00:00"/>
    <s v="2021038163"/>
    <x v="2"/>
    <x v="2"/>
    <s v=" 0001632-49.2014.8.15.0981"/>
    <s v="JOAO PAULO FERNANDES"/>
    <s v="INSS"/>
    <x v="3"/>
    <s v="043.079.784-20"/>
    <x v="0"/>
    <s v="OUTRAS"/>
    <n v="15"/>
    <n v="370"/>
    <n v="370"/>
    <s v="OK"/>
    <m/>
    <m/>
    <s v=""/>
    <s v=""/>
    <x v="6"/>
    <n v="370"/>
    <n v="0"/>
  </r>
  <r>
    <s v="23"/>
    <d v="2021-03-22T00:00:00"/>
    <s v="2021038198"/>
    <x v="2"/>
    <x v="2"/>
    <s v="0000568-04.2014.8.15.0981"/>
    <s v="JOSÉ RILDO BARBOSA NUNES "/>
    <s v="INSS"/>
    <x v="3"/>
    <s v="043.079.784-20"/>
    <x v="0"/>
    <s v="OUTRAS"/>
    <n v="15"/>
    <n v="370"/>
    <n v="370"/>
    <s v="OK"/>
    <m/>
    <m/>
    <s v=""/>
    <s v=""/>
    <x v="6"/>
    <n v="370"/>
    <n v="0"/>
  </r>
  <r>
    <s v="24"/>
    <d v="2021-03-23T00:00:00"/>
    <s v="2021038704"/>
    <x v="7"/>
    <x v="6"/>
    <s v="0002562-41.2012.8.15.0301"/>
    <s v="Adail Gilberto de Sousa Silva e outro"/>
    <s v="Francisco Leite da Silva e outros"/>
    <x v="8"/>
    <s v="34.746.608/0001-81"/>
    <x v="5"/>
    <s v="LAUDO PERICIAL EM AÇÃO DEMARCATÓRIA"/>
    <n v="10"/>
    <n v="870"/>
    <n v="870"/>
    <s v="OK"/>
    <m/>
    <m/>
    <s v=""/>
    <s v=""/>
    <x v="7"/>
    <n v="870"/>
    <n v="0"/>
  </r>
  <r>
    <s v="25"/>
    <d v="2021-03-26T00:00:00"/>
    <s v="2021040477"/>
    <x v="5"/>
    <x v="4"/>
    <s v="0826413-59.2019.8.15.000"/>
    <s v="ROBERIO GOMES DE LIMA LINS"/>
    <s v="HERON ANDRADE MARINHO LMF CONSTRUCOES LTDA"/>
    <x v="9"/>
    <s v="096.857.564-14"/>
    <x v="5"/>
    <s v="LAUDO PERICIAL DAS CONDIÇÕES ESTRUTURAIS DE SEGURNÇA E SOLIDEZ DE IM´VEL, CONFORME NORMA DA ABNT RESPECTIV AS"/>
    <n v="8"/>
    <n v="370"/>
    <n v="370"/>
    <s v="OK"/>
    <m/>
    <m/>
    <s v=""/>
    <s v=""/>
    <x v="7"/>
    <n v="370"/>
    <n v="0"/>
  </r>
  <r>
    <s v="26"/>
    <d v="2021-04-08T00:00:00"/>
    <s v="2021043650"/>
    <x v="7"/>
    <x v="6"/>
    <s v="0001535-23.2012.815.0301"/>
    <s v="ADENILZA ALVINA_x000a_CAVALCANTI"/>
    <s v="ESPÓLIO DE FRANCISCA TRIGUEIRO_x000a_TORRES"/>
    <x v="8"/>
    <s v="34.746.608/0001-81"/>
    <x v="5"/>
    <s v="LAUDO PERICIAL EM AÇÃO DEMARCATÓRIA"/>
    <n v="10"/>
    <n v="870"/>
    <n v="870"/>
    <s v="OK"/>
    <m/>
    <m/>
    <s v=""/>
    <s v=""/>
    <x v="8"/>
    <n v="870"/>
    <n v="0"/>
  </r>
  <r>
    <s v="27"/>
    <d v="2021-11-24T00:00:00"/>
    <s v="2020170964"/>
    <x v="8"/>
    <x v="0"/>
    <s v="0803653-10.2018.8.15.0371"/>
    <s v="FRANCISCO PEREIRA DE SOUSA"/>
    <s v="JOSÉ ALVES DA SILVA &quot;MACAXEIRA&quot;"/>
    <x v="10"/>
    <s v="109.743.648-58"/>
    <x v="5"/>
    <s v="LAUDO PERICIAL EM AÇÃO DEMARCATÓRIA"/>
    <n v="10"/>
    <n v="870"/>
    <n v="1500"/>
    <s v="OK"/>
    <m/>
    <m/>
    <s v=""/>
    <s v=""/>
    <x v="8"/>
    <n v="1500"/>
    <n v="0"/>
  </r>
  <r>
    <s v="28"/>
    <d v="2021-02-01T00:00:00"/>
    <s v="2021013834"/>
    <x v="9"/>
    <x v="4"/>
    <s v="0816721-36.2019.8.15.0001"/>
    <s v="SIDILENE PEREIRA GONCALVES"/>
    <s v="ROMILDA GOMES (IRMÃ PAULINA)"/>
    <x v="11"/>
    <s v=" 397.520.114-20"/>
    <x v="3"/>
    <s v="ESTUDO SOCIAL"/>
    <n v="17"/>
    <n v="300"/>
    <n v="450"/>
    <s v="OK"/>
    <m/>
    <m/>
    <s v=""/>
    <s v=""/>
    <x v="9"/>
    <n v="450"/>
    <n v="0"/>
  </r>
  <r>
    <s v="29"/>
    <d v="2021-01-29T00:00:00"/>
    <s v="2021013117"/>
    <x v="10"/>
    <x v="4"/>
    <s v="0020828-39.2013.8.15.0011"/>
    <s v="JOSE CUNHA DANTAS SOBRINHO E OUTROS"/>
    <s v="COMPANHIA DE ÁGUA E ESGOTOS DA PARAÍBA - CAGEPA"/>
    <x v="12"/>
    <s v="700291034-52"/>
    <x v="5"/>
    <s v="LAUDO DE AVALIAÇÃO DE IMÓVEL URBANO, CONFORME NORMAS DA ABNT RESPECTIVA"/>
    <n v="6"/>
    <n v="430"/>
    <n v="1850"/>
    <s v="OK"/>
    <m/>
    <m/>
    <s v=""/>
    <s v=""/>
    <x v="8"/>
    <n v="1850"/>
    <n v="0"/>
  </r>
  <r>
    <s v="30"/>
    <d v="2021-02-11T00:00:00"/>
    <s v="2020031934"/>
    <x v="11"/>
    <x v="4"/>
    <s v="0816608-19.2018.8.15.0001"/>
    <s v=" JORGE LUIS GOMES"/>
    <s v="MARIANA SANTOS DE SOUSA"/>
    <x v="13"/>
    <s v="052.523.994.41"/>
    <x v="3"/>
    <s v="ESTUDO SOCIAL"/>
    <n v="17"/>
    <n v="300"/>
    <n v="300"/>
    <s v="OK"/>
    <m/>
    <m/>
    <s v=""/>
    <s v=""/>
    <x v="10"/>
    <n v="300"/>
    <n v="0"/>
  </r>
  <r>
    <s v="31"/>
    <d v="2019-02-14T00:00:00"/>
    <s v="2019033404"/>
    <x v="12"/>
    <x v="7"/>
    <s v="0800867-86.2016.815.0201"/>
    <s v="Sueli de Andrade Alves Correia"/>
    <s v=" Suênia Alves Correia"/>
    <x v="14"/>
    <s v="070.725.784-04"/>
    <x v="0"/>
    <s v="OUTRAS"/>
    <n v="15"/>
    <n v="370"/>
    <n v="200"/>
    <s v="OK"/>
    <m/>
    <m/>
    <s v=""/>
    <s v=""/>
    <x v="11"/>
    <n v="200"/>
    <n v="0"/>
  </r>
  <r>
    <s v="32"/>
    <d v="2021-04-15T00:00:00"/>
    <s v="2021046449"/>
    <x v="13"/>
    <x v="8"/>
    <s v="0802469-31.2016.8.15.0131"/>
    <s v="Fabiano Mendonça Cruz"/>
    <s v="Damiana Mangueira de Albuquerque"/>
    <x v="15"/>
    <s v=" 853.750.714-87"/>
    <x v="3"/>
    <s v="ESTUDO SOCIAL"/>
    <n v="17"/>
    <n v="300"/>
    <n v="300"/>
    <s v="OK"/>
    <m/>
    <m/>
    <s v=""/>
    <s v=""/>
    <x v="12"/>
    <n v="300"/>
    <n v="0"/>
  </r>
  <r>
    <s v="33"/>
    <d v="2021-04-20T00:00:00"/>
    <s v="2021048231"/>
    <x v="14"/>
    <x v="9"/>
    <s v="0829161-49.2017.8.15.2001"/>
    <s v="JOSE ARNOBIO DA SILVA PAIVA"/>
    <s v="BANCO PAN"/>
    <x v="16"/>
    <s v=" 027.388.704-14"/>
    <x v="6"/>
    <s v="OUTROS"/>
    <n v="5"/>
    <n v="370"/>
    <n v="200"/>
    <s v="OK"/>
    <m/>
    <m/>
    <s v=""/>
    <s v=""/>
    <x v="13"/>
    <n v="200"/>
    <n v="0"/>
  </r>
  <r>
    <s v="34"/>
    <d v="2021-04-22T00:00:00"/>
    <s v="2021049302"/>
    <x v="15"/>
    <x v="4"/>
    <s v="0805148-06.2016.8.15.0001"/>
    <s v="EPITACIO PEREIRA DA SILVA"/>
    <s v="ORLY VEICULOS COMERCIO E IMPORTACAO LTDA"/>
    <x v="17"/>
    <s v="035.798.954-60"/>
    <x v="5"/>
    <s v="PERÍCIA MECÂNICA"/>
    <n v="9"/>
    <n v="700"/>
    <n v="700"/>
    <s v="OK"/>
    <m/>
    <m/>
    <s v=""/>
    <s v=""/>
    <x v="14"/>
    <n v="700"/>
    <n v="0"/>
  </r>
  <r>
    <s v="35"/>
    <d v="2021-04-22T00:00:00"/>
    <s v="2021049319"/>
    <x v="15"/>
    <x v="4"/>
    <s v=" 0817799-70.2016.8.15.0001"/>
    <s v="ROBERTO BARBOSA E OUTRA"/>
    <s v="ANTONIO CABRAL DE CASTRO E S/ ESPOSA MARLUCE_x000a_CAVALCANTI F. CASTRO"/>
    <x v="18"/>
    <s v="052.364.334-95"/>
    <x v="5"/>
    <s v="OUTRAS"/>
    <n v="12"/>
    <n v="370"/>
    <n v="300"/>
    <s v="OK"/>
    <m/>
    <m/>
    <s v=""/>
    <s v=""/>
    <x v="14"/>
    <n v="300"/>
    <n v="0"/>
  </r>
  <r>
    <s v="36"/>
    <d v="2019-06-20T00:00:00"/>
    <s v="2019127184"/>
    <x v="13"/>
    <x v="8"/>
    <s v="0002400-03.2014.815.013"/>
    <s v="Ministério Público"/>
    <s v="Janaína da Silva"/>
    <x v="19"/>
    <s v=" 020.667.704-93"/>
    <x v="0"/>
    <s v="LAUDO EM INTERDIÇÃO/DNA"/>
    <n v="13"/>
    <n v="370"/>
    <n v="300"/>
    <s v="OK"/>
    <m/>
    <m/>
    <s v=""/>
    <s v=""/>
    <x v="15"/>
    <n v="300"/>
    <n v="0"/>
  </r>
  <r>
    <s v="37"/>
    <d v="2019-11-27T00:00:00"/>
    <s v="2019264473"/>
    <x v="5"/>
    <x v="4"/>
    <s v="0020986-94.2013.8.15.0011"/>
    <s v="SUELDO RODRIGUES DOS SANTOS"/>
    <s v="MARIANA BABY IND E COM DE FRALDAS DESCARTAVEIS_x000a_LTDA"/>
    <x v="6"/>
    <s v="018.641.624-57"/>
    <x v="1"/>
    <s v="LAUDO GRAFOTÉCNICO"/>
    <n v="1"/>
    <n v="300"/>
    <n v="300"/>
    <s v="OK"/>
    <m/>
    <m/>
    <s v=""/>
    <s v=""/>
    <x v="15"/>
    <n v="300"/>
    <n v="0"/>
  </r>
  <r>
    <s v="38"/>
    <d v="2017-12-13T00:00:00"/>
    <s v="2017236129"/>
    <x v="16"/>
    <x v="4"/>
    <s v="0806616-39.2015.8.15.0001"/>
    <s v="Edineuza Maria Barbosa"/>
    <s v=" Adonis Rocha de Oliveira"/>
    <x v="20"/>
    <s v="884.306.344-87"/>
    <x v="3"/>
    <s v="ESTUDO SOCIAL"/>
    <n v="17"/>
    <n v="300"/>
    <n v="442.93"/>
    <s v="OK"/>
    <m/>
    <m/>
    <s v=""/>
    <s v=""/>
    <x v="16"/>
    <n v="442.93"/>
    <n v="0"/>
  </r>
  <r>
    <s v="39"/>
    <d v="2019-02-13T00:00:00"/>
    <s v="2019032696"/>
    <x v="17"/>
    <x v="4"/>
    <s v="0008665-90.2014.8.15.0011"/>
    <s v="DIOGO FERREIRA DA SILVA"/>
    <s v="Asia Motos Comércio e Serviços de Motos LTDA.- EPP"/>
    <x v="21"/>
    <s v="026.649.234-71"/>
    <x v="5"/>
    <s v="PERÍCIA MECÂNICA"/>
    <n v="12"/>
    <n v="370"/>
    <n v="954"/>
    <s v="OK"/>
    <m/>
    <m/>
    <s v=""/>
    <s v=""/>
    <x v="17"/>
    <n v="954"/>
    <n v="0"/>
  </r>
  <r>
    <s v="40"/>
    <d v="2020-02-21T00:00:00"/>
    <s v="2020040574"/>
    <x v="18"/>
    <x v="4"/>
    <s v="0813510-94.2016.8.15.0001"/>
    <s v=" Franciele Felix Saules de Almeida"/>
    <s v="BV Financeira S/A CRÉDITO, FINANCIAMENTO E INVESTIMENTO"/>
    <x v="22"/>
    <s v="023.989.844-35"/>
    <x v="1"/>
    <s v="LAUDO GRAFOTÉCNICO"/>
    <n v="1"/>
    <n v="300"/>
    <n v="300"/>
    <s v="OK"/>
    <m/>
    <m/>
    <s v=""/>
    <s v=""/>
    <x v="17"/>
    <n v="300"/>
    <n v="0"/>
  </r>
  <r>
    <s v="41"/>
    <d v="2019-08-21T00:00:00"/>
    <s v="2019173772"/>
    <x v="11"/>
    <x v="4"/>
    <s v="0018962-_x000a_59.2014.8.15.0011"/>
    <s v="SEVERINA CAROLINA BEZERRA"/>
    <s v="ROBERTO_x000a_BEZERRA CAMPOS"/>
    <x v="23"/>
    <s v="884.933.504-00"/>
    <x v="3"/>
    <s v="ESTUDO SOCIAL"/>
    <n v="17"/>
    <n v="300"/>
    <n v="300"/>
    <s v="OK"/>
    <m/>
    <m/>
    <s v=""/>
    <s v=""/>
    <x v="18"/>
    <n v="300"/>
    <n v="0"/>
  </r>
  <r>
    <s v="42"/>
    <d v="2020-10-21T00:00:00"/>
    <s v="2020152685"/>
    <x v="19"/>
    <x v="4"/>
    <s v="0821877-73.2017.815.0001"/>
    <s v="ANTÔNIO BATISTA CABRAL  e outra"/>
    <s v="JANAÍNA BARBOSA DE ARAÚJO"/>
    <x v="24"/>
    <s v="885.626.704-72"/>
    <x v="3"/>
    <s v="ESTUDO SOCIAL"/>
    <n v="17"/>
    <n v="300"/>
    <n v="300"/>
    <s v="OK"/>
    <m/>
    <m/>
    <s v=""/>
    <s v=""/>
    <x v="18"/>
    <n v="300"/>
    <n v="0"/>
  </r>
  <r>
    <s v="43"/>
    <d v="2019-12-06T00:00:00"/>
    <s v="2019275513"/>
    <x v="5"/>
    <x v="4"/>
    <s v="0800867-36.2018.8.15.0001"/>
    <s v="LUCENILDA SILVA LIRA"/>
    <s v="MARIA ODETE NUNES PEREIRA"/>
    <x v="9"/>
    <s v="096.857.564-14"/>
    <x v="5"/>
    <s v="LAUDO PERICIAL DAS CONDIÇÕES ESTRUTURAIS DE SEGURNÇA E SOLIDEZ DE IM´VEL, CONFORME NORMA DA ABNT RESPECTIV AS"/>
    <n v="8"/>
    <n v="370"/>
    <n v="370"/>
    <s v="OK"/>
    <m/>
    <m/>
    <s v=""/>
    <s v=""/>
    <x v="18"/>
    <n v="370"/>
    <n v="0"/>
  </r>
  <r>
    <s v="44"/>
    <d v="2020-03-17T00:00:00"/>
    <s v="2020058244"/>
    <x v="20"/>
    <x v="10"/>
    <s v="0801349-96.2017.815.0751"/>
    <s v="Maria Dalva dos Santos Costa"/>
    <s v="Município de Bayeux"/>
    <x v="25"/>
    <s v="104.955.027-74"/>
    <x v="5"/>
    <s v="LAUDO DE INSALUBRIDADE E/OU PERICULOSIDADE, CONFORME NORMAS DA ABNT RESPECTIVAS"/>
    <n v="11"/>
    <n v="370"/>
    <n v="370"/>
    <s v="OK"/>
    <m/>
    <m/>
    <s v=""/>
    <s v=""/>
    <x v="19"/>
    <n v="370"/>
    <n v="0"/>
  </r>
  <r>
    <s v="45"/>
    <d v="2020-07-30T00:00:00"/>
    <s v="2020113868"/>
    <x v="21"/>
    <x v="11"/>
    <s v="0801908-80.2018.8.15.0181"/>
    <s v="VILMA GUIMARAES DE ALMEIDA"/>
    <s v=" ESTADO DA PARAÍBA-PB"/>
    <x v="1"/>
    <s v="021.205.144-02"/>
    <x v="5"/>
    <s v="LAUDO DE INSALUBRIDADE E/OU PERICULOSIDADE, CONFORME NORMAS DA ABNT RESPECTIVAS"/>
    <n v="11"/>
    <n v="370"/>
    <n v="370"/>
    <s v="OK"/>
    <m/>
    <m/>
    <s v=""/>
    <s v=""/>
    <x v="19"/>
    <n v="370"/>
    <n v="0"/>
  </r>
  <r>
    <s v="46"/>
    <d v="2020-02-17T00:00:00"/>
    <s v="2020035961"/>
    <x v="9"/>
    <x v="4"/>
    <s v="0001932-74.2015.8.15.0011"/>
    <s v="MORGANA DE FARIAS GOMES"/>
    <s v="VALBER DE SOUSA SILVA"/>
    <x v="11"/>
    <s v="397.520.114-20"/>
    <x v="3"/>
    <s v="ESTUDO SOCIAL"/>
    <n v="17"/>
    <n v="300"/>
    <n v="450"/>
    <s v="OK"/>
    <m/>
    <m/>
    <s v=""/>
    <s v=""/>
    <x v="20"/>
    <n v="450"/>
    <n v="0"/>
  </r>
  <r>
    <s v="47"/>
    <d v="2020-09-09T00:00:00"/>
    <s v="2020135008"/>
    <x v="9"/>
    <x v="4"/>
    <s v=" 0818897-85.2019.8.15.0001_x000a_"/>
    <s v="VITÓRIA DE OLIVEIRA SOUSA"/>
    <s v="VERÔNICA DE OLIVEIRA SOUSA"/>
    <x v="11"/>
    <s v="397.520.114-20"/>
    <x v="3"/>
    <s v="ESTUDO SOCIAL"/>
    <n v="17"/>
    <n v="300"/>
    <n v="450"/>
    <s v="OK"/>
    <m/>
    <m/>
    <s v=""/>
    <s v=""/>
    <x v="20"/>
    <n v="450"/>
    <n v="0"/>
  </r>
  <r>
    <s v="48"/>
    <d v="2020-01-21T00:00:00"/>
    <s v="2020012547"/>
    <x v="9"/>
    <x v="4"/>
    <s v="0813154-31.2018.815.0001"/>
    <s v="FABIO HERMINEGILDO DE OLIVEIRA"/>
    <s v="DEBORA DE SOUSA GOMES"/>
    <x v="13"/>
    <s v="052.523.994-41"/>
    <x v="3"/>
    <s v="ESTUDO SOCIAL"/>
    <n v="17"/>
    <n v="300"/>
    <n v="450"/>
    <s v="OK"/>
    <m/>
    <m/>
    <s v=""/>
    <s v=""/>
    <x v="20"/>
    <n v="450"/>
    <n v="0"/>
  </r>
  <r>
    <s v="49"/>
    <d v="2021-02-24T00:00:00"/>
    <s v="2021026531"/>
    <x v="22"/>
    <x v="12"/>
    <s v=" 0002103-15.2009.815.0731"/>
    <s v=" Rita da Costa Vieira"/>
    <s v="Banco Volks S.A."/>
    <x v="26"/>
    <s v="332.867.874-34"/>
    <x v="6"/>
    <s v="LAUDO EM AÇÃO REVISIONAL ENVOLVENDO NEGÓCIOS BANCÁRIOS ATÉ 4 (QUATRO) CONTRATOS"/>
    <n v="2"/>
    <n v="370"/>
    <n v="1164"/>
    <s v="OK"/>
    <m/>
    <m/>
    <s v=""/>
    <s v=""/>
    <x v="20"/>
    <n v="1164"/>
    <n v="0"/>
  </r>
  <r>
    <s v="50"/>
    <d v="2021-02-23T00:00:00"/>
    <s v="2021025348"/>
    <x v="9"/>
    <x v="4"/>
    <s v="0802233-13.2018.8.15.0001"/>
    <s v="ALAECO FRANCISCO DE ARRUDA"/>
    <s v="MARIA APARECIDA DE ANDRADE"/>
    <x v="11"/>
    <s v="397.520.114-20"/>
    <x v="3"/>
    <s v="ESTUDO SOCIAL"/>
    <n v="17"/>
    <n v="300"/>
    <n v="450"/>
    <s v="OK"/>
    <m/>
    <m/>
    <s v=""/>
    <s v=""/>
    <x v="20"/>
    <n v="450"/>
    <n v="0"/>
  </r>
  <r>
    <s v="51"/>
    <d v="2021-04-07T00:00:00"/>
    <s v="2021042794"/>
    <x v="1"/>
    <x v="1"/>
    <s v="0800155-42.2017.8.15.0531"/>
    <s v="MARLUCE LOPES PEREIRA"/>
    <s v="BANCO BRADESCO SA e outro"/>
    <x v="1"/>
    <s v="021.205.144-02"/>
    <x v="1"/>
    <s v="PERÍCIA GRAFOSCÓPICA"/>
    <n v="1"/>
    <n v="300"/>
    <n v="1000"/>
    <s v="OK"/>
    <m/>
    <m/>
    <s v=""/>
    <s v=""/>
    <x v="20"/>
    <n v="1000"/>
    <n v="0"/>
  </r>
  <r>
    <s v="52"/>
    <d v="2020-04-16T00:00:00"/>
    <s v="2020066791"/>
    <x v="23"/>
    <x v="1"/>
    <s v="0000433-19.2012.8.15.0251"/>
    <s v="MARIA DAS GRACAS ARAUJO e outra"/>
    <s v="FRANCISCA PEREIRA DE ALMEIDA"/>
    <x v="27"/>
    <s v=" 090.129.864-60"/>
    <x v="5"/>
    <s v="LAUDO PERICIAL EM AÇÃO DEMARCATÓRIA"/>
    <n v="10"/>
    <n v="870"/>
    <n v="880"/>
    <s v="OK"/>
    <m/>
    <m/>
    <s v=""/>
    <s v=""/>
    <x v="20"/>
    <n v="880"/>
    <n v="0"/>
  </r>
  <r>
    <s v="53"/>
    <d v="2020-02-17T00:00:00"/>
    <s v="2020035945"/>
    <x v="9"/>
    <x v="4"/>
    <s v="0807670-98.2019.815.0001"/>
    <s v="JOSEFA FREIRE CAMELO"/>
    <s v="MARINEIDE SILVA CAMELO e outro"/>
    <x v="11"/>
    <s v="397.520.114-20"/>
    <x v="3"/>
    <s v="ESTUDO SOCIAL"/>
    <n v="17"/>
    <n v="300"/>
    <n v="450"/>
    <s v="OK"/>
    <m/>
    <m/>
    <s v=""/>
    <s v=""/>
    <x v="20"/>
    <n v="450"/>
    <n v="0"/>
  </r>
  <r>
    <s v="54"/>
    <d v="2020-02-17T00:00:00"/>
    <s v="2020035988"/>
    <x v="9"/>
    <x v="4"/>
    <s v="0807110-59.2019.815.0001"/>
    <s v="MARIA DO SOCORRO DA SILVA"/>
    <s v="SEM POLO PASSIVO"/>
    <x v="11"/>
    <s v="397.520.114-20"/>
    <x v="3"/>
    <s v="ESTUDO SOCIAL"/>
    <n v="17"/>
    <n v="300"/>
    <n v="450"/>
    <s v="OK"/>
    <m/>
    <m/>
    <s v=""/>
    <s v=""/>
    <x v="20"/>
    <n v="450"/>
    <n v="0"/>
  </r>
  <r>
    <s v="55"/>
    <d v="2019-11-26T00:00:00"/>
    <s v="2019263761"/>
    <x v="9"/>
    <x v="4"/>
    <s v="0022871-46.2013.815.0011"/>
    <s v="THALITA SIRLEY BEZERRA DE MELO"/>
    <s v="EDSON WESLEY DE MELO SOUZA"/>
    <x v="11"/>
    <s v="397.520.114-20"/>
    <x v="3"/>
    <s v="ESTUDO SOCIAL"/>
    <n v="17"/>
    <n v="300"/>
    <n v="450"/>
    <s v="OK"/>
    <m/>
    <m/>
    <s v=""/>
    <s v=""/>
    <x v="21"/>
    <n v="450"/>
    <n v="0"/>
  </r>
  <r>
    <s v="56"/>
    <d v="2020-06-18T00:00:00"/>
    <s v="2020092890"/>
    <x v="9"/>
    <x v="4"/>
    <s v="0023493-91.2014.8.15.0011"/>
    <s v="ADRIANO DE OLIVEIRA UCHÔA"/>
    <s v="CARMEM BERTHA VICENTE DA SILVA"/>
    <x v="28"/>
    <s v="038.490.458-80"/>
    <x v="3"/>
    <s v="ESTUDO SOCIAL"/>
    <n v="17"/>
    <n v="300"/>
    <n v="622"/>
    <s v="OK"/>
    <m/>
    <m/>
    <s v=""/>
    <s v=""/>
    <x v="20"/>
    <n v="622"/>
    <n v="0"/>
  </r>
  <r>
    <s v="57"/>
    <d v="2021-02-26T00:00:00"/>
    <s v="2021027794"/>
    <x v="24"/>
    <x v="13"/>
    <s v="0001150-77.2014.8.15.0601"/>
    <s v="MARIA BATISTA FERREIRA"/>
    <s v="BPREV -MUNICÍPIO DE DONA INÊS"/>
    <x v="29"/>
    <s v="000.827.794-06"/>
    <x v="5"/>
    <s v="LAUDO DE INSALUBRIDADE E/OU PERICULOSIDADE, CONFORME NORMAS DA ABNT RESPECTIVAS"/>
    <n v="11"/>
    <n v="370"/>
    <n v="400"/>
    <s v="OK"/>
    <m/>
    <m/>
    <s v=""/>
    <s v=""/>
    <x v="20"/>
    <n v="400"/>
    <n v="0"/>
  </r>
  <r>
    <s v="58"/>
    <d v="2021-03-09T00:00:00"/>
    <s v="2021032940"/>
    <x v="9"/>
    <x v="4"/>
    <s v="0826184-65.2020.8.15.0001"/>
    <s v="PAULO ANDRE DA SILVA SANTOS e OUTRA"/>
    <s v="SAMARA TELES DA SILVA"/>
    <x v="11"/>
    <s v="397.520.114-20"/>
    <x v="3"/>
    <s v="ESTUDO SOCIAL"/>
    <n v="17"/>
    <n v="300"/>
    <n v="450"/>
    <s v="OK"/>
    <m/>
    <m/>
    <s v=""/>
    <s v=""/>
    <x v="20"/>
    <n v="450"/>
    <n v="0"/>
  </r>
  <r>
    <s v="59"/>
    <d v="2019-10-08T00:00:00"/>
    <s v="2019216827"/>
    <x v="9"/>
    <x v="4"/>
    <s v="0014451-_x000a_81.2015.815.0011"/>
    <s v="SERGIO LUIZ MALTA DE AZEVEDO"/>
    <s v="LAIS SOARES MALTA E OUTRO"/>
    <x v="30"/>
    <s v="031.401.004-18"/>
    <x v="3"/>
    <s v="ESTUDO SOCIAL"/>
    <n v="17"/>
    <n v="300"/>
    <n v="622"/>
    <s v="OK"/>
    <m/>
    <m/>
    <s v=""/>
    <s v=""/>
    <x v="20"/>
    <n v="622"/>
    <n v="0"/>
  </r>
  <r>
    <s v="60"/>
    <d v="2021-02-25T00:00:00"/>
    <s v="2021027204"/>
    <x v="25"/>
    <x v="14"/>
    <s v="0000806-43.2012.815.0221"/>
    <s v="JOSE RIBAMAR DIAS DE SOUSA e OUTROS"/>
    <s v="MANOEL BEZERRA DIAS"/>
    <x v="31"/>
    <s v="053.027.324-16"/>
    <x v="0"/>
    <s v="LAUDO EM INTERDIÇÃO/DNA"/>
    <n v="13"/>
    <n v="370"/>
    <n v="370"/>
    <s v="OK"/>
    <m/>
    <m/>
    <s v=""/>
    <s v=""/>
    <x v="22"/>
    <n v="370"/>
    <n v="0"/>
  </r>
  <r>
    <s v="61"/>
    <d v="2021-05-10T00:00:00"/>
    <s v="2021056539"/>
    <x v="20"/>
    <x v="10"/>
    <s v="0001258-44.2014.815.0751"/>
    <s v="Janaína Fernandes Limada Silva"/>
    <s v="Município de Bayeux"/>
    <x v="25"/>
    <s v="104.955.027-74"/>
    <x v="5"/>
    <s v="LAUDO DE INSALUBRIDADE E/OU PERICULOSIDADE, CONFORME NORMAS DA ABNT RESPECTIVAS"/>
    <n v="11"/>
    <n v="370"/>
    <n v="370"/>
    <s v="OK"/>
    <m/>
    <m/>
    <s v=""/>
    <s v=""/>
    <x v="22"/>
    <n v="370"/>
    <n v="0"/>
  </r>
  <r>
    <s v="62"/>
    <d v="2021-05-14T00:00:00"/>
    <s v="2021060111"/>
    <x v="26"/>
    <x v="15"/>
    <s v="0001006-21.2016.8.15.0541"/>
    <s v="FELIPE DO NASCIMENTO TAVARES"/>
    <s v="INSS INSTITUTO NACIONAL DO SEGURO SOCIAL"/>
    <x v="32"/>
    <s v="051.447.734-27"/>
    <x v="0"/>
    <s v="OUTRAS"/>
    <n v="15"/>
    <n v="370"/>
    <n v="200"/>
    <s v="OK"/>
    <m/>
    <m/>
    <s v=""/>
    <s v=""/>
    <x v="23"/>
    <n v="200"/>
    <n v="0"/>
  </r>
  <r>
    <s v="63"/>
    <d v="2021-05-14T00:00:00"/>
    <s v="2021060103"/>
    <x v="26"/>
    <x v="15"/>
    <s v="0000660-46.2011.8.15.0541"/>
    <s v="MAILTON BARROS MARINHO"/>
    <s v="INSS INSTITUTO NACIONAL DO SEGURO SOCIAL"/>
    <x v="32"/>
    <s v="051.447.734-27"/>
    <x v="0"/>
    <s v="OUTRAS"/>
    <n v="15"/>
    <n v="370"/>
    <n v="500"/>
    <s v="OK"/>
    <m/>
    <m/>
    <s v=""/>
    <s v=""/>
    <x v="23"/>
    <n v="500"/>
    <n v="0"/>
  </r>
  <r>
    <s v="64"/>
    <d v="2021-05-14T00:00:00"/>
    <s v="2021060099"/>
    <x v="27"/>
    <x v="4"/>
    <s v=" 0801909-23.2018.8.15.0001"/>
    <s v="JESSICA MARQUES ROCHA"/>
    <s v="LINALDO AGRIPINO DOS SANTOS"/>
    <x v="33"/>
    <s v="027.494.154-62"/>
    <x v="5"/>
    <s v="LAUDO PERICIAL DAS CONDIÇÕES ESTRUTURAIS DE SEGURNÇA E SOLIDEZ DE IMÓVEL, CONFORME NORMA DA ABNT RESPECTIVAS"/>
    <n v="8"/>
    <n v="370"/>
    <n v="370"/>
    <s v="OK"/>
    <m/>
    <m/>
    <s v=""/>
    <s v=""/>
    <x v="23"/>
    <n v="370"/>
    <n v="0"/>
  </r>
  <r>
    <s v="65"/>
    <d v="2021-04-26T00:00:00"/>
    <s v="2021050663"/>
    <x v="28"/>
    <x v="16"/>
    <s v="0800713-48.2017.8.15.0261"/>
    <s v="Antônia Henrique_x000a_Tomaz"/>
    <s v="Ana Henrique Sobrinha"/>
    <x v="34"/>
    <s v="061.721.584-73"/>
    <x v="0"/>
    <s v="LAUDO EM INTERDIÇÃO/DNA"/>
    <n v="13"/>
    <n v="370"/>
    <n v="370"/>
    <s v="OK"/>
    <m/>
    <m/>
    <s v=""/>
    <s v=""/>
    <x v="23"/>
    <n v="370"/>
    <n v="0"/>
  </r>
  <r>
    <s v="66"/>
    <d v="2020-01-28T00:00:00"/>
    <s v="2020018890"/>
    <x v="29"/>
    <x v="4"/>
    <s v="0809474-43.2015.815.0001"/>
    <s v="ALISSON PEREIRA SANTANA"/>
    <s v="LARISSA PERES DE SALES CONCEIÇÃO"/>
    <x v="35"/>
    <s v=" 059.931.514-80"/>
    <x v="4"/>
    <s v="PSICOLOGIA"/>
    <n v="16"/>
    <n v="300"/>
    <n v="300"/>
    <s v="OK"/>
    <m/>
    <m/>
    <s v=""/>
    <s v=""/>
    <x v="24"/>
    <n v="300"/>
    <n v="0"/>
  </r>
  <r>
    <s v="67"/>
    <d v="2021-05-27T00:00:00"/>
    <s v="2021065923"/>
    <x v="1"/>
    <x v="1"/>
    <s v="0802069-69.2021.8.15.0251"/>
    <s v="MARIA CARMELITA DE LACERDA ALMEIDA"/>
    <s v="BANCO MERCANTIL DO BRASIL S.A."/>
    <x v="1"/>
    <s v="021.205.144-02"/>
    <x v="1"/>
    <s v="LAUDO GRAFOTÉCNICO"/>
    <n v="1"/>
    <n v="300"/>
    <n v="300"/>
    <s v="OK"/>
    <m/>
    <m/>
    <s v=""/>
    <s v=""/>
    <x v="25"/>
    <n v="300"/>
    <n v="0"/>
  </r>
  <r>
    <s v="68"/>
    <d v="2021-06-02T00:00:00"/>
    <s v="2021070703"/>
    <x v="27"/>
    <x v="4"/>
    <s v="0809888-07.2016.8.15.0001"/>
    <s v="DANILLO MARTINS FREITAS SANTOS "/>
    <s v="B.A.C CONSTRUCAO, INCORPORACAO,IMOBILARIA_x000a_EIRELI"/>
    <x v="33"/>
    <s v="027.494.154-62"/>
    <x v="5"/>
    <s v="LAUDO PERICIAL DAS CONDIÇÕES ESTRUTURAIS DE SEGURNÇA E SOLIDEZ DE IMÓVEL, CONFORME NORMA DA ABNT RESPECTIVAS"/>
    <n v="8"/>
    <n v="370"/>
    <n v="370"/>
    <s v="OK"/>
    <m/>
    <m/>
    <s v=""/>
    <s v=""/>
    <x v="26"/>
    <n v="370"/>
    <n v="0"/>
  </r>
  <r>
    <s v="69"/>
    <d v="2021-05-28T00:00:00"/>
    <s v="2021067759"/>
    <x v="27"/>
    <x v="4"/>
    <s v="0822307-59.2016.8.15.0001"/>
    <s v="JOSE FABIO MELO COSTA"/>
    <s v="CLARO S/A"/>
    <x v="36"/>
    <s v="048.870.264-04"/>
    <x v="1"/>
    <s v="PERÍCIA GRAFOSCÓPICA"/>
    <n v="1"/>
    <n v="300"/>
    <n v="300"/>
    <s v="OK"/>
    <m/>
    <m/>
    <s v=""/>
    <s v=""/>
    <x v="26"/>
    <n v="300"/>
    <n v="0"/>
  </r>
  <r>
    <s v="70"/>
    <d v="2021-06-07T00:00:00"/>
    <s v="2021072709"/>
    <x v="30"/>
    <x v="9"/>
    <s v="0101045-50.2012.8.15.2001"/>
    <s v="ANTONIO JOSÉ DE VASCONCELOS_x000a_COSTA"/>
    <s v="ENERGISA PARAIBA - DISTRIBUIDORA DE_x000a_ENERGIA S.A"/>
    <x v="37"/>
    <s v="081.405.674-18"/>
    <x v="5"/>
    <s v="LAUDO PERICIAL DAS CONDIÇÕES ESTRUTURAIS DE SEGURNÇA E SOLIDEZ DE IMÓVEL, CONFORME NORMA DA ABNT RESPECTIVAS"/>
    <n v="8"/>
    <n v="370"/>
    <n v="370"/>
    <s v="OK"/>
    <m/>
    <m/>
    <s v=""/>
    <s v=""/>
    <x v="27"/>
    <n v="370"/>
    <n v="0"/>
  </r>
  <r>
    <s v="71"/>
    <d v="2021-06-08T00:00:00"/>
    <s v="2021073564"/>
    <x v="31"/>
    <x v="10"/>
    <s v="0001735-38.2012.8.15.0751"/>
    <s v="João Batista Soares do Nascimento Júnior"/>
    <s v="FEDERAL DE SEGUROS_x000a_S/A"/>
    <x v="38"/>
    <s v="051.944.134-67"/>
    <x v="0"/>
    <s v="OUTRAS"/>
    <n v="15"/>
    <n v="370"/>
    <n v="200"/>
    <s v="OK"/>
    <m/>
    <m/>
    <s v=""/>
    <s v=""/>
    <x v="28"/>
    <n v="200"/>
    <n v="0"/>
  </r>
  <r>
    <s v="72"/>
    <d v="2021-06-07T00:00:00"/>
    <s v="2021073239"/>
    <x v="27"/>
    <x v="4"/>
    <s v="0809422-47.2015.8.15.0001"/>
    <s v="DIEGO MARTINS DUARTE e outra"/>
    <s v="ROCE CONSTRUCAO E EMPREENDIMENTOS_x000a_IMOBILIARIOS LTDA"/>
    <x v="33"/>
    <s v="027.494.154-62"/>
    <x v="5"/>
    <s v="LAUDO PERICIAL DAS CONDIÇÕES ESTRUTURAIS DE SEGURNÇA E SOLIDEZ DE IMÓVEL, CONFORME NORMA DA ABNT RESPECTIVAS"/>
    <n v="8"/>
    <n v="370"/>
    <n v="370"/>
    <s v="OK"/>
    <m/>
    <m/>
    <s v=""/>
    <s v=""/>
    <x v="28"/>
    <n v="370"/>
    <n v="0"/>
  </r>
  <r>
    <s v="73"/>
    <d v="2020-12-11T00:00:00"/>
    <s v="2020183925"/>
    <x v="22"/>
    <x v="12"/>
    <s v="0800091-_x000a_14.2017.815.0731"/>
    <s v="ANTÔNIO SEBASTIÃO DE LIMA"/>
    <s v=" BANCO BRADESCO AS"/>
    <x v="1"/>
    <s v="021.205.144-02"/>
    <x v="1"/>
    <s v="PERÍCIA GRAFOSCÓPICA"/>
    <n v="1"/>
    <n v="300"/>
    <n v="300"/>
    <s v="OK"/>
    <m/>
    <m/>
    <s v=""/>
    <s v=""/>
    <x v="29"/>
    <n v="300"/>
    <n v="0"/>
  </r>
  <r>
    <s v="74"/>
    <d v="2021-02-26T00:00:00"/>
    <s v="2021027809"/>
    <x v="24"/>
    <x v="13"/>
    <s v="0001206-13.2014.8.15.0601"/>
    <s v="JOSE BARBOSA MOREIRA"/>
    <s v="INSS"/>
    <x v="29"/>
    <s v="000.827.794-06"/>
    <x v="0"/>
    <s v="LAUDO DE INSALUBRIDADE E/OU PERICULOSIDADE, CONFORME NORMAS DA ABNT RESPECTIVAS"/>
    <n v="11"/>
    <n v="370"/>
    <n v="400"/>
    <s v="OK"/>
    <m/>
    <m/>
    <s v=""/>
    <s v=""/>
    <x v="30"/>
    <n v="400"/>
    <n v="0"/>
  </r>
  <r>
    <s v="75"/>
    <d v="2021-02-26T00:00:00"/>
    <s v="2021027760"/>
    <x v="24"/>
    <x v="13"/>
    <s v="0000123-59.2014.8.15.0601"/>
    <s v=" PEDRO DOMINGOS DOS SANTOS"/>
    <s v="PBPREV"/>
    <x v="29"/>
    <s v="000.827.794-06"/>
    <x v="0"/>
    <s v="LAUDO DE INSALUBRIDADE E/OU PERICULOSIDADE, CONFORME NORMAS DA ABNT RESPECTIVAS"/>
    <n v="11"/>
    <n v="370"/>
    <n v="400"/>
    <s v="OK"/>
    <m/>
    <m/>
    <s v=""/>
    <s v=""/>
    <x v="30"/>
    <n v="400"/>
    <n v="0"/>
  </r>
  <r>
    <s v="76"/>
    <d v="2020-11-24T00:00:00"/>
    <s v="2020170997"/>
    <x v="8"/>
    <x v="0"/>
    <s v="0803504-14.2018.8.15.0371"/>
    <s v="ESPEDITA PAULINO DE BRITO"/>
    <s v="JUDIVAN FERNANDES DE ANDRADE"/>
    <x v="10"/>
    <s v="109.743.648-58"/>
    <x v="5"/>
    <s v="LAUDO DE AVALIAÇÃO DE IMÓVEL URBANO, CONFORME NORMAS DA ABNT RESPECTIVA"/>
    <n v="6"/>
    <n v="430"/>
    <n v="1500"/>
    <s v="OK"/>
    <m/>
    <m/>
    <s v=""/>
    <s v=""/>
    <x v="20"/>
    <n v="1500"/>
    <n v="0"/>
  </r>
  <r>
    <s v="77"/>
    <d v="2021-01-18T00:00:00"/>
    <s v="2021006909"/>
    <x v="17"/>
    <x v="4"/>
    <s v="0003920-04.2013.815.0011"/>
    <s v="FRANCISCO DE ASSIS OLIVEIRA DE MORAIS E OUTRA"/>
    <s v=" HOSPITAL DE OLHOS DE CARUARU LTDA E OUTRO"/>
    <x v="39"/>
    <s v="380.111.314-00"/>
    <x v="0"/>
    <s v="LAUDO SOBRE DANOS FÍSICOS E ESTÉTICOS"/>
    <n v="14"/>
    <n v="370"/>
    <n v="870"/>
    <s v="OK"/>
    <m/>
    <m/>
    <s v=""/>
    <s v=""/>
    <x v="20"/>
    <n v="870"/>
    <n v="0"/>
  </r>
  <r>
    <s v="78"/>
    <d v="2021-03-08T00:00:00"/>
    <s v="2021032548"/>
    <x v="32"/>
    <x v="9"/>
    <s v="0844820-35.2016.8.15.2001"/>
    <s v="JOAO FAGUNDES DO NASCIMENTO"/>
    <s v="DISAL ADMINISTRADORA DE CONSORCIOS LTDA"/>
    <x v="40"/>
    <s v="160.702.754-20"/>
    <x v="6"/>
    <s v="OUTROS"/>
    <n v="5"/>
    <n v="370"/>
    <n v="1850"/>
    <s v="OK"/>
    <m/>
    <m/>
    <s v=""/>
    <s v=""/>
    <x v="20"/>
    <n v="1850"/>
    <n v="0"/>
  </r>
  <r>
    <s v="79"/>
    <d v="2021-02-09T00:00:00"/>
    <s v="2021019028"/>
    <x v="33"/>
    <x v="9"/>
    <s v="0034938.63.2008.815.2001"/>
    <s v="Raquel Andrade Garcia"/>
    <s v="Domingos Soares de Souza"/>
    <x v="41"/>
    <s v="070.963.994-53"/>
    <x v="5"/>
    <s v="LAUDO PERICIAL EM AÇÃO DEMARCATÓRIA"/>
    <n v="10"/>
    <n v="870"/>
    <n v="1480"/>
    <s v="OK"/>
    <m/>
    <m/>
    <s v=""/>
    <s v=""/>
    <x v="21"/>
    <n v="1480"/>
    <n v="0"/>
  </r>
  <r>
    <s v="80"/>
    <d v="2020-09-21T00:00:00"/>
    <s v="2020139534"/>
    <x v="9"/>
    <x v="4"/>
    <s v="0821185-06.2019.8.15.0001"/>
    <s v="MARIA ROSA MÍSTICA SOUTO ANDRADE"/>
    <s v="ALEXANDRE DA SILVA SANTOS"/>
    <x v="11"/>
    <s v="397.520.114-20"/>
    <x v="3"/>
    <s v="ESTUDO SOCIAL"/>
    <n v="17"/>
    <n v="300"/>
    <n v="300"/>
    <s v="OK"/>
    <m/>
    <m/>
    <s v=""/>
    <s v=""/>
    <x v="2"/>
    <n v="300"/>
    <n v="0"/>
  </r>
  <r>
    <s v="81"/>
    <d v="2020-03-12T00:00:00"/>
    <s v="2020054925"/>
    <x v="9"/>
    <x v="4"/>
    <s v="0821771-43.2019.8.15.0001"/>
    <s v="WEDSON DOUGLAS SILVA MOREIRA"/>
    <s v="THAYSSA ESTHEFASNE GOMES SILVA"/>
    <x v="13"/>
    <s v="052.523.994-41"/>
    <x v="3"/>
    <s v="ESTUDO SOCIAL"/>
    <n v="17"/>
    <n v="300"/>
    <n v="300"/>
    <s v="OK"/>
    <m/>
    <m/>
    <s v=""/>
    <s v=""/>
    <x v="2"/>
    <n v="300"/>
    <n v="0"/>
  </r>
  <r>
    <s v="82"/>
    <d v="2020-02-12T00:00:00"/>
    <s v="2020033340"/>
    <x v="9"/>
    <x v="4"/>
    <s v="0009796-66.2015.815.0001"/>
    <s v="DAIANA APOLINARIO DORNELLAS"/>
    <s v="IVANILDO BASCIMENTO ALMEIDA"/>
    <x v="13"/>
    <s v="052.523.994.41"/>
    <x v="3"/>
    <s v="ESTUDO SOCIAL"/>
    <n v="17"/>
    <n v="300"/>
    <n v="300"/>
    <s v="OK"/>
    <m/>
    <m/>
    <s v=""/>
    <s v=""/>
    <x v="2"/>
    <n v="300"/>
    <n v="0"/>
  </r>
  <r>
    <s v="83"/>
    <d v="2020-03-03T00:00:00"/>
    <s v="2020047129"/>
    <x v="9"/>
    <x v="4"/>
    <s v=" 0813882-72.2018.815.0001"/>
    <s v="PAULO ROBERTO FIGUEIRA DOS SANTOS"/>
    <s v="RENALLY INGRID DA SILVA SOARES"/>
    <x v="13"/>
    <s v="052.523.994.41"/>
    <x v="3"/>
    <s v="ESTUDO SOCIAL"/>
    <n v="17"/>
    <n v="300"/>
    <n v="300"/>
    <s v="OK"/>
    <m/>
    <m/>
    <s v=""/>
    <s v=""/>
    <x v="2"/>
    <n v="300"/>
    <n v="0"/>
  </r>
  <r>
    <s v="84"/>
    <d v="2021-06-14T00:00:00"/>
    <s v="2021076028"/>
    <x v="0"/>
    <x v="0"/>
    <s v="0801205-31.2021.8.15.0251"/>
    <s v="TERESINHA ZELIA DE SOUSA"/>
    <s v="BANCO BRADESCO FINANCIAMENTOS S.A"/>
    <x v="1"/>
    <s v="021.205.144-02"/>
    <x v="1"/>
    <s v="PERÍCIA GRAFOSCÓPICA"/>
    <n v="1"/>
    <n v="300"/>
    <n v="300"/>
    <s v="OK"/>
    <m/>
    <m/>
    <s v=""/>
    <s v=""/>
    <x v="31"/>
    <n v="300"/>
    <n v="0"/>
  </r>
  <r>
    <s v="85"/>
    <d v="2020-01-16T00:00:00"/>
    <s v="2020009684"/>
    <x v="9"/>
    <x v="4"/>
    <s v="0811776-06.2019.815.0001_x000a_"/>
    <s v="SERGILNO MONTEIRO REIS DE LIMA"/>
    <s v="ALINE SOUSA LIMA e outro"/>
    <x v="11"/>
    <s v="397.520.114-20"/>
    <x v="3"/>
    <s v="ESTUDO SOCIAL"/>
    <n v="17"/>
    <n v="300"/>
    <n v="450"/>
    <s v="OK"/>
    <m/>
    <m/>
    <s v=""/>
    <s v=""/>
    <x v="32"/>
    <n v="450"/>
    <n v="0"/>
  </r>
  <r>
    <s v="86"/>
    <d v="2020-02-17T00:00:00"/>
    <s v="2020036000"/>
    <x v="9"/>
    <x v="4"/>
    <s v="0010740-68.2015.815.0011"/>
    <s v="LUIZ RODRIGUES DE SILVA"/>
    <s v="BRUNO RODRIGUES NUNES"/>
    <x v="11"/>
    <s v="397.520.114-20"/>
    <x v="3"/>
    <s v="ESTUDO SOCIAL"/>
    <n v="17"/>
    <n v="300"/>
    <n v="450"/>
    <s v="OK"/>
    <m/>
    <m/>
    <s v=""/>
    <s v=""/>
    <x v="32"/>
    <n v="450"/>
    <n v="0"/>
  </r>
  <r>
    <s v="87"/>
    <d v="2021-03-02T00:00:00"/>
    <s v="2021029419"/>
    <x v="9"/>
    <x v="4"/>
    <s v=" 0801257-35.2020.8.15.0001"/>
    <s v="CLEUZIMAR DIAS DE OLIVEIRA GADELHA e outro"/>
    <s v=" CLODOMAR DIAS DE OLIVEIRA"/>
    <x v="11"/>
    <s v="397.520.114-20"/>
    <x v="3"/>
    <s v="ESTUDO SOCIAL"/>
    <n v="17"/>
    <n v="300"/>
    <n v="450"/>
    <s v="OK"/>
    <m/>
    <m/>
    <s v=""/>
    <s v=""/>
    <x v="32"/>
    <n v="450"/>
    <n v="0"/>
  </r>
  <r>
    <s v="88"/>
    <d v="2021-02-23T00:00:00"/>
    <s v="2021025612"/>
    <x v="17"/>
    <x v="4"/>
    <s v="0800916-19.2014.8.15.0001"/>
    <s v="ANGELO FLAVIO DA SILVA"/>
    <s v="RAUL AGRIPINO SANTOS"/>
    <x v="42"/>
    <s v="047.164.824 – 80"/>
    <x v="5"/>
    <s v="LAUDO DE AVALIAÇÃO DE BENS FUNGÍVEIS/IMÓVEL RURAL/URBANO, CONFORME NORMAS DA ABNT RESPECTIVAS"/>
    <n v="9"/>
    <n v="700"/>
    <n v="1480"/>
    <s v="OK"/>
    <m/>
    <m/>
    <s v=""/>
    <s v=""/>
    <x v="33"/>
    <n v="1480"/>
    <n v="0"/>
  </r>
  <r>
    <s v="89"/>
    <d v="2021-02-01T00:00:00"/>
    <s v="2021013883"/>
    <x v="9"/>
    <x v="4"/>
    <s v="0831955-58.2019.8.15.0001"/>
    <s v="BRUNNA SUELY QUEIROZ DE LIMA"/>
    <s v="WILLIAM ARAUJO DE SOUZA"/>
    <x v="11"/>
    <s v="397.520.114-20"/>
    <x v="3"/>
    <s v="ESTUDO SOCIAL"/>
    <n v="17"/>
    <n v="300"/>
    <n v="450"/>
    <s v="OK"/>
    <m/>
    <m/>
    <s v=""/>
    <s v=""/>
    <x v="32"/>
    <n v="450"/>
    <n v="0"/>
  </r>
  <r>
    <s v="90"/>
    <d v="2021-04-09T00:00:00"/>
    <s v="2021044179"/>
    <x v="9"/>
    <x v="4"/>
    <s v=" 0824755-97.2019.8.15.0001"/>
    <s v="FLAVIA JAIANE MENDES JUSTINO"/>
    <s v="ALEX DA SILVA"/>
    <x v="11"/>
    <s v="397.520.114-20"/>
    <x v="3"/>
    <s v="ESTUDO SOCIAL"/>
    <n v="17"/>
    <n v="300"/>
    <n v="450"/>
    <s v="OK"/>
    <m/>
    <m/>
    <s v=""/>
    <s v=""/>
    <x v="32"/>
    <n v="450"/>
    <n v="0"/>
  </r>
  <r>
    <s v="91"/>
    <d v="2019-11-06T00:00:00"/>
    <s v="2019243186"/>
    <x v="9"/>
    <x v="4"/>
    <s v="0804417-73.2017.815.0001"/>
    <s v="Carmem Lúcia Bernardo de Oliveira"/>
    <s v="Elisângela Oliveira de Lima e outro"/>
    <x v="13"/>
    <s v="052.523.994-41"/>
    <x v="3"/>
    <s v="ESTUDO SOCIAL"/>
    <n v="17"/>
    <n v="300"/>
    <n v="450"/>
    <s v="OK"/>
    <m/>
    <m/>
    <s v=""/>
    <s v=""/>
    <x v="32"/>
    <n v="450"/>
    <n v="0"/>
  </r>
  <r>
    <s v="92"/>
    <d v="2021-04-06T00:00:00"/>
    <s v="2021042181"/>
    <x v="9"/>
    <x v="4"/>
    <s v="0802011-45.2018.8.15.0001"/>
    <s v="TIAGO DA SILVA MARTINS"/>
    <s v="DENISE SANTOS DE MELO"/>
    <x v="11"/>
    <s v="397.520.114-20"/>
    <x v="3"/>
    <s v="ESTUDO SOCIAL"/>
    <n v="17"/>
    <n v="300"/>
    <n v="450"/>
    <s v="OK"/>
    <m/>
    <m/>
    <s v=""/>
    <s v=""/>
    <x v="32"/>
    <n v="450"/>
    <n v="0"/>
  </r>
  <r>
    <s v="93"/>
    <d v="2021-03-03T00:00:00"/>
    <s v="2021030208"/>
    <x v="34"/>
    <x v="9"/>
    <s v="0811189-03.2016.8.15.2001"/>
    <s v="MARIA DO CARMO LIRA FREIRE"/>
    <s v="BFB LEASING S/A ARRENDAMENTO MERCANTIL"/>
    <x v="40"/>
    <s v="160.702.754-20"/>
    <x v="6"/>
    <s v="LAUDO EM AÇÃO REVISIONAL ENVOLVENDO NEGÓCIOS BANCÁRIOS ATÉ 4 (QUATRO) CONTRATOS"/>
    <n v="2"/>
    <n v="370"/>
    <n v="1000"/>
    <s v="OK"/>
    <m/>
    <m/>
    <s v=""/>
    <s v=""/>
    <x v="32"/>
    <n v="1000"/>
    <n v="0"/>
  </r>
  <r>
    <s v="94"/>
    <d v="2018-06-28T00:00:00"/>
    <s v="2018133201"/>
    <x v="35"/>
    <x v="4"/>
    <s v="0005518-66.2008.815.0011"/>
    <s v="José Carlos Leite"/>
    <s v="Bradesco Vida e Previdência"/>
    <x v="43"/>
    <s v="451.125.414.15"/>
    <x v="6"/>
    <s v="LAUDO EM AÇÃO REVISIONAL ENVOLVENDO NEGÓCIOS BANCÁRIOS ATÉ 4 (QUATRO) CONTRATOS"/>
    <n v="2"/>
    <n v="370"/>
    <n v="937"/>
    <s v="OK"/>
    <m/>
    <m/>
    <s v=""/>
    <s v=""/>
    <x v="32"/>
    <n v="937"/>
    <n v="0"/>
  </r>
  <r>
    <s v="95"/>
    <d v="2021-01-27T00:00:00"/>
    <s v="2021011937"/>
    <x v="9"/>
    <x v="4"/>
    <s v="0828609-02.2019.8.15.0001"/>
    <s v="CICERO FRANCISCO DE SOUZA"/>
    <s v="MARIA DO SOCORRO DE ALMEIDA"/>
    <x v="11"/>
    <s v="397.520.114-20"/>
    <x v="3"/>
    <s v="ESTUDO SOCIAL"/>
    <n v="17"/>
    <n v="300"/>
    <n v="450"/>
    <s v="OK"/>
    <m/>
    <m/>
    <s v=""/>
    <s v=""/>
    <x v="32"/>
    <n v="450"/>
    <n v="0"/>
  </r>
  <r>
    <s v="96"/>
    <d v="2018-06-19T00:00:00"/>
    <s v="2018127463"/>
    <x v="36"/>
    <x v="9"/>
    <s v="0019935-_x000a_24.2015.8.15.2001"/>
    <s v="João Monteiro de Franca Neto"/>
    <s v="Maria Ilzenir Moreira Franca"/>
    <x v="44"/>
    <s v=" 071.413.924-67"/>
    <x v="6"/>
    <s v="LAUDO EM AÇÃO REVISIONAL ENVOLVENDO NEGÓCIOS BANCÁRIOS ATÉ 4 (QUATRO) CONTRATOS"/>
    <n v="2"/>
    <n v="370"/>
    <n v="1500"/>
    <s v="OK"/>
    <m/>
    <m/>
    <s v=""/>
    <s v=""/>
    <x v="32"/>
    <n v="1500"/>
    <n v="0"/>
  </r>
  <r>
    <s v="97"/>
    <d v="2020-08-11T00:00:00"/>
    <s v="2020120742"/>
    <x v="37"/>
    <x v="9"/>
    <s v="0818877-16.2016.8.15.2001"/>
    <s v="JOSE BATISTA CAMELO"/>
    <s v="BANCO BRADESCO AS"/>
    <x v="45"/>
    <s v="065.020.044-66"/>
    <x v="6"/>
    <s v="LAUDO EM AÇÃO REVISIONAL ENVOLVENDO NEGÓCIOS BANCÁRIOS ATÉ 4 (QUATRO) CONTRATOS"/>
    <n v="2"/>
    <n v="370"/>
    <n v="1500"/>
    <s v="OK"/>
    <m/>
    <m/>
    <s v=""/>
    <s v=""/>
    <x v="32"/>
    <n v="1500"/>
    <n v="0"/>
  </r>
  <r>
    <s v="98"/>
    <d v="2020-02-04T00:00:00"/>
    <s v="2020025061"/>
    <x v="34"/>
    <x v="9"/>
    <s v="0123356-35.2012.8.15.2001"/>
    <s v="JOSINALDO RESENDO SOARES"/>
    <s v="BV FINANCEIRA SA CREDITO FINANCIAMENTO E_x000a_INVESTIMENTO"/>
    <x v="40"/>
    <s v="160.702.754-20"/>
    <x v="6"/>
    <s v="LAUDO EM AÇÃO REVISIONAL ENVOLVENDO NEGÓCIOS BANCÁRIOS ATÉ 4 (QUATRO) CONTRATOS"/>
    <n v="2"/>
    <n v="370"/>
    <n v="1200"/>
    <s v="OK"/>
    <m/>
    <m/>
    <s v=""/>
    <s v=""/>
    <x v="32"/>
    <n v="1200"/>
    <n v="0"/>
  </r>
  <r>
    <s v="99"/>
    <d v="2021-03-16T00:00:00"/>
    <s v="2021036199"/>
    <x v="29"/>
    <x v="4"/>
    <s v="0805405-26.2019.8.15.0001"/>
    <s v="VALERIA LIRA DE AMORIM"/>
    <s v="MARCO AURELIO LIRA DE AMORIM"/>
    <x v="46"/>
    <n v="9104652401"/>
    <x v="6"/>
    <s v="OUTROS"/>
    <n v="5"/>
    <n v="370"/>
    <n v="1110"/>
    <s v="OK"/>
    <m/>
    <m/>
    <s v=""/>
    <s v=""/>
    <x v="32"/>
    <n v="1110"/>
    <n v="0"/>
  </r>
  <r>
    <s v="100"/>
    <d v="2021-06-15T00:00:00"/>
    <s v="2021077406"/>
    <x v="27"/>
    <x v="4"/>
    <s v="0806908-87.2016.8.15.0001"/>
    <s v="KARLA CRISTINA CORREIA DE SOUSA"/>
    <s v="BANCO_x000a_BRADESCO SA E OUTRO"/>
    <x v="36"/>
    <s v="048.870.264-04"/>
    <x v="1"/>
    <s v="LAUDO GRAFOTÉCNICO"/>
    <n v="1"/>
    <n v="300"/>
    <n v="300"/>
    <s v="OK"/>
    <m/>
    <m/>
    <s v=""/>
    <s v=""/>
    <x v="29"/>
    <n v="300"/>
    <n v="0"/>
  </r>
  <r>
    <s v="101"/>
    <d v="2021-04-26T00:00:00"/>
    <s v="2021050735"/>
    <x v="28"/>
    <x v="16"/>
    <s v="0800318-38.2018.8.15.1161"/>
    <s v="Mara do Socorro da Silva"/>
    <s v="Francisca Maria da Silva"/>
    <x v="34"/>
    <s v="061.721.584-73"/>
    <x v="0"/>
    <s v="LAUDO EM INTERDIÇÃO/DNA"/>
    <n v="13"/>
    <n v="370"/>
    <n v="370"/>
    <s v="OK"/>
    <m/>
    <m/>
    <s v=""/>
    <s v=""/>
    <x v="29"/>
    <n v="370"/>
    <n v="0"/>
  </r>
  <r>
    <s v="102"/>
    <d v="2021-03-16T00:00:00"/>
    <s v="2021035825"/>
    <x v="38"/>
    <x v="17"/>
    <s v="0800684-_x000a_80.2019.8.15.0211"/>
    <s v="Raimunda Luíza da Silva"/>
    <s v="Sabemi Seguradora S.A."/>
    <x v="1"/>
    <s v="021.205.144-02"/>
    <x v="1"/>
    <s v="PERÍCIA GRAFOTÉCNICA"/>
    <n v="1"/>
    <n v="300"/>
    <n v="1000"/>
    <s v="OK"/>
    <m/>
    <m/>
    <s v=""/>
    <s v=""/>
    <x v="34"/>
    <n v="1000"/>
    <n v="0"/>
  </r>
  <r>
    <s v="103"/>
    <d v="2021-06-29T00:00:00"/>
    <s v="2021082428"/>
    <x v="39"/>
    <x v="18"/>
    <s v=" 0800957-18.2021.8.15.0881"/>
    <s v="JOSIVALDO GOMES DANTAS "/>
    <s v="TEREZINHA GOMES DANTAS"/>
    <x v="47"/>
    <s v=" 044.220.834-06"/>
    <x v="3"/>
    <s v="ESTUDO SOCIAL"/>
    <n v="17"/>
    <n v="300"/>
    <n v="240"/>
    <s v="OK"/>
    <m/>
    <m/>
    <s v=""/>
    <s v=""/>
    <x v="35"/>
    <n v="240"/>
    <n v="0"/>
  </r>
  <r>
    <s v="104"/>
    <d v="2020-07-29T00:00:00"/>
    <s v="2020112978"/>
    <x v="21"/>
    <x v="11"/>
    <s v="0800919-40.2019.8.15.0181"/>
    <s v="JOAO JOSE DE ANDRADE"/>
    <s v="CHUBB SEGUROS BRASIL S.A"/>
    <x v="1"/>
    <s v="021.205.144-02"/>
    <x v="1"/>
    <s v="PERÍCIA GRAFOTÉCNICA"/>
    <n v="1"/>
    <n v="300"/>
    <n v="300"/>
    <s v="OK"/>
    <m/>
    <m/>
    <s v=""/>
    <s v=""/>
    <x v="36"/>
    <n v="300"/>
    <n v="0"/>
  </r>
  <r>
    <s v="105"/>
    <d v="2021-07-02T00:00:00"/>
    <s v="2021084913"/>
    <x v="5"/>
    <x v="4"/>
    <s v=" 0810973-23.2019.8.15.0001"/>
    <s v="ALFREDO ARAUJO"/>
    <s v="BANCO ITAU CONSIGNADO S.A"/>
    <x v="6"/>
    <s v="018.641.624-57"/>
    <x v="1"/>
    <s v="LAUDO GRAFOTÉCNICO"/>
    <n v="2"/>
    <n v="370"/>
    <n v="370"/>
    <s v="OK"/>
    <m/>
    <m/>
    <s v=""/>
    <s v=""/>
    <x v="37"/>
    <n v="370"/>
    <n v="0"/>
  </r>
  <r>
    <s v="106"/>
    <d v="2021-04-16T00:00:00"/>
    <s v="2021046947"/>
    <x v="0"/>
    <x v="0"/>
    <s v="0804362-79.2017.8.15.0371"/>
    <s v=" Alcivan Cirilo de Queiroz"/>
    <s v="BANCO DO NORDESTE DO BRASIL S/A"/>
    <x v="1"/>
    <s v="021.205.144-02"/>
    <x v="1"/>
    <s v="PERÍCIA GRAFOTÉCNICA"/>
    <n v="1"/>
    <n v="300"/>
    <n v="300"/>
    <s v="OK"/>
    <m/>
    <m/>
    <s v=""/>
    <s v=""/>
    <x v="38"/>
    <n v="300"/>
    <n v="0"/>
  </r>
  <r>
    <s v="107"/>
    <d v="2020-07-30T00:00:00"/>
    <s v="2020113786"/>
    <x v="21"/>
    <x v="11"/>
    <s v="0801674-98.2018.8.15.0181"/>
    <s v="TATIANA DA SILVA FREIRE"/>
    <s v="MUNICIPIO DE GUARABIRA"/>
    <x v="1"/>
    <s v="021.205.144-02"/>
    <x v="5"/>
    <s v="LAUDO DE INSALUBRIDADE E/OU PERICULOSIDADE, CONFORME NORMAS DA ABNT RESPECTIV"/>
    <n v="11"/>
    <n v="370"/>
    <n v="370"/>
    <s v="OK"/>
    <m/>
    <m/>
    <s v=""/>
    <s v=""/>
    <x v="39"/>
    <n v="370"/>
    <n v="0"/>
  </r>
  <r>
    <s v="108"/>
    <d v="2021-04-30T00:00:00"/>
    <s v="2021053286"/>
    <x v="21"/>
    <x v="11"/>
    <s v="0000336-73.2016.8.15.0511"/>
    <s v="MARIA GORETE GABRIEL DE PONTES"/>
    <s v="MUNICIPIO DE_x000a_SERTÃOZINHO e outro_x000a_"/>
    <x v="1"/>
    <s v="021.205.144-02"/>
    <x v="5"/>
    <s v="LAUDO DE INSALUBRIDADE E/OU PERICULOSIDADE, CONFORME NORMAS DA ABNT RESPECTIV"/>
    <n v="11"/>
    <n v="370"/>
    <n v="370"/>
    <s v="OK"/>
    <m/>
    <m/>
    <s v=""/>
    <s v=""/>
    <x v="40"/>
    <n v="370"/>
    <n v="0"/>
  </r>
  <r>
    <s v="109"/>
    <d v="2021-01-21T00:00:00"/>
    <s v="2021008923"/>
    <x v="0"/>
    <x v="0"/>
    <s v="0806208-63.2019.8.15.0371"/>
    <s v="MARIA APARECIDA DE LIMA "/>
    <s v="MUNICIPIO DE SANTA CRUZ"/>
    <x v="1"/>
    <s v="021.205.144-02"/>
    <x v="5"/>
    <s v="LAUDO DE INSALUBRIDADE E/OU PERICULOSIDADE, CONFORME NORMAS DA ABNT RESPECTIV"/>
    <n v="11"/>
    <n v="370"/>
    <n v="370"/>
    <s v="OK"/>
    <m/>
    <m/>
    <s v=""/>
    <s v=""/>
    <x v="40"/>
    <n v="370"/>
    <n v="0"/>
  </r>
  <r>
    <s v="110"/>
    <d v="2021-07-08T00:00:00"/>
    <s v="2021087770"/>
    <x v="1"/>
    <x v="1"/>
    <s v="0801739-72.2021.8.15.0251"/>
    <s v="MARIA DA GUIA CESÁRIA DO NASCIMENTO"/>
    <s v="Banco C6 Consignado"/>
    <x v="1"/>
    <s v="021.205.144-02"/>
    <x v="1"/>
    <s v="PERÍCIA GRAFOTÉCNICA"/>
    <n v="1"/>
    <n v="300"/>
    <n v="300"/>
    <s v="OK"/>
    <m/>
    <m/>
    <s v=""/>
    <s v=""/>
    <x v="40"/>
    <n v="300"/>
    <n v="0"/>
  </r>
  <r>
    <s v="111"/>
    <d v="2021-04-14T00:00:00"/>
    <s v="2021045788"/>
    <x v="1"/>
    <x v="1"/>
    <s v="0807012-66.2020.8.15.0251"/>
    <s v="SEBASTIAO SOBRINHO"/>
    <s v="BANCO PAN"/>
    <x v="1"/>
    <s v="021.205.144-02"/>
    <x v="1"/>
    <s v="PERÍCIA GRAFOTÉCNICA"/>
    <n v="1"/>
    <n v="300"/>
    <n v="1000"/>
    <s v="OK"/>
    <m/>
    <m/>
    <s v=""/>
    <s v=""/>
    <x v="41"/>
    <n v="1000"/>
    <n v="0"/>
  </r>
  <r>
    <s v="112"/>
    <d v="2021-05-14T00:00:00"/>
    <s v="2021059767"/>
    <x v="1"/>
    <x v="1"/>
    <s v=" 0807134-16.2019.8.15.0251"/>
    <s v="GILBERTO SILVA DINIZ"/>
    <s v="BANCO DO BRASIL SA e outro"/>
    <x v="1"/>
    <s v="021.205.144-02"/>
    <x v="1"/>
    <s v="PERÍCIA GRAFOTÉCNICA"/>
    <n v="1"/>
    <n v="300"/>
    <n v="1000"/>
    <s v="OK"/>
    <m/>
    <m/>
    <s v=""/>
    <s v=""/>
    <x v="41"/>
    <n v="1000"/>
    <n v="0"/>
  </r>
  <r>
    <s v="113"/>
    <d v="2021-04-07T00:00:00"/>
    <s v="2021042833"/>
    <x v="1"/>
    <x v="1"/>
    <s v="0802911-83.2020.8.15.0251"/>
    <s v="GERALDO NUNES RODRIGUES"/>
    <s v="BANCO ITAU CONSIGNADO S.A."/>
    <x v="1"/>
    <s v="021.205.144-02"/>
    <x v="1"/>
    <s v="PERÍCIA GRAFOTÉCNICA"/>
    <n v="1"/>
    <n v="300"/>
    <n v="1000"/>
    <s v="OK"/>
    <m/>
    <m/>
    <s v=""/>
    <s v=""/>
    <x v="41"/>
    <n v="1000"/>
    <n v="0"/>
  </r>
  <r>
    <s v="114"/>
    <d v="2021-06-11T00:00:00"/>
    <s v="2021075927"/>
    <x v="16"/>
    <x v="4"/>
    <s v="0806875-29.2018.8.15.0001"/>
    <s v="MARIA MARGARETE ALEXANDRE DE SOUSA"/>
    <s v="ANDRÉ SOUSA SILVA e outra"/>
    <x v="13"/>
    <s v="052.523.994.41"/>
    <x v="3"/>
    <s v="ESTUDO SOCIAL"/>
    <n v="17"/>
    <n v="300"/>
    <n v="450"/>
    <s v="OK"/>
    <m/>
    <m/>
    <s v=""/>
    <s v=""/>
    <x v="41"/>
    <n v="450"/>
    <n v="0"/>
  </r>
  <r>
    <s v="115"/>
    <d v="2021-05-26T00:00:00"/>
    <s v="2021065343"/>
    <x v="10"/>
    <x v="4"/>
    <s v="0005900-_x000a_20.2018.815.0011"/>
    <s v="JOSE HILTON PINHEIRO ANACLETO"/>
    <s v="COMPANHIA DE AGUA E ESGOTOS DA PARAIBA CAGEPA"/>
    <x v="48"/>
    <m/>
    <x v="5"/>
    <s v="LAUDO DE AVALIAÇÃO DE BENS FUNGÍVEIS/IMÓVEL RURAL/URBANO, CONFORME NORMAS DA ABNT RESPECTIVAS"/>
    <n v="9"/>
    <n v="700"/>
    <n v="937"/>
    <s v="OK"/>
    <m/>
    <m/>
    <s v=""/>
    <s v=""/>
    <x v="41"/>
    <n v="937"/>
    <n v="0"/>
  </r>
  <r>
    <s v="116"/>
    <d v="2019-05-17T00:00:00"/>
    <s v="2019099861"/>
    <x v="40"/>
    <x v="9"/>
    <s v="200.2003.515.780-5"/>
    <s v="Emerson Félix Gomes"/>
    <s v="José Alberes de Lucena Assis"/>
    <x v="49"/>
    <s v="645.811.444-34"/>
    <x v="5"/>
    <s v="LAUDO DE AVALIAÇÃO DE BENS FUNGÍVEIS/IMÓVEL RURAL/URBANO, CONFORME NORMAS DA ABNT RESPECTIVAS"/>
    <n v="9"/>
    <n v="700"/>
    <n v="800"/>
    <s v="OK"/>
    <m/>
    <m/>
    <s v=""/>
    <s v=""/>
    <x v="41"/>
    <n v="800"/>
    <n v="0"/>
  </r>
  <r>
    <s v="117"/>
    <d v="2021-07-09T00:00:00"/>
    <s v="2021088891"/>
    <x v="5"/>
    <x v="4"/>
    <s v="0826213-52.2019.8.15.0001"/>
    <s v="AMBROSINA PEREIRA DE SOUSA NEVES"/>
    <s v="HERON ANDRADE MARINHO LMF CONSTRUCOES LTDA"/>
    <x v="50"/>
    <s v="072.546.204-30"/>
    <x v="5"/>
    <s v="LAUDO PERICIAL DAS CONDIÇÕES ESTRUTURAIS DE SEGURNÇA E SOLIDEZ DE IMÓVEL, CONFORME NORMA DA ABNT RESPECTIVAS"/>
    <n v="8"/>
    <n v="370"/>
    <n v="370"/>
    <s v="OK"/>
    <m/>
    <m/>
    <s v=""/>
    <s v=""/>
    <x v="42"/>
    <n v="370"/>
    <n v="0"/>
  </r>
  <r>
    <s v="118"/>
    <d v="2021-06-11T00:00:00"/>
    <s v="2021075935"/>
    <x v="16"/>
    <x v="4"/>
    <s v="0806820-44.2019.8.15.0001"/>
    <s v="ALEXANDRE ARRUDA DAS MERCÊS"/>
    <s v="EDILEUSA RODRIGUES SILVA"/>
    <x v="51"/>
    <s v="042.007.234-92"/>
    <x v="3"/>
    <s v="ESTUDO SOCIAL"/>
    <n v="17"/>
    <n v="300"/>
    <n v="300"/>
    <s v="OK"/>
    <m/>
    <m/>
    <s v=""/>
    <s v=""/>
    <x v="43"/>
    <n v="300"/>
    <n v="0"/>
  </r>
  <r>
    <s v="119"/>
    <d v="2021-04-19T00:00:00"/>
    <s v="2021047827"/>
    <x v="9"/>
    <x v="4"/>
    <s v="0818794-78.2019.8.15.0001"/>
    <s v="ADEMAR VILAR DE MIRANDA JÚNIOR"/>
    <s v="GABRIELLY FARIAS COSTA"/>
    <x v="11"/>
    <s v="397.520.114-20"/>
    <x v="3"/>
    <s v="ESTUDO SOCIAL"/>
    <n v="17"/>
    <n v="300"/>
    <n v="300"/>
    <s v="OK"/>
    <m/>
    <m/>
    <s v=""/>
    <s v=""/>
    <x v="41"/>
    <n v="300"/>
    <n v="0"/>
  </r>
  <r>
    <s v="120"/>
    <d v="2021-02-10T00:00:00"/>
    <s v="2021020114"/>
    <x v="21"/>
    <x v="11"/>
    <s v="0803833-_x000a_77.2019.815.0181"/>
    <s v="JOSEFA DA COSTA SILVA"/>
    <s v="BANCO PAN"/>
    <x v="1"/>
    <s v="021.205.144-02"/>
    <x v="1"/>
    <s v="LAUDO GRAFOTÉCNICO"/>
    <n v="1"/>
    <n v="300"/>
    <n v="370"/>
    <s v="OK"/>
    <m/>
    <m/>
    <s v=""/>
    <s v=""/>
    <x v="42"/>
    <n v="370"/>
    <n v="0"/>
  </r>
  <r>
    <s v="121"/>
    <d v="2021-07-16T00:00:00"/>
    <s v="2021091696"/>
    <x v="39"/>
    <x v="18"/>
    <s v="0800235-89.2018.815.1171"/>
    <s v="MARIA LUCIA DE SOUSA"/>
    <s v="INSTITUTO NACIONAL DO SEGURO SOCIAL e outros"/>
    <x v="47"/>
    <s v="044.220.834-06"/>
    <x v="3"/>
    <s v="ESTUDO SOCIAL"/>
    <n v="17"/>
    <n v="300"/>
    <n v="200"/>
    <s v="OK"/>
    <m/>
    <m/>
    <s v=""/>
    <s v=""/>
    <x v="44"/>
    <n v="200"/>
    <n v="0"/>
  </r>
  <r>
    <s v="122"/>
    <d v="2021-07-16T00:00:00"/>
    <s v="2021091723"/>
    <x v="39"/>
    <x v="18"/>
    <s v="0801406-44.2019.815.0881"/>
    <s v="DOMINGUINHOS DE SOUZA LINHARES"/>
    <s v="FRANCISCO RAIMUNDO NETO"/>
    <x v="52"/>
    <s v="044.060.764-76"/>
    <x v="3"/>
    <s v="ESTUDO SOCIAL"/>
    <n v="17"/>
    <n v="300"/>
    <n v="300"/>
    <s v="OK"/>
    <m/>
    <m/>
    <s v=""/>
    <s v=""/>
    <x v="44"/>
    <n v="300"/>
    <n v="0"/>
  </r>
  <r>
    <s v="123"/>
    <d v="2020-10-22T00:00:00"/>
    <s v="2020152974"/>
    <x v="0"/>
    <x v="0"/>
    <s v="0800199-27.2015.8.15.0371"/>
    <s v="MARIA SUSANA DA_x000a_SILVA"/>
    <s v="PARAÍBA PREVIDÊNCIA - PBPREV e outro"/>
    <x v="0"/>
    <s v="011.871.344-22"/>
    <x v="0"/>
    <s v="OUTROS"/>
    <n v="15"/>
    <n v="370"/>
    <n v="370"/>
    <s v="OK"/>
    <m/>
    <m/>
    <s v=""/>
    <s v=""/>
    <x v="44"/>
    <n v="370"/>
    <n v="0"/>
  </r>
  <r>
    <s v="124"/>
    <d v="2021-07-16T00:00:00"/>
    <s v="2021091637"/>
    <x v="1"/>
    <x v="1"/>
    <s v="0801793-38.2021.8.15.0251"/>
    <s v="RAIMUNDA LUCENA DOS SANTOS"/>
    <s v="BP PROMOTORA DE_x000a_VENDAS LTDA"/>
    <x v="1"/>
    <s v="021.205.144-02"/>
    <x v="1"/>
    <s v="LAUDO GRAFOTÉCNICO"/>
    <n v="1"/>
    <n v="300"/>
    <n v="300"/>
    <s v="OK"/>
    <m/>
    <m/>
    <s v=""/>
    <s v=""/>
    <x v="44"/>
    <n v="300"/>
    <n v="0"/>
  </r>
  <r>
    <s v="125"/>
    <d v="2021-07-16T00:00:00"/>
    <s v="2021091740"/>
    <x v="39"/>
    <x v="18"/>
    <s v=" 08000906-46.2017.815.0881"/>
    <s v="SONIA MARIA DE SOUZA"/>
    <s v="CLEVIANA NUNES FÉLIX"/>
    <x v="52"/>
    <s v=" 044.060.764-76"/>
    <x v="3"/>
    <s v="ESTUDO SOCIAL"/>
    <n v="17"/>
    <n v="300"/>
    <n v="300"/>
    <s v="OK"/>
    <m/>
    <m/>
    <s v=""/>
    <s v=""/>
    <x v="45"/>
    <n v="300"/>
    <n v="0"/>
  </r>
  <r>
    <s v="126"/>
    <d v="2021-07-16T00:00:00"/>
    <s v="2021092050"/>
    <x v="21"/>
    <x v="11"/>
    <s v="0802243-65.2019.8.15.0181"/>
    <s v="MARIA ACELINO DA SILVA"/>
    <s v="SABEMI_x000a_SEGURADORA S.A."/>
    <x v="1"/>
    <s v="021.205.144-02"/>
    <x v="1"/>
    <s v="LAUDO GRAFOTÉCNICO"/>
    <n v="1"/>
    <n v="300"/>
    <n v="370"/>
    <s v="OK"/>
    <m/>
    <m/>
    <s v=""/>
    <s v=""/>
    <x v="46"/>
    <n v="370"/>
    <n v="0"/>
  </r>
  <r>
    <s v="127"/>
    <d v="2021-07-21T00:00:00"/>
    <s v="2021093542"/>
    <x v="41"/>
    <x v="11"/>
    <s v="0800034-41.2017.8.15.1201"/>
    <s v="JOSEFA MARIA LIMA BENTO"/>
    <s v="BANCO ITAU CONSIGNADO S.A."/>
    <x v="1"/>
    <s v="021.205.144-02"/>
    <x v="1"/>
    <s v="LAUDO GRAFOTÉCNICO"/>
    <n v="1"/>
    <n v="300"/>
    <n v="300"/>
    <s v="OK"/>
    <m/>
    <m/>
    <s v=""/>
    <s v=""/>
    <x v="47"/>
    <n v="300"/>
    <n v="0"/>
  </r>
  <r>
    <s v="128"/>
    <d v="2021-07-21T00:00:00"/>
    <s v="2021093591"/>
    <x v="41"/>
    <x v="11"/>
    <s v="0800044-22.2016.8.15.1201"/>
    <s v="MARIA JOSE CARDOSO"/>
    <s v="BANCO BRADESCO FINANCIAMENTOS S.A"/>
    <x v="1"/>
    <s v="021.205.144-02"/>
    <x v="1"/>
    <s v="LAUDO GRAFOTÉCNICO"/>
    <n v="1"/>
    <n v="300"/>
    <n v="370"/>
    <s v="OK"/>
    <m/>
    <m/>
    <s v=""/>
    <s v=""/>
    <x v="47"/>
    <n v="370"/>
    <n v="0"/>
  </r>
  <r>
    <s v="129"/>
    <d v="2021-07-21T00:00:00"/>
    <s v="2021094096"/>
    <x v="0"/>
    <x v="0"/>
    <s v="0800309-20.2016.8.15.0491"/>
    <s v="IRANI AVANI DE MENEZES OLIVEIRA"/>
    <s v="BANCO BMG AS"/>
    <x v="1"/>
    <s v="021.205.144-02"/>
    <x v="1"/>
    <s v="LAUDO GRAFOTÉCNICO"/>
    <n v="1"/>
    <n v="300"/>
    <n v="300"/>
    <s v="OK"/>
    <m/>
    <m/>
    <s v=""/>
    <s v=""/>
    <x v="48"/>
    <n v="300"/>
    <n v="0"/>
  </r>
  <r>
    <s v="130"/>
    <d v="2021-07-22T00:00:00"/>
    <s v="2021094246"/>
    <x v="39"/>
    <x v="18"/>
    <s v="0800185-97.2017.8.15.1171"/>
    <s v="IZABEL GUEDES DE OLIVEIRA FARIAS"/>
    <s v="INSTITUTO NACIONAL DO SEGURO SOCIAL"/>
    <x v="47"/>
    <s v="044.220.834-06"/>
    <x v="3"/>
    <s v="ESTUDO SOCIAL"/>
    <n v="17"/>
    <n v="300"/>
    <n v="200"/>
    <s v="OK"/>
    <m/>
    <m/>
    <s v=""/>
    <s v=""/>
    <x v="48"/>
    <n v="200"/>
    <n v="0"/>
  </r>
  <r>
    <s v="131"/>
    <d v="2021-07-23T00:00:00"/>
    <s v="2021095195"/>
    <x v="14"/>
    <x v="9"/>
    <s v="0087532-_x000a_15.2012.8.15.2001"/>
    <s v="EUZENI PEREIRA DE SOUZA"/>
    <s v="SANTANDER LEASING S.A._x000a_ARRENDAMENTO MERCANTIL_x000a_"/>
    <x v="2"/>
    <s v="027.962.114-01"/>
    <x v="6"/>
    <s v="LAUDO EM AÇÃO REVISIONAL ENVOLVENDO NEGÓCIOS BANCÁRIOS ATÉ 4 (QUATRO) CONTRATOS"/>
    <n v="2"/>
    <n v="370"/>
    <n v="200"/>
    <s v="OK"/>
    <m/>
    <m/>
    <s v=""/>
    <s v=""/>
    <x v="49"/>
    <n v="200"/>
    <n v="0"/>
  </r>
  <r>
    <s v="132"/>
    <d v="2020-10-06T00:00:00"/>
    <s v="2020146373"/>
    <x v="0"/>
    <x v="0"/>
    <s v="0806320-32.2019.8.15.0371"/>
    <s v="DENISE BATISTA DA COSTA"/>
    <s v="MUNICIPIO DE SOUSA"/>
    <x v="1"/>
    <s v="021.205.144-02"/>
    <x v="5"/>
    <s v="LAUDO DE INSALUBRIDADE E/OU PERICULOSIDADE, CONFORME NORMAS DA ABNT RESPECTIVAS"/>
    <n v="11"/>
    <n v="370"/>
    <n v="370"/>
    <s v="OK"/>
    <m/>
    <m/>
    <s v=""/>
    <s v=""/>
    <x v="50"/>
    <n v="370"/>
    <n v="0"/>
  </r>
  <r>
    <s v="133"/>
    <d v="2020-12-14T00:00:00"/>
    <s v="2020184776"/>
    <x v="21"/>
    <x v="11"/>
    <s v="0800438-57.2019.8.15.0511"/>
    <s v="MARIA LUCIA DOS SANTOS SILVA"/>
    <s v="MUNICIPIO DE SERTAOZINHO"/>
    <x v="1"/>
    <s v="021.205.144-02"/>
    <x v="5"/>
    <s v="LAUDO DE INSALUBRIDADE E/OU PERICULOSIDADE, CONFORME NORMAS DA ABNT RESPECTIVAS"/>
    <n v="11"/>
    <n v="370"/>
    <n v="370"/>
    <s v="OK"/>
    <m/>
    <m/>
    <s v=""/>
    <s v=""/>
    <x v="51"/>
    <n v="370"/>
    <n v="0"/>
  </r>
  <r>
    <s v="134"/>
    <d v="2020-12-17T00:00:00"/>
    <s v="2020188132"/>
    <x v="20"/>
    <x v="10"/>
    <s v="802668.07.2014.815.0725"/>
    <s v="AÉCIO DA SILVA"/>
    <s v="INSTITUTO NACIONAL DO SEGURO SOCIAL"/>
    <x v="53"/>
    <s v="013.589.374-78"/>
    <x v="0"/>
    <s v="OUTRAS"/>
    <n v="15"/>
    <n v="370"/>
    <n v="370"/>
    <s v="OK"/>
    <m/>
    <m/>
    <s v=""/>
    <s v=""/>
    <x v="52"/>
    <n v="370"/>
    <n v="0"/>
  </r>
  <r>
    <s v="135"/>
    <d v="2020-10-22T00:00:00"/>
    <s v="2020153485"/>
    <x v="0"/>
    <x v="0"/>
    <s v="0801321.02.2020.815.0371"/>
    <s v="FRANCINALDO VICTOR DE SOUSA"/>
    <s v="MUNICIPIO DE SOUSA"/>
    <x v="1"/>
    <s v="021.205.144-02"/>
    <x v="5"/>
    <s v="LAUDO DE INSALUBRIDADE E/OU PERICULOSIDADE, CONFORME NORMAS DA ABNT RESPECTIVAS"/>
    <n v="11"/>
    <n v="370"/>
    <n v="370"/>
    <s v="OK"/>
    <m/>
    <m/>
    <s v=""/>
    <s v=""/>
    <x v="53"/>
    <n v="370"/>
    <n v="0"/>
  </r>
  <r>
    <s v="136"/>
    <d v="2020-12-18T00:00:00"/>
    <s v="2020189609"/>
    <x v="21"/>
    <x v="11"/>
    <s v="0802687.06.2016.815.0181"/>
    <s v="JOSE HUMBERTO GOMES DA SILVA"/>
    <s v="INSTITUTO DE ASSISTENCIA E PREVIDENCIA MUNICIPAL DE GUARABIRA e outro"/>
    <x v="54"/>
    <s v="059.931.514-80"/>
    <x v="0"/>
    <s v="OUTRAS"/>
    <n v="15"/>
    <n v="370"/>
    <n v="370"/>
    <s v="OK"/>
    <m/>
    <m/>
    <s v=""/>
    <s v=""/>
    <x v="52"/>
    <n v="370"/>
    <n v="0"/>
  </r>
  <r>
    <s v="137"/>
    <d v="2020-10-22T00:00:00"/>
    <s v="2020153186"/>
    <x v="29"/>
    <x v="4"/>
    <s v="082118.63.2016.8.15.0001"/>
    <s v="WILTON SILVA LOPES"/>
    <s v="MARIA JOSÉ SOBRAL LOPES"/>
    <x v="35"/>
    <s v="059.931.514-80"/>
    <x v="4"/>
    <m/>
    <n v="16"/>
    <n v="300"/>
    <n v="300"/>
    <s v="OK"/>
    <m/>
    <m/>
    <s v=""/>
    <s v=""/>
    <x v="54"/>
    <n v="300"/>
    <n v="0"/>
  </r>
  <r>
    <s v="138"/>
    <d v="2021-02-05T00:00:00"/>
    <s v="2021016974"/>
    <x v="21"/>
    <x v="11"/>
    <s v="0802342.06.2017.8.15.01881"/>
    <s v="SUELY LINS PEREIRA"/>
    <s v="MUNICIPIO DE GUARABIRA"/>
    <x v="1"/>
    <s v="021.205.144-02"/>
    <x v="5"/>
    <s v="LAUDO DE INSALUBRIDADE E/OU PERICULOSIDADE, CONFORME NORMAS DA ABNT RESPECTIVAS"/>
    <n v="11"/>
    <n v="370"/>
    <n v="370"/>
    <s v="OK"/>
    <m/>
    <m/>
    <s v=""/>
    <s v=""/>
    <x v="54"/>
    <n v="370"/>
    <n v="0"/>
  </r>
  <r>
    <s v="139"/>
    <d v="2021-01-27T00:00:00"/>
    <s v="2021011550"/>
    <x v="29"/>
    <x v="4"/>
    <s v="0803638.16.2020.8.15.0001"/>
    <s v="PETRUCIO ELIAS DO NASCIMENTO QUIRINO"/>
    <s v="JEYSE KELLY DA SILVA GOMES"/>
    <x v="35"/>
    <s v="059.931.514-80"/>
    <x v="4"/>
    <m/>
    <n v="16"/>
    <n v="300"/>
    <n v="300"/>
    <s v="OK"/>
    <m/>
    <m/>
    <s v=""/>
    <s v=""/>
    <x v="53"/>
    <n v="300"/>
    <n v="0"/>
  </r>
  <r>
    <s v="140"/>
    <d v="2021-01-15T00:00:00"/>
    <s v="2021006005"/>
    <x v="17"/>
    <x v="4"/>
    <s v="0802313.45.2016.8.15.0001"/>
    <s v="ANIZIO JOAQUIM ALVES NETO"/>
    <s v="CENTRO DE MATERIAL DE CONSTRUCAO LTDA e outro"/>
    <x v="36"/>
    <s v="048.870.264-04"/>
    <x v="1"/>
    <s v="LAUDO GRAFOTÉCNICO"/>
    <n v="1"/>
    <n v="300"/>
    <n v="300"/>
    <s v="OK"/>
    <m/>
    <m/>
    <s v=""/>
    <s v=""/>
    <x v="55"/>
    <n v="300"/>
    <n v="0"/>
  </r>
  <r>
    <s v="141"/>
    <d v="2021-01-21T00:00:00"/>
    <s v="2021008923"/>
    <x v="0"/>
    <x v="0"/>
    <s v="0806208.63.2019.8.15.0371"/>
    <s v="MARIA APARECIDA DE LIMA"/>
    <s v="MUNICIPIO DE SANTA CRUZ"/>
    <x v="1"/>
    <s v="021.205.144-02"/>
    <x v="5"/>
    <s v="LAUDO DE INSALUBRIDADE E/OU PERICULOSIDADE, CONFORME NORMAS DA ABNT RESPECTIVAS"/>
    <n v="11"/>
    <n v="370"/>
    <n v="370"/>
    <s v="OK"/>
    <m/>
    <m/>
    <s v=""/>
    <s v=""/>
    <x v="55"/>
    <n v="370"/>
    <n v="0"/>
  </r>
  <r>
    <s v="142"/>
    <d v="2020-09-24T00:00:00"/>
    <s v="2020140920"/>
    <x v="0"/>
    <x v="0"/>
    <s v="0801857-47.2019.8.15.0371 "/>
    <s v="LUANA DANTAS DE OLIVEIRA MENDES"/>
    <s v="MUNICIPIO DE SOUSA"/>
    <x v="1"/>
    <s v="021.205.144-02"/>
    <x v="5"/>
    <s v="LAUDO DE INSALUBRIDADE E/OU PERICULOSIDADE, CONFORME NORMAS DA ABNT RESPECTIVAS"/>
    <n v="11"/>
    <n v="370"/>
    <n v="370"/>
    <s v="OK"/>
    <m/>
    <m/>
    <s v=""/>
    <s v=""/>
    <x v="56"/>
    <n v="370"/>
    <n v="0"/>
  </r>
  <r>
    <s v="143"/>
    <d v="2021-02-10T00:00:00"/>
    <s v="2021020114"/>
    <x v="21"/>
    <x v="11"/>
    <s v="0803833-77.2019.815.0181 "/>
    <s v="JOSEFA DA COSTA SILVA"/>
    <s v="BANCO PAN"/>
    <x v="1"/>
    <s v="021.205.144-02"/>
    <x v="5"/>
    <s v="LAUDO DE INSALUBRIDADE E/OU PERICULOSIDADE, CONFORME NORMAS DA ABNT RESPECTIVAS"/>
    <n v="11"/>
    <n v="370"/>
    <n v="370"/>
    <s v="OK"/>
    <m/>
    <m/>
    <s v=""/>
    <s v=""/>
    <x v="57"/>
    <n v="370"/>
    <n v="0"/>
  </r>
  <r>
    <s v="144"/>
    <d v="2021-02-09T00:00:00"/>
    <s v="2021018638"/>
    <x v="41"/>
    <x v="11"/>
    <s v="0801041-19.2020.815.0181 "/>
    <s v="RONIERY AGOSTINHO DA SILVA"/>
    <s v="MUNICIPIO DE GUARABIRA"/>
    <x v="1"/>
    <s v="021.205.144-02"/>
    <x v="5"/>
    <s v="LAUDO DE INSALUBRIDADE E/OU PERICULOSIDADE, CONFORME NORMAS DA ABNT RESPECTIVAS"/>
    <n v="11"/>
    <n v="370"/>
    <n v="370"/>
    <s v="OK"/>
    <m/>
    <m/>
    <s v=""/>
    <s v=""/>
    <x v="57"/>
    <n v="370"/>
    <n v="0"/>
  </r>
  <r>
    <s v="145"/>
    <d v="2020-10-22T00:00:00"/>
    <s v="2020153102"/>
    <x v="0"/>
    <x v="0"/>
    <s v="0802125-38.2018.8.15.0371"/>
    <s v="UBERLANDIA FERREIRA DE ARAUJO SILVA"/>
    <s v="MUNICIPIO DE SOUSA"/>
    <x v="0"/>
    <s v="027.099.114-00"/>
    <x v="0"/>
    <s v="OUTRAS"/>
    <n v="15"/>
    <n v="370"/>
    <n v="370"/>
    <s v="OK"/>
    <m/>
    <m/>
    <s v=""/>
    <s v=""/>
    <x v="58"/>
    <n v="370"/>
    <n v="0"/>
  </r>
  <r>
    <s v="146"/>
    <d v="2021-02-18T00:00:00"/>
    <s v="2021023231"/>
    <x v="5"/>
    <x v="4"/>
    <s v="0827658-08.2019.8.15.0001 "/>
    <s v="JOSE SILVA GONCALVES"/>
    <s v="HERON ANDRADE MARINHO LMF CONSTRUCOES LTDA"/>
    <x v="9"/>
    <s v="096.857.564-14"/>
    <x v="5"/>
    <s v="LAUDO PERICIAL DAS CONDIÇÕES ESTRUTURAIS DE SEGURNÇA E SOLIDEZ DE IM´VEL, CONFORME NORMA DA ABNT RESPECTIV AS"/>
    <n v="8"/>
    <n v="370"/>
    <n v="370"/>
    <s v="OK"/>
    <m/>
    <m/>
    <s v=""/>
    <s v=""/>
    <x v="57"/>
    <n v="370"/>
    <n v="0"/>
  </r>
  <r>
    <s v="147"/>
    <d v="2021-02-25T00:00:00"/>
    <s v="2021026847"/>
    <x v="25"/>
    <x v="14"/>
    <s v="0000133-66.2011.8.15.0421 "/>
    <s v="MARIA DOLORES LEITE"/>
    <s v="JOAO AILTON LEITE"/>
    <x v="31"/>
    <s v="053.027.324-16 "/>
    <x v="0"/>
    <s v="LAUDO EM INTERDIÇÃO/DNA"/>
    <n v="13"/>
    <n v="370"/>
    <n v="370"/>
    <s v="OK"/>
    <m/>
    <m/>
    <s v=""/>
    <s v=""/>
    <x v="30"/>
    <n v="370"/>
    <n v="0"/>
  </r>
  <r>
    <s v="148"/>
    <d v="2021-02-25T00:00:00"/>
    <s v="2021026986"/>
    <x v="25"/>
    <x v="14"/>
    <s v="0000426.49.2014.815.0221 "/>
    <s v="EZILDA COELHO ARAUJO"/>
    <s v="MARIA COELHO DE ARAUJO"/>
    <x v="31"/>
    <s v="053.027.324-16 "/>
    <x v="0"/>
    <s v="LAUDO EM INTERDIÇÃO/DNA"/>
    <n v="13"/>
    <n v="370"/>
    <n v="370"/>
    <s v="OK"/>
    <m/>
    <m/>
    <s v=""/>
    <s v=""/>
    <x v="30"/>
    <n v="370"/>
    <n v="0"/>
  </r>
  <r>
    <s v="149"/>
    <d v="2021-02-25T00:00:00"/>
    <s v="2021027190"/>
    <x v="25"/>
    <x v="14"/>
    <s v="0000804-05.2014.815.0221 "/>
    <s v="GERALDA CASIMIRO FERREIRA"/>
    <s v="ANIELE CASSIMIRO FERREIRA"/>
    <x v="31"/>
    <s v="053.027.324-16 "/>
    <x v="0"/>
    <s v="LAUDO EM INTERDIÇÃO/DNA"/>
    <n v="13"/>
    <n v="370"/>
    <n v="370"/>
    <s v="OK"/>
    <m/>
    <m/>
    <s v=""/>
    <s v=""/>
    <x v="30"/>
    <n v="370"/>
    <n v="0"/>
  </r>
  <r>
    <s v="150"/>
    <d v="2021-02-25T00:00:00"/>
    <s v="2021027315"/>
    <x v="25"/>
    <x v="14"/>
    <s v="0800155-47.2018.815.0421 "/>
    <s v="MARIA PEREIRA DA SILVA"/>
    <s v="JOAO PEREIRA DA SILVA FILHO"/>
    <x v="31"/>
    <s v="053.027.324-16 "/>
    <x v="0"/>
    <s v="LAUDO EM INTERDIÇÃO/DNA"/>
    <n v="13"/>
    <n v="370"/>
    <n v="370"/>
    <s v="OK"/>
    <m/>
    <m/>
    <s v=""/>
    <s v=""/>
    <x v="17"/>
    <n v="370"/>
    <n v="0"/>
  </r>
  <r>
    <s v="151"/>
    <d v="2021-02-25T00:00:00"/>
    <s v="2021027132"/>
    <x v="25"/>
    <x v="14"/>
    <s v="0000542-03.2015.8.15.0421"/>
    <s v="FRANCISCO FABIO AMORIM DO NASCIMENTO"/>
    <s v="CLAUDIA CORDEIRO DE AMORIM"/>
    <x v="31"/>
    <s v="053.027.324-16 "/>
    <x v="0"/>
    <s v="LAUDO EM INTERDIÇÃO/DNA"/>
    <n v="13"/>
    <n v="370"/>
    <n v="370"/>
    <s v="OK"/>
    <m/>
    <m/>
    <s v=""/>
    <s v=""/>
    <x v="30"/>
    <n v="370"/>
    <n v="0"/>
  </r>
  <r>
    <s v="152"/>
    <d v="2021-02-25T00:00:00"/>
    <s v="2021026943"/>
    <x v="25"/>
    <x v="14"/>
    <s v="0000373-84.2013.8.15.0421 "/>
    <s v="MARIA VILANI MARAVILHA DA SILVA"/>
    <s v="JULIANA MARAVILHA DE QUEIROS"/>
    <x v="31"/>
    <s v="053.027.324-16 "/>
    <x v="0"/>
    <s v="LAUDO EM INTERDIÇÃO/DNA"/>
    <n v="13"/>
    <n v="370"/>
    <n v="370"/>
    <s v="OK"/>
    <m/>
    <m/>
    <s v=""/>
    <s v=""/>
    <x v="19"/>
    <n v="370"/>
    <n v="0"/>
  </r>
  <r>
    <s v="153"/>
    <d v="2021-02-25T00:00:00"/>
    <s v="2021026898"/>
    <x v="25"/>
    <x v="14"/>
    <s v="0000366-42.2015.8.15.0221 "/>
    <s v="MARIA DA NATIVIDADE ALVES"/>
    <s v="FRANCISCA MARIA DA SILVA DE OLIVEIRA"/>
    <x v="31"/>
    <s v="053.027.324-16 "/>
    <x v="0"/>
    <s v="LAUDO EM INTERDIÇÃO/DNA"/>
    <n v="13"/>
    <n v="370"/>
    <n v="370"/>
    <s v="OK"/>
    <m/>
    <m/>
    <s v=""/>
    <s v=""/>
    <x v="30"/>
    <n v="370"/>
    <n v="0"/>
  </r>
  <r>
    <s v="154"/>
    <d v="2021-02-25T00:00:00"/>
    <s v="2021027261"/>
    <x v="25"/>
    <x v="14"/>
    <s v="0800010-72.2019.8.15.0221 "/>
    <s v="FRANCISCA BATISTA DE MOURA"/>
    <s v="FRANCILEUDA BATISTA DE MOURA "/>
    <x v="31"/>
    <s v="053.027.324-16 "/>
    <x v="0"/>
    <s v="LAUDO EM INTERDIÇÃO/DNA"/>
    <n v="13"/>
    <n v="370"/>
    <n v="370"/>
    <s v="OK"/>
    <m/>
    <m/>
    <s v=""/>
    <s v=""/>
    <x v="30"/>
    <n v="370"/>
    <n v="0"/>
  </r>
  <r>
    <s v="155"/>
    <d v="2021-02-26T00:00:00"/>
    <s v="2021028107"/>
    <x v="25"/>
    <x v="14"/>
    <s v="0800443-47.2017.815.0221 "/>
    <s v="MEIRECELLY INACIO DE SOUSA"/>
    <s v="JUDITH INACIO DE SOUSA"/>
    <x v="31"/>
    <s v="053.027.324-16 "/>
    <x v="0"/>
    <s v="LAUDO EM INTERDIÇÃO/DNA"/>
    <n v="13"/>
    <n v="370"/>
    <n v="370"/>
    <s v="OK"/>
    <m/>
    <m/>
    <s v=""/>
    <s v=""/>
    <x v="19"/>
    <n v="370"/>
    <n v="0"/>
  </r>
  <r>
    <s v="156"/>
    <d v="2021-02-25T00:00:00"/>
    <s v="2021027173"/>
    <x v="25"/>
    <x v="14"/>
    <s v="0000685-10.2015.8.15.0221 "/>
    <s v="PEDRINA DE OLIVEIRA SOUSA"/>
    <s v="GILMARA DE OLIVEIRA SOUSA"/>
    <x v="31"/>
    <s v="053.027.324-16 "/>
    <x v="0"/>
    <s v="LAUDO EM INTERDIÇÃO/DNA"/>
    <n v="13"/>
    <n v="370"/>
    <n v="370"/>
    <s v="OK"/>
    <m/>
    <m/>
    <s v=""/>
    <s v=""/>
    <x v="17"/>
    <n v="370"/>
    <n v="0"/>
  </r>
  <r>
    <s v="157"/>
    <d v="2021-02-25T00:00:00"/>
    <s v="2021027270"/>
    <x v="25"/>
    <x v="14"/>
    <s v="0800104-70.2017.815.0241 "/>
    <s v="FRANCISCA LUZIVANIA SILVA DE SOUSA"/>
    <s v="FRANCISCA LUSINEIDE SILVA DE SOUSA"/>
    <x v="31"/>
    <s v="053.027.324-16 "/>
    <x v="0"/>
    <s v="LAUDO EM INTERDIÇÃO/DNA"/>
    <n v="13"/>
    <n v="370"/>
    <n v="370"/>
    <s v="OK"/>
    <m/>
    <m/>
    <s v=""/>
    <s v=""/>
    <x v="59"/>
    <n v="370"/>
    <n v="0"/>
  </r>
  <r>
    <s v="158"/>
    <d v="2019-12-06T00:00:00"/>
    <s v="2019276862"/>
    <x v="34"/>
    <x v="9"/>
    <s v="0837663-11.2016.8.15.2001 "/>
    <s v="JOSE CARVALHO SOBRINHO"/>
    <s v="BANCO PAN S.A."/>
    <x v="55"/>
    <s v="089.524.654-66"/>
    <x v="6"/>
    <s v="LAUDO EM AÇÃO REVISIONAL ENVOLVENDO NEGÓCIOS BANCÁRIOS ATÉ 4 (QUATRO) CONTRATOS"/>
    <n v="5"/>
    <n v="370"/>
    <n v="370"/>
    <s v="OK"/>
    <m/>
    <m/>
    <s v=""/>
    <s v=""/>
    <x v="60"/>
    <n v="370"/>
    <n v="0"/>
  </r>
  <r>
    <s v="159"/>
    <d v="2020-12-12T00:00:00"/>
    <s v="2020184049"/>
    <x v="0"/>
    <x v="0"/>
    <s v="0801662-28.2020.8.15.0371 "/>
    <s v="FRANCISCA MARIA DE SOUSA MARQUES"/>
    <s v="MUNICIPIO DE SOUSA"/>
    <x v="1"/>
    <s v="021.205.144-02"/>
    <x v="5"/>
    <s v="LAUDO DE INSALUBRIDADE E/OU PERICULOSIDADE, CONFORME NORMAS DA ABNT RESPECTIVAS"/>
    <n v="11"/>
    <n v="370"/>
    <n v="370"/>
    <s v="OK"/>
    <m/>
    <m/>
    <s v=""/>
    <s v=""/>
    <x v="30"/>
    <n v="370"/>
    <n v="0"/>
  </r>
  <r>
    <s v="160"/>
    <d v="2021-02-22T00:00:00"/>
    <s v="2021024958"/>
    <x v="15"/>
    <x v="4"/>
    <s v="0800768-32.2019.8.15.0001 "/>
    <s v="LINALDO AGRIPINO DOS SANTOS"/>
    <s v="SANDRA HELENA NASCIMENTO DINIZ "/>
    <x v="56"/>
    <s v="035.798.954-60"/>
    <x v="1"/>
    <s v="LAUDO GRAFOTÉCNICO"/>
    <n v="1"/>
    <n v="300"/>
    <n v="300"/>
    <s v="OK"/>
    <m/>
    <m/>
    <s v=""/>
    <s v=""/>
    <x v="61"/>
    <n v="300"/>
    <n v="0"/>
  </r>
  <r>
    <s v="161"/>
    <d v="2020-11-27T00:00:00"/>
    <s v="2020174301"/>
    <x v="0"/>
    <x v="0"/>
    <s v="0800441-10.2020.8.15.0371 "/>
    <s v="MARIA DE LOURDES SILVA"/>
    <s v="MUNICIPIO DE SOUSA"/>
    <x v="1"/>
    <s v="021.205.144-02"/>
    <x v="5"/>
    <s v="LAUDO DE INSALUBRIDADE E/OU PERICULOSIDADE, CONFORME NORMAS DA ABNT RESPECTIVAS"/>
    <n v="11"/>
    <n v="370"/>
    <n v="370"/>
    <s v="OK"/>
    <m/>
    <m/>
    <s v=""/>
    <s v=""/>
    <x v="30"/>
    <n v="370"/>
    <n v="0"/>
  </r>
  <r>
    <s v="162"/>
    <d v="2021-02-25T00:00:00"/>
    <s v="2021027181"/>
    <x v="25"/>
    <x v="14"/>
    <s v=": 0000705-74.2010.815.0221 "/>
    <s v="ANA VIEIRA DA SILVA"/>
    <s v="MARIA BETANIA ALVES"/>
    <x v="31"/>
    <s v="053.027.324-16 "/>
    <x v="0"/>
    <s v="LAUDO EM INTERDIÇÃO/DNA"/>
    <n v="13"/>
    <n v="370"/>
    <n v="370"/>
    <s v="OK"/>
    <m/>
    <m/>
    <s v=""/>
    <s v=""/>
    <x v="19"/>
    <n v="370"/>
    <n v="0"/>
  </r>
  <r>
    <s v="163"/>
    <d v="2021-02-25T00:00:00"/>
    <s v="2021027296"/>
    <x v="25"/>
    <x v="14"/>
    <s v="0800146-56.2016.815.0421 "/>
    <s v="MARIA ILZA CAJU DE LACERDA FILHA"/>
    <s v="VESPASIANO LACERDA CAJU "/>
    <x v="31"/>
    <s v="053.027.324-16 "/>
    <x v="0"/>
    <s v="LAUDO EM INTERDIÇÃO/DNA"/>
    <n v="13"/>
    <n v="370"/>
    <n v="370"/>
    <s v="OK"/>
    <m/>
    <m/>
    <s v=""/>
    <s v=""/>
    <x v="17"/>
    <n v="370"/>
    <n v="0"/>
  </r>
  <r>
    <s v="164"/>
    <d v="2021-02-26T00:00:00"/>
    <s v="2021028131"/>
    <x v="25"/>
    <x v="14"/>
    <s v="0800453-23.2019.815.0221 "/>
    <s v="MARIA LUCINEIDE ROCHA DA SILVA "/>
    <s v="VITÓRIA DA SILVA CONCEIÇÃO"/>
    <x v="31"/>
    <s v="053.027.324-16"/>
    <x v="0"/>
    <s v="LAUDO EM INTERDIÇÃO/DNA"/>
    <n v="13"/>
    <n v="370"/>
    <n v="370"/>
    <s v="OK"/>
    <m/>
    <m/>
    <s v=""/>
    <s v=""/>
    <x v="59"/>
    <n v="370"/>
    <n v="0"/>
  </r>
  <r>
    <s v="165"/>
    <d v="2021-02-25T00:00:00"/>
    <s v="2021027237"/>
    <x v="25"/>
    <x v="14"/>
    <s v="0001076-96.2014.8.15.0221 "/>
    <s v="CHARMENIA BRAZ DE LIMA "/>
    <s v="MARIA DAS GRACAS BRAZ"/>
    <x v="31"/>
    <s v="053.027.324-16"/>
    <x v="0"/>
    <s v="LAUDO EM INTERDIÇÃO/DNA"/>
    <n v="13"/>
    <n v="370"/>
    <n v="370"/>
    <s v="OK"/>
    <m/>
    <m/>
    <s v=""/>
    <s v=""/>
    <x v="59"/>
    <n v="370"/>
    <n v="0"/>
  </r>
  <r>
    <s v="166"/>
    <d v="2021-02-25T00:00:00"/>
    <s v="2021027204"/>
    <x v="25"/>
    <x v="14"/>
    <s v="0000806-43.2012.815.0221 "/>
    <s v="JOSE RIBAMAR DIAS DE SOUSA"/>
    <s v="MANOEL BEZERRA DIAS"/>
    <x v="31"/>
    <s v="053.027.324-16"/>
    <x v="0"/>
    <s v="LAUDO EM INTERDIÇÃO/DNA"/>
    <n v="13"/>
    <n v="370"/>
    <n v="370"/>
    <s v="OK"/>
    <m/>
    <m/>
    <s v=""/>
    <s v=""/>
    <x v="59"/>
    <n v="370"/>
    <n v="0"/>
  </r>
  <r>
    <s v="167"/>
    <d v="2021-02-26T00:00:00"/>
    <s v="2021028096"/>
    <x v="25"/>
    <x v="14"/>
    <s v="0800431-33.2017.815.0221 "/>
    <s v="MANOEL ERNANI DA SILVA"/>
    <s v="MARIA MARLUCE ROLIM DA SILVA"/>
    <x v="57"/>
    <s v="053.027.324-16"/>
    <x v="0"/>
    <s v="LAUDO EM INTERDIÇÃO/DNA"/>
    <n v="13"/>
    <n v="370"/>
    <n v="370"/>
    <s v="OK"/>
    <m/>
    <m/>
    <s v=""/>
    <s v=""/>
    <x v="59"/>
    <n v="370"/>
    <n v="0"/>
  </r>
  <r>
    <s v="168"/>
    <d v="2021-02-25T00:00:00"/>
    <s v="2021027288"/>
    <x v="25"/>
    <x v="14"/>
    <s v="080011-80.2017.8.815.0421 "/>
    <s v="MARIA DO SOCORRO LOPES FERREIRA"/>
    <s v="ANTONIO FERREIRA ALVES"/>
    <x v="31"/>
    <s v="053.027.324-16"/>
    <x v="0"/>
    <s v="LAUDO EM INTERDIÇÃO/DNA"/>
    <n v="13"/>
    <n v="370"/>
    <n v="370"/>
    <s v="OK"/>
    <m/>
    <m/>
    <s v=""/>
    <s v=""/>
    <x v="17"/>
    <n v="370"/>
    <n v="0"/>
  </r>
  <r>
    <s v="169"/>
    <d v="2021-02-26T00:00:00"/>
    <s v="2021028140"/>
    <x v="25"/>
    <x v="14"/>
    <s v="0800473-19.2016.815.0221"/>
    <s v="DELAN ANISIO DE SOUSA"/>
    <s v="MANOEL ANISIO DE SOUSA"/>
    <x v="31"/>
    <s v="053.027.324-16"/>
    <x v="0"/>
    <s v="LAUDO EM INTERDIÇÃO/DNA"/>
    <n v="13"/>
    <n v="370"/>
    <n v="370"/>
    <s v="OK"/>
    <m/>
    <m/>
    <s v=""/>
    <s v=""/>
    <x v="59"/>
    <n v="370"/>
    <n v="0"/>
  </r>
  <r>
    <s v="170"/>
    <d v="2021-02-25T00:00:00"/>
    <s v="2021026822"/>
    <x v="25"/>
    <x v="14"/>
    <s v="0000126-35.2015.8.15.0421 "/>
    <s v="MARIA DO ROSARIO FEITOZA PALITOT"/>
    <s v="MARIA DO SOCORRO FEITOZA PALITOT"/>
    <x v="31"/>
    <s v="053.027.324-16"/>
    <x v="0"/>
    <s v="LAUDO EM INTERDIÇÃO/DNA"/>
    <n v="13"/>
    <n v="370"/>
    <n v="370"/>
    <s v="OK"/>
    <m/>
    <m/>
    <s v=""/>
    <s v=""/>
    <x v="59"/>
    <n v="370"/>
    <n v="0"/>
  </r>
  <r>
    <s v="171"/>
    <d v="2021-02-25T00:00:00"/>
    <s v="2021026806"/>
    <x v="25"/>
    <x v="14"/>
    <s v="000066-80.2015.8.15.0221 "/>
    <s v="DAMIAO HENRIQUE DE OLIVEIRA"/>
    <s v="FRANCISCA DE OLIVEIRA"/>
    <x v="31"/>
    <s v="053.027.324-16"/>
    <x v="0"/>
    <s v="LAUDO EM INTERDIÇÃO/DNA"/>
    <n v="13"/>
    <n v="370"/>
    <n v="370"/>
    <s v="OK"/>
    <m/>
    <m/>
    <s v=""/>
    <s v=""/>
    <x v="59"/>
    <n v="370"/>
    <n v="0"/>
  </r>
  <r>
    <s v="172"/>
    <d v="2021-02-26T00:00:00"/>
    <s v="2021028070"/>
    <x v="25"/>
    <x v="14"/>
    <s v="0800410-57.2017.8.15.0221 "/>
    <s v="LUCICLEIDE MANGUEIRA DE OLIVEIRA"/>
    <s v="MARIA ISADORA MANGUEIRA DE OLIVEIRA"/>
    <x v="31"/>
    <s v="053.027.324-16"/>
    <x v="0"/>
    <s v="LAUDO EM INTERDIÇÃO/DNA"/>
    <n v="13"/>
    <n v="370"/>
    <n v="370"/>
    <s v="OK"/>
    <m/>
    <m/>
    <s v=""/>
    <s v=""/>
    <x v="59"/>
    <n v="370"/>
    <n v="0"/>
  </r>
  <r>
    <s v="173"/>
    <d v="2021-02-25T00:00:00"/>
    <s v="2021026855"/>
    <x v="25"/>
    <x v="14"/>
    <s v="0000294-37.8.15.0421"/>
    <s v="HILDA GALDINO DE SOUSA"/>
    <s v="VANESSA GALDINO DE SOUSA"/>
    <x v="31"/>
    <s v="053.027.324-16"/>
    <x v="0"/>
    <s v="LAUDO EM INTERDIÇÃO/DNA"/>
    <n v="13"/>
    <n v="370"/>
    <n v="370"/>
    <s v="OK"/>
    <m/>
    <m/>
    <s v=""/>
    <s v=""/>
    <x v="59"/>
    <n v="370"/>
    <n v="0"/>
  </r>
  <r>
    <s v="174"/>
    <d v="2020-05-12T00:00:00"/>
    <s v="2020075794"/>
    <x v="41"/>
    <x v="11"/>
    <s v="0803898-72.2019.8.15.0181 "/>
    <s v="DIOGO MARTINS DE MEDEIROS"/>
    <s v="MUNICIPIO DE GUARABIRA "/>
    <x v="1"/>
    <s v="021.205.144-02"/>
    <x v="5"/>
    <s v="LAUDO DE INSALUBRIDADE E/OU PERICULOSIDADE, CONFORME NORMAS DA ABNT RESPECTIVAS"/>
    <n v="11"/>
    <n v="370"/>
    <n v="370"/>
    <s v="OK"/>
    <m/>
    <m/>
    <s v=""/>
    <s v=""/>
    <x v="62"/>
    <n v="370"/>
    <n v="0"/>
  </r>
  <r>
    <s v="175"/>
    <d v="2020-10-20T00:00:00"/>
    <s v="2020151539"/>
    <x v="0"/>
    <x v="0"/>
    <s v="0803408-62.2019.8.15.0371 "/>
    <s v="ROCILDA MARIA DE OLIVEIRA CRUZ"/>
    <s v="MUNICIPIO DO LASTRO"/>
    <x v="1"/>
    <s v="021.205.144-02"/>
    <x v="5"/>
    <s v="LAUDO DE INSALUBRIDADE E/OU PERICULOSIDADE, CONFORME NORMAS DA ABNT RESPECTIVAS"/>
    <n v="11"/>
    <n v="370"/>
    <n v="370"/>
    <s v="OK"/>
    <m/>
    <m/>
    <s v=""/>
    <s v=""/>
    <x v="62"/>
    <n v="370"/>
    <n v="0"/>
  </r>
  <r>
    <s v="176"/>
    <d v="2021-01-25T00:00:00"/>
    <s v="2021010037"/>
    <x v="39"/>
    <x v="18"/>
    <s v="0800814-34.2018.8.15.0881 "/>
    <s v="RAIMUNDA MARIA DA SILVA"/>
    <s v="FRANCISCO BEZERRA DA SILVA e outro"/>
    <x v="47"/>
    <s v="044.220.834-06"/>
    <x v="3"/>
    <s v="ESTUDO SOCIAL"/>
    <n v="17"/>
    <n v="300"/>
    <n v="200"/>
    <s v="OK"/>
    <m/>
    <m/>
    <s v=""/>
    <s v=""/>
    <x v="51"/>
    <n v="200"/>
    <n v="0"/>
  </r>
  <r>
    <s v="177"/>
    <d v="2021-03-04T00:00:00"/>
    <s v="2021031065"/>
    <x v="21"/>
    <x v="11"/>
    <s v="0800435-05.2019.8.15.0511 "/>
    <s v="ANA LUCIA FLORIANO BEZERRA"/>
    <s v="MUNICIPIO DE SERTAOZINHO"/>
    <x v="1"/>
    <s v="021.205.144-02"/>
    <x v="5"/>
    <s v="LAUDO DE INSALUBRIDADE E/OU PERICULOSIDADE, CONFORME NORMAS DA ABNT RESPECTIVAS"/>
    <n v="11"/>
    <n v="370"/>
    <n v="370"/>
    <s v="OK"/>
    <m/>
    <m/>
    <s v=""/>
    <s v=""/>
    <x v="63"/>
    <n v="370"/>
    <n v="0"/>
  </r>
  <r>
    <s v="178"/>
    <d v="2020-06-24T00:00:00"/>
    <s v="2020093712"/>
    <x v="41"/>
    <x v="11"/>
    <s v="0803238-78.2019.8.15.0181 "/>
    <s v="Tainy Fernandes da Silva"/>
    <s v="Município de Guarabira"/>
    <x v="1"/>
    <s v="021.205.144-02"/>
    <x v="5"/>
    <s v="LAUDO DE INSALUBRIDADE E/OU PERICULOSIDADE, CONFORME NORMAS DA ABNT RESPECTIVAS"/>
    <n v="11"/>
    <n v="370"/>
    <n v="370"/>
    <s v="OK"/>
    <m/>
    <m/>
    <s v=""/>
    <s v=""/>
    <x v="64"/>
    <n v="370"/>
    <n v="0"/>
  </r>
  <r>
    <s v="179"/>
    <d v="2021-03-04T00:00:00"/>
    <s v="2021030683"/>
    <x v="42"/>
    <x v="12"/>
    <s v="0802883-67.2019.8.15.0731 "/>
    <s v="MARIA ELIZABETE ARAUJO DE LIMA"/>
    <s v="BANCO PAN"/>
    <x v="1"/>
    <s v="021.205.144-02"/>
    <x v="1"/>
    <s v="LAUDO GRAFOTÉCNICO"/>
    <n v="1"/>
    <n v="300"/>
    <n v="300"/>
    <s v="OK"/>
    <m/>
    <m/>
    <s v=""/>
    <s v=""/>
    <x v="63"/>
    <n v="300"/>
    <n v="0"/>
  </r>
  <r>
    <s v="180"/>
    <d v="2017-11-22T00:00:00"/>
    <s v="2017212038"/>
    <x v="16"/>
    <x v="4"/>
    <s v="0816548-17.2016.8.15.0001 "/>
    <s v="ITAMAR FINIZOLA DE SA NETO"/>
    <s v="MICILENE MARIA RAMOS DA SILVA"/>
    <x v="58"/>
    <s v="018.641.074-30"/>
    <x v="3"/>
    <s v="ESTUDO SOCIAL"/>
    <n v="17"/>
    <n v="300"/>
    <n v="664.39"/>
    <s v="OK"/>
    <m/>
    <m/>
    <s v=""/>
    <s v=""/>
    <x v="65"/>
    <n v="664.39"/>
    <n v="0"/>
  </r>
  <r>
    <s v="181"/>
    <d v="2017-07-19T00:00:00"/>
    <s v="2017104376"/>
    <x v="16"/>
    <x v="4"/>
    <s v=" 0807064-75.2016.8.15.0001 "/>
    <s v="Rejane Monteiro da Silva Farias"/>
    <s v="José Robson_x000a_Sousa Farias"/>
    <x v="30"/>
    <s v="031.401.004-18"/>
    <x v="3"/>
    <s v="ESTUDO SOCIAL"/>
    <n v="17"/>
    <n v="300"/>
    <n v="664.39"/>
    <s v="OK"/>
    <m/>
    <m/>
    <s v=""/>
    <s v=""/>
    <x v="59"/>
    <n v="664.39"/>
    <n v="0"/>
  </r>
  <r>
    <s v="182"/>
    <d v="2020-09-21T00:00:00"/>
    <s v="2020139534"/>
    <x v="9"/>
    <x v="4"/>
    <s v="0821185-06.2019.8.15.0001 "/>
    <s v="MARIA ROSA MÍSTICA SOUTO ANDRADE"/>
    <s v="ALEXANDRE DA SILVA SANTOS"/>
    <x v="11"/>
    <s v="397.520.114-20"/>
    <x v="3"/>
    <s v="ESTUDO SOCIAL"/>
    <n v="17"/>
    <n v="300"/>
    <n v="300"/>
    <s v="OK"/>
    <m/>
    <m/>
    <s v=""/>
    <s v=""/>
    <x v="2"/>
    <n v="300"/>
    <n v="0"/>
  </r>
  <r>
    <s v="183"/>
    <d v="2020-03-12T00:00:00"/>
    <s v="2020054925"/>
    <x v="9"/>
    <x v="4"/>
    <s v="0821771-43.2019.8.15.0001 "/>
    <s v="WEDSON DOUGLAS SILVA MOREIRA"/>
    <s v="THAYSSA ESTHEFASNE GOMES SILVA"/>
    <x v="13"/>
    <s v="052.523.994-41"/>
    <x v="3"/>
    <s v="ESTUDO SOCIAL"/>
    <n v="17"/>
    <n v="300"/>
    <n v="300"/>
    <s v="OK"/>
    <m/>
    <m/>
    <s v=""/>
    <s v=""/>
    <x v="2"/>
    <n v="300"/>
    <n v="0"/>
  </r>
  <r>
    <s v="184"/>
    <d v="2020-03-03T00:00:00"/>
    <s v="2020047129"/>
    <x v="9"/>
    <x v="4"/>
    <s v="0813882-72.2018.815.0001 "/>
    <s v="PAULO ROBERTO FIGUEIRA DOS SANTOS"/>
    <s v="RENALLY INGRID DA SILVA SOARES"/>
    <x v="13"/>
    <s v="052.523.994-41"/>
    <x v="3"/>
    <s v="ESTUDO SOCIAL"/>
    <n v="17"/>
    <n v="300"/>
    <n v="300"/>
    <s v="OK"/>
    <m/>
    <m/>
    <s v=""/>
    <s v=""/>
    <x v="2"/>
    <n v="300"/>
    <n v="0"/>
  </r>
  <r>
    <s v="185"/>
    <d v="2020-02-12T00:00:00"/>
    <s v="2020033340"/>
    <x v="9"/>
    <x v="4"/>
    <s v="0009796-66.2015.815.0001 "/>
    <s v="DAIANA APOLINARIO DORNELLAS"/>
    <s v="IVANILDO BASCIMENTO ALMEIDA"/>
    <x v="13"/>
    <s v="052.523.994-41"/>
    <x v="3"/>
    <s v="ESTUDO SOCIAL"/>
    <n v="17"/>
    <n v="300"/>
    <n v="300"/>
    <s v="OK"/>
    <m/>
    <m/>
    <s v=""/>
    <s v=""/>
    <x v="2"/>
    <n v="300"/>
    <n v="0"/>
  </r>
  <r>
    <s v="186"/>
    <d v="2021-03-09T00:00:00"/>
    <s v="2021032765"/>
    <x v="34"/>
    <x v="9"/>
    <s v="0819131-86.2016.8.15.2001"/>
    <s v="PEDRO PEREIRA DA SILVA"/>
    <s v="BANCO ITAÚ CONSIGNADO_x000a_S.A."/>
    <x v="2"/>
    <s v="34.354.738/0001-30"/>
    <x v="6"/>
    <s v="LAUDO EM AÇÃO REVISIONAL ENVOLVENDO NEGÓCIOS BANCÁRIOS ATÉ 4 (QUATRO) CONTRATOS"/>
    <n v="2"/>
    <n v="370"/>
    <n v="370"/>
    <s v="OK"/>
    <m/>
    <m/>
    <s v=""/>
    <s v=""/>
    <x v="2"/>
    <n v="370"/>
    <n v="0"/>
  </r>
  <r>
    <s v="187"/>
    <d v="2019-08-20T00:00:00"/>
    <s v="2019172921"/>
    <x v="43"/>
    <x v="9"/>
    <s v="0011408-83.2015.815.2001"/>
    <s v="Katullo Sampaio Nunes"/>
    <s v="Banco BMG S/A"/>
    <x v="59"/>
    <s v="009.525.424.20"/>
    <x v="6"/>
    <s v="LAUDO EM AÇÃO REVISIONAL ENVOLVENDO NEGÓCIOS BANCÁRIOS ATÉ 4 (QUATRO) CONTRATOS"/>
    <n v="2"/>
    <n v="370"/>
    <n v="370"/>
    <s v="OK"/>
    <m/>
    <m/>
    <s v=""/>
    <s v=""/>
    <x v="66"/>
    <n v="370"/>
    <n v="0"/>
  </r>
  <r>
    <s v="188"/>
    <d v="2020-12-11T00:00:00"/>
    <s v="2020183925"/>
    <x v="22"/>
    <x v="12"/>
    <s v="0800091-14.2017.8.15.0731"/>
    <s v="ANTÔNIO SEBASTIÃO DE_x000a_LIMA"/>
    <s v="BANCO BRADESCO S.A."/>
    <x v="1"/>
    <s v="021.205.144-02"/>
    <x v="1"/>
    <s v="LAUDO GRAFOTÉCNICO"/>
    <n v="1"/>
    <n v="300"/>
    <n v="300"/>
    <s v="OK"/>
    <m/>
    <m/>
    <s v=""/>
    <s v=""/>
    <x v="67"/>
    <n v="300"/>
    <n v="0"/>
  </r>
  <r>
    <s v="189"/>
    <d v="2021-07-26T00:00:00"/>
    <s v="2021095525"/>
    <x v="4"/>
    <x v="0"/>
    <s v="0801357-_x000a_49.2017.815.0371"/>
    <s v="ROSEANE SEIXAS XAVIER ABRANTES"/>
    <s v="Município de Sousa"/>
    <x v="1"/>
    <s v="021.205.144-02"/>
    <x v="5"/>
    <s v="LAUDO DE INSALUBRIDADE E/OU PERICULOSIDADE, CONFORME NORMAS DA ABNT RESPECTIVAS"/>
    <n v="11"/>
    <n v="370"/>
    <n v="370"/>
    <s v="OK"/>
    <m/>
    <m/>
    <s v=""/>
    <s v=""/>
    <x v="68"/>
    <n v="370"/>
    <n v="0"/>
  </r>
  <r>
    <s v="190"/>
    <d v="2021-07-26T00:00:00"/>
    <s v="2021095710"/>
    <x v="42"/>
    <x v="12"/>
    <s v="0804777-_x000a_44.2020.815.0731"/>
    <s v="Maria Eunice do Vale Silva"/>
    <s v="Associação Nacional de Aposentados e_x000a_Pensionistas da Previdência Social - ANAPPS"/>
    <x v="1"/>
    <s v="021.205.144-02"/>
    <x v="1"/>
    <s v="LAUDO GRAFOTÉCNICO"/>
    <n v="1"/>
    <n v="300"/>
    <n v="300"/>
    <s v="OK"/>
    <m/>
    <m/>
    <s v=""/>
    <s v=""/>
    <x v="68"/>
    <n v="300"/>
    <n v="0"/>
  </r>
  <r>
    <s v="191"/>
    <d v="2021-07-28T00:00:00"/>
    <s v="2021096761 "/>
    <x v="44"/>
    <x v="19"/>
    <s v="0800179-23.2021.8.15.0081"/>
    <s v="JOSE WERTON DE OLIVEIRA_x000a_ALVES"/>
    <s v="MUNICIPIO DE BANANEIRAS"/>
    <x v="60"/>
    <s v="097.100.844-29"/>
    <x v="5"/>
    <s v="LAUDO DE INSALUBRIDADE E/OU PERICULOSIDADE, CONFORME NORMAS DA ABNT RESPECTIVAS"/>
    <n v="11"/>
    <n v="300"/>
    <n v="370"/>
    <s v="OK"/>
    <m/>
    <m/>
    <s v=""/>
    <s v=""/>
    <x v="69"/>
    <n v="370"/>
    <n v="0"/>
  </r>
  <r>
    <s v="192"/>
    <d v="2021-08-05T00:00:00"/>
    <s v="2021100657"/>
    <x v="21"/>
    <x v="11"/>
    <s v="0000436-19.2014.8.15.0181"/>
    <s v="JOSEFA PEREIRA DA SILVA"/>
    <s v="MUNICIPIO DE PILOEZINHOS_x000a_"/>
    <x v="1"/>
    <s v="021.205.144-02"/>
    <x v="5"/>
    <s v="LAUDO DE INSALUBRIDADE E/OU PERICULOSIDADE, CONFORME NORMAS DA ABNT RESPECTIVAS"/>
    <n v="11"/>
    <n v="370"/>
    <n v="370"/>
    <s v="OK"/>
    <m/>
    <m/>
    <m/>
    <m/>
    <x v="70"/>
    <n v="370"/>
    <n v="0"/>
  </r>
  <r>
    <s v="193"/>
    <d v="2021-08-05T00:00:00"/>
    <s v="2021100745"/>
    <x v="45"/>
    <x v="20"/>
    <s v="0802979-55.2018.8.15.0331"/>
    <s v="ARIELSON GOMES DA SILVA"/>
    <s v="BV FINANCEIRA"/>
    <x v="61"/>
    <s v="701.876.111-57"/>
    <x v="1"/>
    <s v="LAUDO GRAFOTÉCNICO"/>
    <n v="1"/>
    <n v="300"/>
    <n v="300"/>
    <s v="OK"/>
    <m/>
    <m/>
    <m/>
    <m/>
    <x v="70"/>
    <n v="300"/>
    <n v="0"/>
  </r>
  <r>
    <s v="194"/>
    <d v="2020-09-04T00:00:00"/>
    <s v="2020133640"/>
    <x v="30"/>
    <x v="9"/>
    <s v=" 0049351-_x000a_76.2011.8.15.2001"/>
    <s v="JOSÉ ANTONIO DA SILVA FRANCISCO"/>
    <s v="COLÉGIO MARISTA PIO X"/>
    <x v="62"/>
    <s v="203.489.404-91"/>
    <x v="7"/>
    <s v="PARECER PLÁGIO"/>
    <n v="1"/>
    <n v="300"/>
    <n v="388.21"/>
    <s v="OK"/>
    <m/>
    <m/>
    <s v=""/>
    <s v=""/>
    <x v="71"/>
    <n v="388.21"/>
    <n v="0"/>
  </r>
  <r>
    <s v="195"/>
    <d v="2021-08-11T00:00:00"/>
    <s v="2021102755"/>
    <x v="39"/>
    <x v="18"/>
    <s v="0800692-15.2018.815.0881"/>
    <s v="TEREZINHA_x000a_CAVALCANTI DOS SANTOS"/>
    <s v="INSS"/>
    <x v="63"/>
    <s v="075.538.374-58"/>
    <x v="3"/>
    <s v="ESTUDO SOCIAL"/>
    <n v="17"/>
    <n v="300"/>
    <n v="300"/>
    <s v="OK"/>
    <m/>
    <m/>
    <s v=""/>
    <s v=""/>
    <x v="72"/>
    <n v="300"/>
    <n v="0"/>
  </r>
  <r>
    <s v="196"/>
    <d v="2021-08-12T00:00:00"/>
    <s v="2021103522"/>
    <x v="39"/>
    <x v="18"/>
    <s v="0000139-78.2016.8.15.1171"/>
    <s v="AUBANETE DUTRA DE ALMEIDA"/>
    <s v="NADJA NATALIA DUTRA DOS SANTOS"/>
    <x v="47"/>
    <s v=" 044.220.834-06"/>
    <x v="3"/>
    <s v="ESTUDO SOCIAL"/>
    <n v="17"/>
    <n v="300"/>
    <n v="240"/>
    <s v="OK"/>
    <m/>
    <m/>
    <s v=""/>
    <s v=""/>
    <x v="73"/>
    <n v="240"/>
    <n v="0"/>
  </r>
  <r>
    <s v="197"/>
    <d v="2021-08-12T00:00:00"/>
    <s v="2021103555"/>
    <x v="39"/>
    <x v="18"/>
    <s v="0800549-32.2018.8.15.0881"/>
    <s v="MARIA DE LOURDES DE OLIVEIRA"/>
    <s v="MARA DE OLIVEIRA LIMA"/>
    <x v="47"/>
    <s v=" 044.220.834-06"/>
    <x v="3"/>
    <s v="ESTUDO SOCIAL"/>
    <n v="17"/>
    <n v="300"/>
    <n v="240"/>
    <s v="OK"/>
    <m/>
    <m/>
    <s v=""/>
    <s v=""/>
    <x v="73"/>
    <n v="240"/>
    <n v="0"/>
  </r>
  <r>
    <s v="198"/>
    <d v="2021-08-16T00:00:00"/>
    <s v="2021105276"/>
    <x v="24"/>
    <x v="13"/>
    <s v="0001152-_x000a_47.2014.815.0601"/>
    <s v="GERALDO FLOR DOS SANTOS"/>
    <s v="MUNICIPIO DE DONA INES"/>
    <x v="1"/>
    <s v="021.205.144-02"/>
    <x v="5"/>
    <s v="LAUDO DE INSALUBRIDADE E/OU PERICULOSIDADE, CONFORME NORMAS DA ABNT RESPECTIVAS"/>
    <n v="11"/>
    <n v="370"/>
    <n v="370"/>
    <s v="OK"/>
    <m/>
    <m/>
    <s v=""/>
    <s v=""/>
    <x v="74"/>
    <n v="370"/>
    <n v="0"/>
  </r>
  <r>
    <s v="199"/>
    <d v="2021-08-16T00:00:00"/>
    <s v="2021105186"/>
    <x v="24"/>
    <x v="13"/>
    <s v="0000125-_x000a_29.2014.815.0601"/>
    <s v="JOSÉ ANTÔNIO DA SILVA"/>
    <s v="MUNICÍPIO DE DONA INÊS"/>
    <x v="1"/>
    <s v="021.205.144-02"/>
    <x v="5"/>
    <s v="LAUDO DE INSALUBRIDADE E/OU PERICULOSIDADE, CONFORME NORMAS DA ABNT RESPECTIVAS"/>
    <n v="11"/>
    <n v="370"/>
    <n v="370"/>
    <s v="OK"/>
    <m/>
    <m/>
    <s v=""/>
    <s v=""/>
    <x v="74"/>
    <n v="370"/>
    <n v="0"/>
  </r>
  <r>
    <s v="200"/>
    <d v="2021-08-16T00:00:00"/>
    <s v="2021105209"/>
    <x v="24"/>
    <x v="13"/>
    <s v="0000356-_x000a_56.2014.815.0601"/>
    <s v="JOÃO CIPRIANO DA SILVA"/>
    <s v="MUNICIPIO DE DONA INES"/>
    <x v="1"/>
    <s v="021.205.144-02"/>
    <x v="5"/>
    <s v="LAUDO DE INSALUBRIDADE E/OU PERICULOSIDADE, CONFORME NORMAS DA ABNT RESPECTIVAS"/>
    <n v="11"/>
    <n v="370"/>
    <n v="370"/>
    <s v="OK"/>
    <m/>
    <m/>
    <s v=""/>
    <s v=""/>
    <x v="74"/>
    <n v="370"/>
    <n v="0"/>
  </r>
  <r>
    <s v="201"/>
    <d v="2021-08-16T00:00:00"/>
    <s v="2021105268"/>
    <x v="24"/>
    <x v="13"/>
    <s v="º 0800096-_x000a_38.2017.815.0601"/>
    <s v="JOSEFA DELFINO DE OLIVEIRA"/>
    <s v="MUNICÍPIO DE DONA INÊS"/>
    <x v="1"/>
    <s v="021.205.144-02"/>
    <x v="5"/>
    <s v="LAUDO DE INSALUBRIDADE E/OU PERICULOSIDADE, CONFORME NORMAS DA ABNT RESPECTIVAS"/>
    <n v="11"/>
    <n v="370"/>
    <n v="370"/>
    <s v="OK"/>
    <m/>
    <m/>
    <s v=""/>
    <s v=""/>
    <x v="74"/>
    <n v="370"/>
    <n v="0"/>
  </r>
  <r>
    <s v="202"/>
    <d v="2021-08-16T00:00:00"/>
    <s v="2021105217"/>
    <x v="24"/>
    <x v="13"/>
    <s v="0000124-_x000a_44.2014.815.0601"/>
    <s v="JOEL BENTO DA SILVA"/>
    <s v="MUNICIPIO DE DONA INES"/>
    <x v="1"/>
    <s v="021.205.144-02"/>
    <x v="5"/>
    <s v="LAUDO DE INSALUBRIDADE E/OU PERICULOSIDADE, CONFORME NORMAS DA ABNT RESPECTIVAS"/>
    <n v="11"/>
    <n v="370"/>
    <n v="370"/>
    <s v="OK"/>
    <m/>
    <m/>
    <s v=""/>
    <s v=""/>
    <x v="74"/>
    <n v="370"/>
    <n v="0"/>
  </r>
  <r>
    <s v="203"/>
    <d v="2021-08-16T00:00:00"/>
    <s v="2021105250"/>
    <x v="24"/>
    <x v="13"/>
    <s v="0001151-_x000a_62.2014.815.0601"/>
    <s v="JOSÉ AURITÔNIO DE SOUSA LEAL"/>
    <s v="MUNICÍPIO DE DONA INÊS"/>
    <x v="1"/>
    <s v="021.205.144-02"/>
    <x v="5"/>
    <s v="LAUDO DE INSALUBRIDADE E/OU PERICULOSIDADE, CONFORME NORMAS DA ABNT RESPECTIVAS"/>
    <n v="11"/>
    <n v="370"/>
    <n v="370"/>
    <s v="OK"/>
    <m/>
    <m/>
    <s v=""/>
    <s v=""/>
    <x v="74"/>
    <n v="370"/>
    <n v="0"/>
  </r>
  <r>
    <s v="204"/>
    <d v="2021-08-16T00:00:00"/>
    <s v="2021105241"/>
    <x v="24"/>
    <x v="13"/>
    <s v="0800581-38.2017.815.0601"/>
    <s v="JÉSSICA RAYANA CHIANCA DOS SANTOS"/>
    <s v="MUNICIPIO DE DONA INES"/>
    <x v="1"/>
    <s v="021.205.144-02"/>
    <x v="5"/>
    <s v="LAUDO DE INSALUBRIDADE E/OU PERICULOSIDADE, CONFORME NORMAS DA ABNT RESPECTIVAS"/>
    <n v="11"/>
    <n v="370"/>
    <n v="370"/>
    <s v="OK"/>
    <m/>
    <m/>
    <s v=""/>
    <s v=""/>
    <x v="74"/>
    <n v="370"/>
    <n v="0"/>
  </r>
  <r>
    <s v="205"/>
    <d v="2021-08-16T00:00:00"/>
    <s v="2021105151"/>
    <x v="24"/>
    <x v="13"/>
    <s v="0800580.53.2017.815.0601"/>
    <s v="EDILUCE CÂNDIDO"/>
    <s v="MUNICÍPIO DE DONA INÊS"/>
    <x v="1"/>
    <s v="021.205.144-02"/>
    <x v="5"/>
    <s v="LAUDO DE INSALUBRIDADE E/OU PERICULOSIDADE, CONFORME NORMAS DA ABNT RESPECTIVAS"/>
    <n v="11"/>
    <n v="370"/>
    <n v="370"/>
    <s v="OK"/>
    <m/>
    <m/>
    <s v=""/>
    <s v=""/>
    <x v="74"/>
    <n v="370"/>
    <n v="0"/>
  </r>
  <r>
    <s v="206"/>
    <d v="2021-08-13T00:00:00"/>
    <s v="2021104167"/>
    <x v="39"/>
    <x v="18"/>
    <s v="0000117-51.2015.815.0881"/>
    <s v="LINDALVA VIEIRA DE_x000a_ANDRADE LIMA"/>
    <s v="ELCILENE GRANGEIRO ALVES"/>
    <x v="47"/>
    <s v="044.220.834-06"/>
    <x v="3"/>
    <s v="ESTUDO SOCIAL"/>
    <n v="17"/>
    <n v="300"/>
    <n v="240"/>
    <s v="OK"/>
    <m/>
    <m/>
    <s v=""/>
    <s v=""/>
    <x v="75"/>
    <n v="240"/>
    <n v="0"/>
  </r>
  <r>
    <s v="207"/>
    <d v="2021-08-12T00:00:00"/>
    <s v="2021104003"/>
    <x v="41"/>
    <x v="11"/>
    <s v="0800365-56.2017.8.15.0511"/>
    <s v="HERCILIO MONTEIRO_x000a_DE LIMA"/>
    <s v="MUNICIPIO DE SERTAOZINHO"/>
    <x v="1"/>
    <s v="021.205.144-02"/>
    <x v="5"/>
    <s v="LAUDO DE INSALUBRIDADE E/OU PERICULOSIDADE, CONFORME NORMAS DA ABNT RESPECTIVAS"/>
    <n v="11"/>
    <n v="370"/>
    <n v="370"/>
    <s v="OK"/>
    <m/>
    <m/>
    <s v=""/>
    <s v=""/>
    <x v="75"/>
    <n v="370"/>
    <n v="0"/>
  </r>
  <r>
    <s v="208"/>
    <d v="2021-08-12T00:00:00"/>
    <s v="2021103952"/>
    <x v="41"/>
    <x v="11"/>
    <s v="0800674-92.2020.8.15.0181"/>
    <s v="MARINALVA PEREIRA DE ARAUJO"/>
    <s v="BANCO ITAU CONSIGNADO S.A."/>
    <x v="1"/>
    <s v="021.205.144-02"/>
    <x v="1"/>
    <s v="LAUDO GRAFOTÉCNICO"/>
    <n v="1"/>
    <n v="300"/>
    <n v="300"/>
    <s v="OK"/>
    <m/>
    <m/>
    <s v=""/>
    <s v=""/>
    <x v="75"/>
    <n v="300"/>
    <n v="0"/>
  </r>
  <r>
    <s v="209"/>
    <d v="2021-08-12T00:00:00"/>
    <s v="2021103944"/>
    <x v="41"/>
    <x v="11"/>
    <s v="0800245-28.2020.8.15.0181"/>
    <s v="VALDECI_x000a_RODRIGUES DE SOUSA"/>
    <s v="BANCO VOTORANTIM S.A."/>
    <x v="1"/>
    <s v="021.205.144-02"/>
    <x v="1"/>
    <s v="LAUDO GRAFOTÉCNICO"/>
    <n v="1"/>
    <n v="300"/>
    <n v="370"/>
    <s v="OK"/>
    <m/>
    <m/>
    <s v=""/>
    <s v=""/>
    <x v="75"/>
    <n v="370"/>
    <n v="0"/>
  </r>
  <r>
    <s v="210"/>
    <d v="2021-08-12T00:00:00"/>
    <s v="2021103936"/>
    <x v="25"/>
    <x v="14"/>
    <s v="0800002-03.2016.8.15.0221"/>
    <s v="FATIMA DE CASSIA ALCANTARA DA SILVA"/>
    <s v="MARIA LEILA BELIZARIO DA SILVA"/>
    <x v="57"/>
    <s v="053.027.324-16"/>
    <x v="0"/>
    <s v="LAUDO EM INTERDIÇÃO/DNA"/>
    <n v="13"/>
    <n v="370"/>
    <n v="370"/>
    <s v="OK"/>
    <m/>
    <m/>
    <s v=""/>
    <s v=""/>
    <x v="75"/>
    <n v="370"/>
    <n v="0"/>
  </r>
  <r>
    <s v="211"/>
    <d v="2021-07-29T00:00:00"/>
    <s v="2021097465"/>
    <x v="21"/>
    <x v="11"/>
    <s v="0000071-38.2016.8.15.1201"/>
    <s v="ANTONIA FELIX DA_x000a_SILVA"/>
    <s v="BV FINANCEIRA SA CREDITO FINANCIAMENTO E INVESTIMENTO"/>
    <x v="1"/>
    <s v="021.205.144-02"/>
    <x v="1"/>
    <s v="LAUDO GRAFOTÉCNICO"/>
    <n v="1"/>
    <n v="300"/>
    <n v="370"/>
    <s v="OK"/>
    <m/>
    <m/>
    <s v=""/>
    <s v=""/>
    <x v="75"/>
    <n v="370"/>
    <n v="0"/>
  </r>
  <r>
    <s v="212"/>
    <d v="2021-07-29T00:00:00"/>
    <s v="2021097424"/>
    <x v="21"/>
    <x v="11"/>
    <s v="0800332-32.2018.8.15.0511"/>
    <s v="MARIA MACENA DOS SANTOS"/>
    <s v="BANCO ITAU CONSIGNADO_x000a_S.A."/>
    <x v="1"/>
    <s v="021.205.144-02"/>
    <x v="1"/>
    <s v="LAUDO GRAFOTÉCNICO"/>
    <n v="1"/>
    <n v="300"/>
    <n v="370"/>
    <s v="OK"/>
    <m/>
    <m/>
    <s v=""/>
    <s v=""/>
    <x v="75"/>
    <n v="370"/>
    <n v="0"/>
  </r>
  <r>
    <s v="213"/>
    <d v="2021-07-29T00:00:00"/>
    <s v="2021097393"/>
    <x v="21"/>
    <x v="11"/>
    <s v="0800111-50.2017.8.15.1201"/>
    <s v="JULIA SOUZA DE_x000a_OLIVEIRA"/>
    <s v="BANCO BRADESCO FINANCIAMENTOS S.A."/>
    <x v="1"/>
    <s v="021.205.144-02"/>
    <x v="1"/>
    <s v="LAUDO GRAFOTÉCNICO"/>
    <n v="1"/>
    <n v="300"/>
    <n v="370"/>
    <s v="OK"/>
    <m/>
    <m/>
    <s v=""/>
    <s v=""/>
    <x v="75"/>
    <n v="370"/>
    <n v="0"/>
  </r>
  <r>
    <s v="214"/>
    <d v="2021-07-29T00:00:00"/>
    <s v="2021097310"/>
    <x v="41"/>
    <x v="11"/>
    <s v="0802837-79.2019.815.0181"/>
    <s v="MARIA DA LUZ_x000a_GALDINO RIBEIRO"/>
    <s v="BANCO SANTADER"/>
    <x v="1"/>
    <s v="021.205.144-02"/>
    <x v="1"/>
    <s v="LAUDO GRAFOTÉCNICO"/>
    <n v="1"/>
    <n v="300"/>
    <n v="370"/>
    <s v="OK"/>
    <m/>
    <m/>
    <s v=""/>
    <s v=""/>
    <x v="76"/>
    <n v="370"/>
    <n v="0"/>
  </r>
  <r>
    <s v="215"/>
    <d v="2021-07-15T00:00:00"/>
    <s v="2021091469"/>
    <x v="42"/>
    <x v="12"/>
    <s v="0000284-54.2001.815.0731"/>
    <s v="Odéner Barbosa Filho"/>
    <s v="Associação de_x000a_Poupança e Empréstimo - poupex"/>
    <x v="64"/>
    <s v="051.922.348-91"/>
    <x v="6"/>
    <s v="LAUDO EM AÇÃO REVISIONAL ENVOLVENDO NEGÓCIOS BANCÁRIOS ATÉ 4 (QUATRO) CONTRATOS"/>
    <n v="2"/>
    <n v="370"/>
    <n v="1185.8699999999999"/>
    <s v="OK"/>
    <m/>
    <m/>
    <s v=""/>
    <s v=""/>
    <x v="77"/>
    <n v="1185.8699999999999"/>
    <n v="0"/>
  </r>
  <r>
    <s v="216"/>
    <d v="2021-07-02T00:00:00"/>
    <s v="2021084964"/>
    <x v="41"/>
    <x v="11"/>
    <s v="0800877-54.2020.8.15.0181"/>
    <s v="José Araújo Sobrinho"/>
    <s v="Banco do Brasil. S.A."/>
    <x v="1"/>
    <s v="021.205.144-02"/>
    <x v="1"/>
    <s v="LAUDO GRAFOTÉCNICO"/>
    <n v="1"/>
    <n v="300"/>
    <n v="370"/>
    <s v="OK"/>
    <m/>
    <m/>
    <s v=""/>
    <s v=""/>
    <x v="77"/>
    <n v="370"/>
    <n v="0"/>
  </r>
  <r>
    <s v="217"/>
    <d v="2021-06-30T00:00:00"/>
    <s v="2021083236"/>
    <x v="31"/>
    <x v="10"/>
    <s v="0800282-04.2014.8.15.0751"/>
    <s v="Luiza Rita da Silva"/>
    <s v="INSS"/>
    <x v="38"/>
    <s v="051.944.134-67"/>
    <x v="0"/>
    <s v="OUTRAS"/>
    <n v="15"/>
    <n v="370"/>
    <n v="600"/>
    <s v="OK"/>
    <m/>
    <m/>
    <s v=""/>
    <s v=""/>
    <x v="77"/>
    <n v="600"/>
    <n v="0"/>
  </r>
  <r>
    <s v="218"/>
    <d v="2021-06-22T00:00:00"/>
    <s v="2021080776"/>
    <x v="17"/>
    <x v="4"/>
    <s v="0800817-44.2017.8.15.0001"/>
    <s v="JAIRLAN PEDROSA DE OLIVEIRA e outra"/>
    <s v="RAUL AGRIPINO SANTOS e outro"/>
    <x v="33"/>
    <s v="027.494.154-62"/>
    <x v="5"/>
    <s v="LAUDO PERICIAL DAS CONDIÇÕES ESTRUTURAIS DE SEGURNÇA E SOLIDEZ DE IMÓVEL, CONFORME NORMA DA ABNT RESPECTIVAS"/>
    <n v="8"/>
    <n v="370"/>
    <n v="740"/>
    <s v="OK"/>
    <m/>
    <m/>
    <s v=""/>
    <s v=""/>
    <x v="77"/>
    <n v="740"/>
    <n v="0"/>
  </r>
  <r>
    <s v="219"/>
    <d v="2021-06-21T00:00:00"/>
    <s v="2021079430"/>
    <x v="31"/>
    <x v="10"/>
    <s v="0002882-_x000a_36.2011.8.15.0751"/>
    <s v="JANIERES GONZAGA DA SILVA SOUZA"/>
    <s v="INSS"/>
    <x v="38"/>
    <s v="051.944.134-67"/>
    <x v="0"/>
    <s v="OUTRAS"/>
    <n v="15"/>
    <n v="370"/>
    <n v="600"/>
    <s v="OK"/>
    <m/>
    <m/>
    <s v=""/>
    <s v=""/>
    <x v="77"/>
    <n v="600"/>
    <n v="0"/>
  </r>
  <r>
    <s v="220"/>
    <d v="2021-06-10T00:00:00"/>
    <s v="2021075076"/>
    <x v="46"/>
    <x v="4"/>
    <s v="0829576-13.2020.8.15.0001"/>
    <s v="CLAUDIANO LOPES DA SILVA"/>
    <s v="BANCO TOYOTA DO BRASIL"/>
    <x v="65"/>
    <s v="886.232.114-72"/>
    <x v="6"/>
    <s v="LAUDO EM AÇÃO REVISIONAL ENVOLVENDO NEGÓCIOS BANCÁRIOS ATÉ 4 (QUATRO) CONTRATOS"/>
    <n v="2"/>
    <n v="370"/>
    <n v="900"/>
    <s v="OK"/>
    <m/>
    <m/>
    <s v=""/>
    <s v=""/>
    <x v="77"/>
    <n v="900"/>
    <n v="0"/>
  </r>
  <r>
    <s v="221"/>
    <d v="2021-06-08T00:00:00"/>
    <s v="2021073409"/>
    <x v="1"/>
    <x v="1"/>
    <s v="0808079-66.2020.8.15.0251"/>
    <s v="MARIA DE LOURDES_x000a_ALVES FERNANDES"/>
    <s v="BANCO MERCANTIL DO BRASIL S.A. e outro"/>
    <x v="1"/>
    <s v="021.205.144-02"/>
    <x v="1"/>
    <s v="LAUDO GRAFOTÉCNICO"/>
    <n v="1"/>
    <n v="300"/>
    <n v="1000"/>
    <s v="OK"/>
    <m/>
    <m/>
    <s v=""/>
    <s v=""/>
    <x v="77"/>
    <n v="1000"/>
    <n v="0"/>
  </r>
  <r>
    <s v="222"/>
    <d v="2021-06-04T00:00:00"/>
    <s v="2021071587"/>
    <x v="47"/>
    <x v="9"/>
    <s v="0071072-50.2012.8.15.2001"/>
    <s v="EDINALDO DANTAS DA NOBREGA e outro"/>
    <s v="EMCONVI EMPRESA DE SERVICOS DE VIGILANCIA LTDA"/>
    <x v="66"/>
    <m/>
    <x v="6"/>
    <s v="LAUDO EM AÇÃO REVISIONAL ENVOLVENDO NEGÓCIOS BANCÁRIOS ATÉ 4 (QUATRO) CONTRATOS"/>
    <n v="2"/>
    <n v="370"/>
    <n v="1850"/>
    <s v="OK"/>
    <m/>
    <m/>
    <s v=""/>
    <s v=""/>
    <x v="77"/>
    <n v="1850"/>
    <n v="0"/>
  </r>
  <r>
    <s v="223"/>
    <d v="2021-06-01T00:00:00"/>
    <s v="2021069730"/>
    <x v="26"/>
    <x v="15"/>
    <s v="0000642-25.2011.8.15.0541"/>
    <s v="RAI IDELFONSO GONCALVES"/>
    <s v="INSS INSTITUTO NACIONAL DO SEGURO SOCIAL"/>
    <x v="32"/>
    <s v="051.447.734-27"/>
    <x v="0"/>
    <s v="OUTRAS"/>
    <n v="15"/>
    <n v="370"/>
    <n v="500"/>
    <s v="OK"/>
    <m/>
    <m/>
    <s v=""/>
    <s v=""/>
    <x v="77"/>
    <n v="500"/>
    <n v="0"/>
  </r>
  <r>
    <s v="224"/>
    <d v="2021-06-01T00:00:00"/>
    <s v="2021069713"/>
    <x v="26"/>
    <x v="15"/>
    <s v="0000019-97.2007.8.15.0541"/>
    <s v="CICERO ROMAO DE ARAUJO"/>
    <s v="INSS INSTITUTO NACIONAL DO SEGURO SOCIAL"/>
    <x v="32"/>
    <s v="051.447.734-27"/>
    <x v="0"/>
    <s v="OUTRAS"/>
    <n v="15"/>
    <n v="370"/>
    <n v="500"/>
    <s v="OK"/>
    <m/>
    <m/>
    <s v=""/>
    <s v=""/>
    <x v="77"/>
    <n v="500"/>
    <n v="0"/>
  </r>
  <r>
    <s v="225"/>
    <d v="2021-06-01T00:00:00"/>
    <s v="2021069174"/>
    <x v="31"/>
    <x v="10"/>
    <s v="0004594-32.2009.8.15.0751"/>
    <s v="ARNALDO DA_x000a_SILVA LIRA"/>
    <s v="INSS INSTITUTO NACIONAL DOSEGURO SOCIAL - INSS"/>
    <x v="38"/>
    <s v="051.944.134-67"/>
    <x v="0"/>
    <s v="OUTRAS"/>
    <n v="15"/>
    <n v="370"/>
    <n v="622"/>
    <s v="OK"/>
    <m/>
    <m/>
    <s v=""/>
    <s v=""/>
    <x v="77"/>
    <n v="622"/>
    <n v="0"/>
  </r>
  <r>
    <s v="226"/>
    <d v="2021-05-28T00:00:00"/>
    <s v="2021067775"/>
    <x v="22"/>
    <x v="12"/>
    <s v="0802344-09.2016.8.15.0731"/>
    <s v="Thays Santana Barbosa"/>
    <s v="Dyego Maradona Assis de Moura"/>
    <x v="1"/>
    <s v="021.205.144-02"/>
    <x v="5"/>
    <s v="LAUDO PERICIAL DAS CONDIÇÕES ESTRUTURAIS DE SEGURNÇA E SOLIDEZ DE IMÓVEL, CONFORME NORMA DA ABNT RESPECTIVAS"/>
    <n v="8"/>
    <n v="370"/>
    <n v="500"/>
    <s v="OK"/>
    <m/>
    <m/>
    <s v=""/>
    <s v=""/>
    <x v="77"/>
    <n v="500"/>
    <n v="0"/>
  </r>
  <r>
    <s v="227"/>
    <d v="2021-05-27T00:00:00"/>
    <s v="2021066194"/>
    <x v="0"/>
    <x v="0"/>
    <s v="0805078-73.2020.8.15.0251"/>
    <s v="LINDACIR DAS NEVES SILVA"/>
    <s v="BANCO PAN"/>
    <x v="1"/>
    <s v="021.205.144-02"/>
    <x v="1"/>
    <s v="LAUDO GRAFOTÉCNICO"/>
    <n v="1"/>
    <n v="300"/>
    <n v="1000"/>
    <s v="OK"/>
    <m/>
    <m/>
    <s v=""/>
    <s v=""/>
    <x v="78"/>
    <n v="1000"/>
    <n v="0"/>
  </r>
  <r>
    <s v="228"/>
    <d v="2021-05-17T00:00:00"/>
    <s v="2021060402"/>
    <x v="1"/>
    <x v="1"/>
    <s v="0809405-61.2020.8.15.0251"/>
    <s v="MARIA DE FATIMA DA SILVA"/>
    <s v="BANCO CETELEM S/A"/>
    <x v="1"/>
    <s v="021.205.144-02"/>
    <x v="1"/>
    <s v="LAUDO GRAFOTÉCNICO"/>
    <n v="1"/>
    <n v="300"/>
    <n v="1000"/>
    <s v="OK"/>
    <m/>
    <m/>
    <s v=""/>
    <s v=""/>
    <x v="78"/>
    <n v="1000"/>
    <n v="0"/>
  </r>
  <r>
    <s v="229"/>
    <d v="2021-05-17T00:00:00"/>
    <s v="2021060371"/>
    <x v="31"/>
    <x v="10"/>
    <s v="0802543-73.2013.8.15.0751"/>
    <s v="CLAUDENICE_x000a_DA COSTA FONSECA"/>
    <s v="INSTITUTO NACIONAL DO SEGURO"/>
    <x v="38"/>
    <s v="051.944.134-67"/>
    <x v="0"/>
    <s v="OUTRAS"/>
    <n v="15"/>
    <n v="370"/>
    <n v="600"/>
    <s v="OK"/>
    <m/>
    <m/>
    <s v=""/>
    <s v=""/>
    <x v="77"/>
    <n v="600"/>
    <n v="0"/>
  </r>
  <r>
    <s v="230"/>
    <d v="2021-05-14T00:00:00"/>
    <s v="2021060103"/>
    <x v="26"/>
    <x v="15"/>
    <s v="0000660-46.2011.8.15.0541"/>
    <s v="MAILTON BARROS MARINHO"/>
    <s v="INSS INSTITUTO NACIONAL DO SEGURO SOCIAL"/>
    <x v="29"/>
    <s v="000.827.794-06"/>
    <x v="0"/>
    <s v="OUTRAS"/>
    <n v="15"/>
    <n v="370"/>
    <n v="500"/>
    <s v="OK"/>
    <m/>
    <m/>
    <s v=""/>
    <s v=""/>
    <x v="77"/>
    <n v="500"/>
    <n v="0"/>
  </r>
  <r>
    <s v="231"/>
    <d v="2021-05-14T00:00:00"/>
    <s v="2021059742"/>
    <x v="1"/>
    <x v="1"/>
    <s v="0809398-69.2020.8.15.0251"/>
    <s v="MARIA DE FATIMA DA SILVA"/>
    <s v="BANCO BMG SA."/>
    <x v="1"/>
    <s v="021.205.144-02"/>
    <x v="1"/>
    <s v="LAUDO GRAFOTÉCNICO"/>
    <n v="1"/>
    <n v="300"/>
    <n v="1000"/>
    <s v="OK"/>
    <m/>
    <m/>
    <s v=""/>
    <s v=""/>
    <x v="77"/>
    <n v="1000"/>
    <n v="0"/>
  </r>
  <r>
    <s v="232"/>
    <d v="2021-04-27T00:00:00"/>
    <s v="2021051560"/>
    <x v="9"/>
    <x v="4"/>
    <s v="0801629-18.2019.8.15.0001"/>
    <s v="IVANEIDE JORGE DA SILVA"/>
    <s v="FABRÍCIA DA SILVA CÂNDIDO"/>
    <x v="11"/>
    <s v="397.520.114-20"/>
    <x v="3"/>
    <s v="ESTUDO SOCIAL"/>
    <n v="17"/>
    <n v="300"/>
    <n v="450"/>
    <s v="OK"/>
    <m/>
    <m/>
    <s v=""/>
    <s v=""/>
    <x v="77"/>
    <n v="450"/>
    <n v="0"/>
  </r>
  <r>
    <s v="233"/>
    <d v="2021-04-14T00:00:00"/>
    <s v="2021045770"/>
    <x v="1"/>
    <x v="1"/>
    <s v="0803401-_x000a_08.2020.8.15.0251"/>
    <s v="SANTANA SHIRLEY ROMANO DE LUCENA e outra"/>
    <s v="BANCO SAFRA S.A."/>
    <x v="1"/>
    <s v="021.205.144-02"/>
    <x v="1"/>
    <s v="LAUDO GRAFOTÉCNICO"/>
    <n v="1"/>
    <n v="300"/>
    <n v="1000"/>
    <s v="OK"/>
    <m/>
    <m/>
    <s v=""/>
    <s v=""/>
    <x v="77"/>
    <n v="1000"/>
    <n v="0"/>
  </r>
  <r>
    <s v="234"/>
    <d v="2021-04-14T00:00:00"/>
    <s v="2021045753"/>
    <x v="1"/>
    <x v="1"/>
    <s v="0804005-66.2020.8.15.0251"/>
    <s v="Dalvanete Monteiro Linhares"/>
    <s v="Banco Olé Bonsucesso_x000a_Consignado S.A."/>
    <x v="1"/>
    <s v="021.205.144-02"/>
    <x v="1"/>
    <s v="LAUDO GRAFOTÉCNICO"/>
    <n v="1"/>
    <n v="300"/>
    <n v="1000"/>
    <s v="OK"/>
    <m/>
    <m/>
    <s v=""/>
    <s v=""/>
    <x v="77"/>
    <n v="1000"/>
    <n v="0"/>
  </r>
  <r>
    <s v="235"/>
    <d v="2021-03-11T00:00:00"/>
    <s v="2021034540"/>
    <x v="36"/>
    <x v="9"/>
    <s v="0115322.71.2012.8.15.2001"/>
    <s v="Maria Iêda Souza Costa  e outra"/>
    <s v="Marliete Arruda de Lima e outra"/>
    <x v="44"/>
    <s v=" 071.413.924-67"/>
    <x v="6"/>
    <s v="OUTROS"/>
    <n v="15"/>
    <n v="370"/>
    <n v="1500"/>
    <s v="OK"/>
    <m/>
    <m/>
    <s v=""/>
    <s v=""/>
    <x v="77"/>
    <n v="1500"/>
    <n v="0"/>
  </r>
  <r>
    <s v="236"/>
    <d v="2021-03-11T00:00:00"/>
    <s v="2021034365"/>
    <x v="36"/>
    <x v="9"/>
    <s v="0839025-14.2017.8.15.2001"/>
    <s v="GILBERTO OLIVEIRA PEREIRA"/>
    <s v="BANCO PAN"/>
    <x v="67"/>
    <s v="054.931.394-05"/>
    <x v="1"/>
    <s v="LAUDO GRAFOTÉCNICO"/>
    <n v="1"/>
    <n v="300"/>
    <n v="700"/>
    <s v="OK"/>
    <m/>
    <m/>
    <s v=""/>
    <s v=""/>
    <x v="77"/>
    <n v="700"/>
    <n v="0"/>
  </r>
  <r>
    <s v="237"/>
    <d v="2021-02-22T00:00:00"/>
    <s v="2021024693"/>
    <x v="36"/>
    <x v="9"/>
    <s v="0827320-87.2015.8.15.2001"/>
    <s v="MARCUS VINICIUS FERREIRA_x000a_CAMPOS"/>
    <s v="BANCO FINASA S.A."/>
    <x v="67"/>
    <s v="054.931.394-05"/>
    <x v="1"/>
    <s v="LAUDO GRAFOTÉCNICO"/>
    <n v="1"/>
    <n v="300"/>
    <n v="1500"/>
    <s v="OK"/>
    <m/>
    <m/>
    <s v=""/>
    <s v=""/>
    <x v="77"/>
    <n v="1500"/>
    <n v="0"/>
  </r>
  <r>
    <s v="238"/>
    <d v="2020-11-24T00:00:00"/>
    <s v="2020170997"/>
    <x v="8"/>
    <x v="0"/>
    <s v="0803504-14.2018.8.15.0371"/>
    <s v="ESPEDITA PAULINO DE BRITO"/>
    <s v="JUDIVAN FERNANDES DE ANDRADE"/>
    <x v="10"/>
    <s v="109.743.648-58"/>
    <x v="5"/>
    <s v="LAUDO PERICIAL EM AÇÃO DEMARCATÓRIA"/>
    <n v="10"/>
    <n v="870"/>
    <n v="1500"/>
    <s v="OK"/>
    <m/>
    <m/>
    <s v=""/>
    <s v=""/>
    <x v="77"/>
    <n v="1500"/>
    <n v="0"/>
  </r>
  <r>
    <s v="239"/>
    <d v="2020-10-07T00:00:00"/>
    <s v="2020146791"/>
    <x v="48"/>
    <x v="9"/>
    <s v="0835932-77.2016.8.15.2001"/>
    <s v="MARIA ANTONIA NASCIMENTO DE LIMA"/>
    <s v="BANCO MERCANTIL DO BRASIL S.A."/>
    <x v="68"/>
    <s v="063.085.394-06"/>
    <x v="1"/>
    <s v="LAUDO GRAFOTÉCNICO"/>
    <n v="1"/>
    <n v="300"/>
    <n v="622"/>
    <s v="OK"/>
    <m/>
    <m/>
    <s v=""/>
    <s v=""/>
    <x v="77"/>
    <n v="622"/>
    <n v="0"/>
  </r>
  <r>
    <s v="240"/>
    <d v="2020-06-12T00:00:00"/>
    <s v="2020090382"/>
    <x v="30"/>
    <x v="9"/>
    <s v="0000141-46.2010.8.15.0011"/>
    <s v="AMOS DINIZ FERREIRA"/>
    <s v="FABIO KENEDY ALMEIDA TRIGUEIRO e outro"/>
    <x v="69"/>
    <s v="323.570.574-72"/>
    <x v="0"/>
    <s v="OUTRAS"/>
    <n v="15"/>
    <n v="370"/>
    <n v="1650"/>
    <s v="OK"/>
    <m/>
    <m/>
    <s v=""/>
    <s v=""/>
    <x v="77"/>
    <n v="1650"/>
    <n v="0"/>
  </r>
  <r>
    <s v="241"/>
    <d v="2020-02-04T00:00:00"/>
    <s v="2020025061"/>
    <x v="34"/>
    <x v="9"/>
    <s v=".0123356-_x000a_35.2012.8.15.2001"/>
    <s v="Josinaldo Resende Soares"/>
    <s v="BV FINANCEIRA S.A."/>
    <x v="40"/>
    <s v="160.702.754-20"/>
    <x v="6"/>
    <s v="LAUDO EM AÇÃO REVISIONAL ENVOLVENDO NEGÓCIOS BANCÁRIOS ATÉ 4 (QUATRO) CONTRATOS"/>
    <n v="2"/>
    <n v="370"/>
    <n v="1200"/>
    <s v="OK"/>
    <m/>
    <m/>
    <s v=""/>
    <s v=""/>
    <x v="77"/>
    <n v="1200"/>
    <n v="0"/>
  </r>
  <r>
    <s v="242"/>
    <d v="2019-11-21T00:00:00"/>
    <s v="2019260028"/>
    <x v="49"/>
    <x v="9"/>
    <s v="0803659-72.2016.815.0731"/>
    <s v="Maria Guedes da Silva"/>
    <s v="Panasonic do Brasil e outro"/>
    <x v="70"/>
    <s v="475.328.744-00"/>
    <x v="5"/>
    <s v="OUTRAS"/>
    <n v="12"/>
    <n v="370"/>
    <n v="750"/>
    <s v="OK"/>
    <m/>
    <m/>
    <s v=""/>
    <s v=""/>
    <x v="77"/>
    <n v="750"/>
    <n v="0"/>
  </r>
  <r>
    <s v="243"/>
    <d v="2019-07-19T00:00:00"/>
    <s v="2019147862"/>
    <x v="47"/>
    <x v="9"/>
    <s v="0021824-62.2005.815.2001"/>
    <s v="Condomínio Residencial Ipanema"/>
    <s v="Maurício Pereira Braz"/>
    <x v="71"/>
    <s v="953.809.904-44"/>
    <x v="6"/>
    <s v="LAUDO EM AÇÃO REVISIONAL ENVOLVENDO NEGÓCIOS BANCÁRIOS ATÉ 4 (QUATRO) CONTRATOS"/>
    <n v="2"/>
    <n v="370"/>
    <n v="1850"/>
    <s v="OK"/>
    <m/>
    <m/>
    <s v=""/>
    <s v=""/>
    <x v="77"/>
    <n v="1850"/>
    <n v="0"/>
  </r>
  <r>
    <s v="244"/>
    <d v="2020-07-03T00:00:00"/>
    <s v="2020097757"/>
    <x v="19"/>
    <x v="4"/>
    <s v="0803984-35.2018.815.0001"/>
    <s v="FRANCISCO DE ASSIS PEIXOTO DOS SANTOS"/>
    <s v="EUGÊNIA MARIA NÓBREGA DA SILVA e outro"/>
    <x v="72"/>
    <s v="885.626.704-72"/>
    <x v="3"/>
    <s v="ESTUDO SOCIAL"/>
    <n v="17"/>
    <n v="300"/>
    <n v="300"/>
    <s v="OK"/>
    <m/>
    <m/>
    <s v=""/>
    <s v=""/>
    <x v="77"/>
    <n v="300"/>
    <n v="0"/>
  </r>
  <r>
    <s v="245"/>
    <d v="2021-08-20T00:00:00"/>
    <s v="2021107591"/>
    <x v="20"/>
    <x v="10"/>
    <s v="0800049-02.2017.815.0751"/>
    <s v="ERLANDA DOS_x000a_SANTOS MORAIS"/>
    <s v="MUNICÍPIO DE BAYEUX"/>
    <x v="73"/>
    <s v="104955027-74"/>
    <x v="5"/>
    <s v="LAUDO DE INSALUBRIDADE E/OU PERICULOSIDADE, CONFORME NORMAS DA ABNT RESPECTIVAS"/>
    <n v="11"/>
    <n v="370"/>
    <n v="370"/>
    <s v="OK"/>
    <m/>
    <m/>
    <s v=""/>
    <s v=""/>
    <x v="79"/>
    <n v="370"/>
    <n v="0"/>
  </r>
  <r>
    <s v="246"/>
    <d v="2021-08-20T00:00:00"/>
    <s v="2021107575"/>
    <x v="20"/>
    <x v="10"/>
    <s v="0800458-75.2017.815.0751"/>
    <s v="JOSILENE ALVES_x000a_LEITE MACIEIRA"/>
    <s v="MUNICÍPIO DE BAYEUX"/>
    <x v="73"/>
    <s v="104955027-74"/>
    <x v="5"/>
    <s v="LAUDO DE INSALUBRIDADE E/OU PERICULOSIDADE, CONFORME NORMAS DA ABNT RESPECTIVAS"/>
    <n v="11"/>
    <n v="370"/>
    <n v="370"/>
    <s v="OK"/>
    <m/>
    <m/>
    <s v=""/>
    <s v=""/>
    <x v="79"/>
    <n v="370"/>
    <n v="0"/>
  </r>
  <r>
    <s v="247"/>
    <d v="2021-08-20T00:00:00"/>
    <s v="2021108498"/>
    <x v="21"/>
    <x v="11"/>
    <s v="0008774-45.2015.8.15.0181"/>
    <s v="GERALDO GOMES_x000a_LEITE MACIEIRA"/>
    <s v="BANCO BRADESCO FINANCIAMENTOS S.A."/>
    <x v="1"/>
    <s v="021.205.144-02"/>
    <x v="1"/>
    <s v="LAUDO GRAFOTÉCNICO"/>
    <n v="1"/>
    <n v="300"/>
    <n v="370"/>
    <s v="OK"/>
    <m/>
    <m/>
    <s v=""/>
    <s v=""/>
    <x v="79"/>
    <n v="370"/>
    <n v="0"/>
  </r>
  <r>
    <s v="248"/>
    <d v="2021-08-23T00:00:00"/>
    <s v="2021108527"/>
    <x v="39"/>
    <x v="18"/>
    <s v="0001322-62.2008.815.0881"/>
    <s v="MIRELI MARIA DE FRANCA"/>
    <s v="INSTITUTO NACIONAL DO SEGURO SOCIAL"/>
    <x v="63"/>
    <s v="075.538.374-58"/>
    <x v="3"/>
    <s v="ESTUDO SOCIAL"/>
    <n v="17"/>
    <n v="300"/>
    <n v="200"/>
    <s v="OK"/>
    <m/>
    <m/>
    <s v=""/>
    <s v=""/>
    <x v="79"/>
    <n v="200"/>
    <n v="0"/>
  </r>
  <r>
    <s v="249"/>
    <d v="2021-08-26T00:00:00"/>
    <s v="2021110562"/>
    <x v="39"/>
    <x v="18"/>
    <s v="0000986-82.2013.8.15.0881"/>
    <s v="FRANSOENHO TOMAZ DE ARAUJO"/>
    <s v="INSTITUTO NACIONAL DO SEGURO SOCIAL"/>
    <x v="74"/>
    <s v="039.441.894-85"/>
    <x v="3"/>
    <s v="ESTUDO SOCIAL"/>
    <n v="17"/>
    <n v="300"/>
    <n v="200"/>
    <s v="OK"/>
    <m/>
    <m/>
    <s v=""/>
    <s v=""/>
    <x v="80"/>
    <n v="200"/>
    <n v="0"/>
  </r>
  <r>
    <s v="250"/>
    <d v="2021-08-27T00:00:00"/>
    <s v="2021111660"/>
    <x v="41"/>
    <x v="11"/>
    <s v="0804185-35.2019.8.15.0181"/>
    <s v="JOSE_x000a_GERALDO DA SILVA MELO"/>
    <s v="BANCO BMG S.A"/>
    <x v="1"/>
    <s v="021.205.144-02"/>
    <x v="1"/>
    <s v="LAUDO GRAFOTÉCNICO"/>
    <n v="1"/>
    <n v="300"/>
    <n v="300"/>
    <s v="OK"/>
    <m/>
    <m/>
    <s v=""/>
    <s v=""/>
    <x v="81"/>
    <n v="300"/>
    <n v="0"/>
  </r>
  <r>
    <s v="251"/>
    <d v="2021-08-27T00:00:00"/>
    <s v="2021111635"/>
    <x v="41"/>
    <x v="11"/>
    <s v="0802664-55.2019.8.15.0181"/>
    <s v="JOSE GERALDO DA_x000a_SILVA MELO"/>
    <s v="BANCO ITAU CONSIGNADO S.A."/>
    <x v="1"/>
    <s v="021.205.144-02"/>
    <x v="1"/>
    <s v="LAUDO GRAFOTÉCNICO"/>
    <n v="1"/>
    <n v="300"/>
    <n v="300"/>
    <s v="OK"/>
    <m/>
    <m/>
    <s v=""/>
    <s v=""/>
    <x v="81"/>
    <n v="300"/>
    <n v="0"/>
  </r>
  <r>
    <s v="252"/>
    <d v="2021-08-27T00:00:00"/>
    <s v="2021111643"/>
    <x v="41"/>
    <x v="11"/>
    <s v="0803865-14.2021.8.15.0181"/>
    <s v="JOSE ARAUJO FILHO"/>
    <s v="BANCO BMG SA_x000a_"/>
    <x v="1"/>
    <s v="021.205.144-02"/>
    <x v="1"/>
    <s v="LAUDO GRAFOTÉCNICO"/>
    <n v="1"/>
    <n v="300"/>
    <n v="300"/>
    <s v="OK"/>
    <m/>
    <m/>
    <s v=""/>
    <s v=""/>
    <x v="81"/>
    <n v="300"/>
    <n v="0"/>
  </r>
  <r>
    <s v="253"/>
    <d v="2021-08-27T00:00:00"/>
    <s v="2021111651"/>
    <x v="41"/>
    <x v="11"/>
    <s v="0801215-91.2021.8.15.0181"/>
    <s v="DAMIAO LUIZ_x000a_PEREIRA"/>
    <s v="BANCO BRADESCO FINANCIAMENTOS S.A."/>
    <x v="1"/>
    <s v="021.205.144-02"/>
    <x v="1"/>
    <s v="LAUDO GRAFOTÉCNICO"/>
    <n v="1"/>
    <n v="300"/>
    <n v="300"/>
    <s v="OK"/>
    <m/>
    <m/>
    <s v=""/>
    <s v=""/>
    <x v="81"/>
    <n v="300"/>
    <n v="0"/>
  </r>
  <r>
    <s v="254"/>
    <d v="2021-08-27T00:00:00"/>
    <s v="2021111475"/>
    <x v="1"/>
    <x v="1"/>
    <s v="0802368-46.2021.8.15.0251"/>
    <s v="ZULEIDE HONORIO DA SILVA"/>
    <s v="LIBERTY SEGUROS S/A"/>
    <x v="1"/>
    <s v="021.205.144-02"/>
    <x v="1"/>
    <s v="LAUDO GRAFOTÉCNICO"/>
    <n v="1"/>
    <n v="300"/>
    <n v="300"/>
    <s v="OK"/>
    <m/>
    <m/>
    <s v=""/>
    <s v=""/>
    <x v="81"/>
    <n v="300"/>
    <n v="0"/>
  </r>
  <r>
    <s v="255"/>
    <d v="2021-08-27T00:00:00"/>
    <s v="2021111694"/>
    <x v="5"/>
    <x v="4"/>
    <s v="0827683-21.2019.8.15.0001"/>
    <s v="JOSE ROBERTO DO NASCIMENTO"/>
    <s v="HERON ANDRADE MARINHO LMF CONSTRUCOES LTDA"/>
    <x v="75"/>
    <s v="091.592.874-46"/>
    <x v="5"/>
    <s v="LAUDO PERICIAL DAS CONDIÇÕES ESTRUTURAIS DE SEGURNÇA E SOLIDEZ DE IMÓVEL, CONFORME NORMA DA ABNT RESPECTIVAS"/>
    <n v="8"/>
    <n v="370"/>
    <n v="370"/>
    <s v="OK"/>
    <m/>
    <m/>
    <s v=""/>
    <s v=""/>
    <x v="81"/>
    <n v="370"/>
    <n v="0"/>
  </r>
  <r>
    <s v="256"/>
    <d v="2021-08-30T00:00:00"/>
    <s v="2021112191"/>
    <x v="1"/>
    <x v="1"/>
    <s v="0801092-77.2021.8.15.0251"/>
    <s v="VERA LÚCIA RAMOS DOS SANTOS"/>
    <s v=" BANCO ITAÚ_x000a_CONSIGNADOS AS"/>
    <x v="1"/>
    <s v="021.205.144-02"/>
    <x v="1"/>
    <s v="LAUDO GRAFOTÉCNICO"/>
    <n v="1"/>
    <n v="300"/>
    <n v="300"/>
    <s v="OK"/>
    <m/>
    <m/>
    <s v=""/>
    <s v=""/>
    <x v="81"/>
    <n v="300"/>
    <n v="0"/>
  </r>
  <r>
    <s v="257"/>
    <d v="2021-08-31T00:00:00"/>
    <s v="2021112677"/>
    <x v="21"/>
    <x v="11"/>
    <s v="0801612-87.2020.8.15.0181"/>
    <s v="EDMILSON BENTO_x000a_FERREIRA"/>
    <s v="BANCO VOTORANTIM S.A"/>
    <x v="1"/>
    <s v="021.205.144-02"/>
    <x v="1"/>
    <s v="LAUDO GRAFOTÉCNICO"/>
    <n v="1"/>
    <n v="300"/>
    <n v="300"/>
    <s v="OK"/>
    <m/>
    <m/>
    <s v=""/>
    <s v=""/>
    <x v="82"/>
    <n v="300"/>
    <n v="0"/>
  </r>
  <r>
    <s v="258"/>
    <d v="2021-08-31T00:00:00"/>
    <s v="2021112931"/>
    <x v="41"/>
    <x v="11"/>
    <s v="0803837-17.2019.8.15.0181"/>
    <s v="JOSEFA DA COSTA_x000a_SILVA"/>
    <s v="BANCO ITAU BMG CONSIGNADO S.A"/>
    <x v="1"/>
    <s v="021.205.144-02"/>
    <x v="1"/>
    <s v="LAUDO GRAFOTÉCNICO"/>
    <n v="1"/>
    <n v="300"/>
    <n v="300"/>
    <s v="OK"/>
    <m/>
    <m/>
    <s v=""/>
    <s v=""/>
    <x v="82"/>
    <n v="300"/>
    <n v="0"/>
  </r>
  <r>
    <s v="259"/>
    <d v="2021-08-31T00:00:00"/>
    <s v="2021112923"/>
    <x v="41"/>
    <x v="11"/>
    <s v="0805807-18.2020.815.0181"/>
    <s v="MARIA DE FÁTIMA_x000a_FRANCO DE SOUSA"/>
    <s v="BANCO BRADESCO S.A."/>
    <x v="1"/>
    <s v="021.205.144-02"/>
    <x v="1"/>
    <s v="LAUDO GRAFOTÉCNICO"/>
    <n v="1"/>
    <n v="300"/>
    <n v="300"/>
    <s v="OK"/>
    <m/>
    <m/>
    <s v=""/>
    <s v=""/>
    <x v="82"/>
    <n v="300"/>
    <n v="0"/>
  </r>
  <r>
    <s v="260"/>
    <d v="2021-09-01T00:00:00"/>
    <s v="2021113160"/>
    <x v="16"/>
    <x v="4"/>
    <s v="0009802-39.2016.8.15.0011"/>
    <s v="ELIETE BATISTA DE MIRANDA"/>
    <s v="SALVIANO AMARAL DE MEDEIROS JUNIOR"/>
    <x v="51"/>
    <s v="042.007.234-92"/>
    <x v="3"/>
    <s v="ESTUDO SOCIAL"/>
    <n v="17"/>
    <n v="300"/>
    <n v="300"/>
    <s v="OK"/>
    <m/>
    <m/>
    <s v=""/>
    <s v=""/>
    <x v="83"/>
    <n v="300"/>
    <n v="0"/>
  </r>
  <r>
    <s v="261"/>
    <d v="2021-09-02T00:00:00"/>
    <s v="2021113975"/>
    <x v="39"/>
    <x v="18"/>
    <s v="0800096-71.2017.815.0881"/>
    <s v="OSEIRA MARIA DE ARAUJO"/>
    <s v="BRUNA ARAUJO VIEIRA"/>
    <x v="63"/>
    <s v="032.441.324-64"/>
    <x v="3"/>
    <s v="ESTUDO SOCIAL"/>
    <n v="17"/>
    <n v="300"/>
    <n v="300"/>
    <s v="OK"/>
    <m/>
    <m/>
    <s v=""/>
    <s v=""/>
    <x v="84"/>
    <n v="300"/>
    <n v="0"/>
  </r>
  <r>
    <s v="262"/>
    <d v="2021-09-02T00:00:00"/>
    <s v="2021113959"/>
    <x v="39"/>
    <x v="18"/>
    <s v="0001016-49.2015.815.0881"/>
    <s v="JOSE SOARES AMARANTE"/>
    <s v="INSTITUTO NACIONAL DO SEGURO SOCIAL"/>
    <x v="63"/>
    <s v="032.441.324-64"/>
    <x v="3"/>
    <s v="ESTUDO SOCIAL"/>
    <n v="17"/>
    <n v="300"/>
    <n v="200"/>
    <s v="OK"/>
    <m/>
    <m/>
    <s v=""/>
    <s v=""/>
    <x v="84"/>
    <n v="200"/>
    <n v="0"/>
  </r>
  <r>
    <s v="263"/>
    <d v="2021-09-03T00:00:00"/>
    <s v="2021114759"/>
    <x v="4"/>
    <x v="0"/>
    <s v="0800853-09.2018.8.15.0371"/>
    <s v="R FRANCISCO JOSE_x000a_DE OLIVEIRA"/>
    <s v="MUNICIPIO DE NAZAREZINHO"/>
    <x v="1"/>
    <s v="021.205.144-02"/>
    <x v="5"/>
    <s v="LAUDO DE INSALUBRIDADE E/OU PERICULOSIDADE, CONFORME NORMAS DA ABNT RESPECTIVAS"/>
    <n v="11"/>
    <n v="370"/>
    <n v="370"/>
    <s v="OK"/>
    <m/>
    <m/>
    <s v=""/>
    <s v=""/>
    <x v="85"/>
    <n v="370"/>
    <n v="0"/>
  </r>
  <r>
    <s v="264"/>
    <d v="2021-09-03T00:00:00"/>
    <s v="2021115181"/>
    <x v="41"/>
    <x v="11"/>
    <s v="0802803-36.2021.8.15.0181"/>
    <s v=" SEVERINO MASSENA_x000a_DA SILVA_x000a_DE OLIVEIRA"/>
    <s v="BANCO C6 CONSIGNADO"/>
    <x v="1"/>
    <s v="021.205.144-02"/>
    <x v="1"/>
    <s v="LAUDO GRAFOTÉCNICO"/>
    <n v="1"/>
    <n v="370"/>
    <n v="300"/>
    <s v="OK"/>
    <m/>
    <m/>
    <s v=""/>
    <s v=""/>
    <x v="85"/>
    <n v="300"/>
    <n v="0"/>
  </r>
  <r>
    <s v="265"/>
    <d v="2021-09-03T00:00:00"/>
    <s v="2021114700"/>
    <x v="4"/>
    <x v="0"/>
    <s v="0800284-76.2016.8.15.0371"/>
    <s v="DESTERRO ALEX SANDRA_x000a_DA SILVA_x000a_DE OLIVEIRA"/>
    <s v="Município de Sousa"/>
    <x v="1"/>
    <s v="021.205.144-02"/>
    <x v="5"/>
    <s v="LAUDO DE INSALUBRIDADE E/OU PERICULOSIDADE, CONFORME NORMAS DA ABNT RESPECTIVAS"/>
    <n v="11"/>
    <n v="370"/>
    <n v="370"/>
    <s v="OK"/>
    <m/>
    <m/>
    <s v=""/>
    <s v=""/>
    <x v="85"/>
    <n v="370"/>
    <n v="0"/>
  </r>
  <r>
    <s v="266"/>
    <d v="2021-09-03T00:00:00"/>
    <s v="2021115044"/>
    <x v="28"/>
    <x v="16"/>
    <s v="0000195-28.2016.8.15.0261"/>
    <s v=" RITA_x000a_ZACARIAS DOS SANTOS LIMA_x000a_DA SILVA_x000a_DE OLIVEIRA"/>
    <s v="ADRIANO ZACARIAS DOS SANTOS"/>
    <x v="34"/>
    <s v="617.215.84-73"/>
    <x v="0"/>
    <s v="LAUDO EM INTERDIÇÃO/DNA"/>
    <n v="13"/>
    <n v="370"/>
    <n v="370"/>
    <s v="OK"/>
    <m/>
    <m/>
    <s v=""/>
    <s v=""/>
    <x v="85"/>
    <n v="370"/>
    <n v="0"/>
  </r>
  <r>
    <s v="267"/>
    <d v="2021-09-06T00:00:00"/>
    <s v="2021115680"/>
    <x v="25"/>
    <x v="14"/>
    <s v="0800029-31.2017.8.15.0421"/>
    <s v="JOSE ELIAS DA SILVA FILHO"/>
    <s v="MARIA LUCIENE DE OLIVEIRA SILVA"/>
    <x v="57"/>
    <s v="053.027.324-16"/>
    <x v="0"/>
    <s v="LAUDO EM INTERDIÇÃO/DNA"/>
    <n v="13"/>
    <n v="370"/>
    <n v="370"/>
    <s v="OK"/>
    <m/>
    <m/>
    <s v=""/>
    <s v=""/>
    <x v="86"/>
    <n v="370"/>
    <n v="0"/>
  </r>
  <r>
    <s v="268"/>
    <d v="2021-03-19T00:00:00"/>
    <s v="2021037769"/>
    <x v="50"/>
    <x v="21"/>
    <s v="0800156-08.2018.815.0041"/>
    <s v="RILDO PASCOAL DOS_x000a_SANTOS"/>
    <s v="INSS"/>
    <x v="76"/>
    <s v="094.143.164-93"/>
    <x v="0"/>
    <s v="OUTRAS"/>
    <n v="15"/>
    <n v="370"/>
    <n v="300"/>
    <s v="OK"/>
    <m/>
    <m/>
    <s v=""/>
    <s v=""/>
    <x v="87"/>
    <n v="300"/>
    <n v="0"/>
  </r>
  <r>
    <s v="269"/>
    <d v="2021-09-10T00:00:00"/>
    <s v="2021118026"/>
    <x v="1"/>
    <x v="1"/>
    <s v="0802788-51.2021.8.15.0251"/>
    <s v="MARIA DO CEU_x000a_FONTES DE FARIAS"/>
    <s v="BANCO BMG S.A"/>
    <x v="1"/>
    <s v="021.205.144-02"/>
    <x v="1"/>
    <s v="LAUDO GRAFOTÉCNICO"/>
    <n v="1"/>
    <n v="300"/>
    <n v="300"/>
    <s v="OK"/>
    <m/>
    <m/>
    <s v=""/>
    <s v=""/>
    <x v="88"/>
    <n v="300"/>
    <n v="0"/>
  </r>
  <r>
    <s v="270"/>
    <d v="2021-09-10T00:00:00"/>
    <s v="2021117937"/>
    <x v="41"/>
    <x v="11"/>
    <s v="0802286-31.2021.8.15.0181"/>
    <s v="RIVONE MARQUES DE_x000a_ALMEIDA"/>
    <s v="BANCO ITAÚ CONSIGNADO S.A"/>
    <x v="1"/>
    <s v="021.205.144-02"/>
    <x v="1"/>
    <s v="LAUDO GRAFOTÉCNICO"/>
    <n v="1"/>
    <n v="300"/>
    <n v="300"/>
    <s v="OK"/>
    <m/>
    <m/>
    <s v=""/>
    <s v=""/>
    <x v="88"/>
    <n v="300"/>
    <n v="0"/>
  </r>
  <r>
    <s v="271"/>
    <d v="2021-06-22T00:00:00"/>
    <s v="2021080215 "/>
    <x v="1"/>
    <x v="1"/>
    <s v="0801380-25.2021.8.15.0251"/>
    <s v="MARIA JOSÉ DA SILVA_x000a_DINIZ"/>
    <s v="BANCO BRADESCO S.A e BANCO MERCANTIL DO BRASIL S.A"/>
    <x v="1"/>
    <s v="021.205.144-02"/>
    <x v="1"/>
    <s v="LAUDO GRAFOTÉCNICO"/>
    <n v="1"/>
    <n v="300"/>
    <n v="1000"/>
    <s v="OK"/>
    <m/>
    <m/>
    <s v=""/>
    <s v=""/>
    <x v="89"/>
    <n v="1000"/>
    <n v="0"/>
  </r>
  <r>
    <s v="272"/>
    <d v="2019-08-14T00:00:00"/>
    <s v="2019167672"/>
    <x v="0"/>
    <x v="0"/>
    <s v="0804305-61.2017.8.15.0371"/>
    <s v="SEBASTIAO SARMENTO BRAGA"/>
    <s v="ESTADO DA PARAIBA"/>
    <x v="1"/>
    <s v="021.205.144-02"/>
    <x v="5"/>
    <s v="LAUDO DE INSALUBRIDADE E/OU PERICULOSIDADE, CONFORME NORMAS DA ABNT RESPECTIVAS"/>
    <n v="11"/>
    <n v="370"/>
    <n v="622"/>
    <s v="OK"/>
    <m/>
    <m/>
    <s v=""/>
    <s v=""/>
    <x v="89"/>
    <n v="622"/>
    <n v="0"/>
  </r>
  <r>
    <s v="273"/>
    <d v="2021-09-13T00:00:00"/>
    <s v="2021118657"/>
    <x v="21"/>
    <x v="11"/>
    <s v="0801624-38.2019.8.15.0181"/>
    <s v="SIMONE MACIEL DO_x000a_NASCIMENTO"/>
    <s v="MUNICIPIO DE GUARABIRA"/>
    <x v="1"/>
    <s v="021.205.144-02"/>
    <x v="5"/>
    <s v="LAUDO DE INSALUBRIDADE E/OU PERICULOSIDADE, CONFORME NORMAS DA ABNT RESPECTIVAS"/>
    <n v="11"/>
    <n v="370"/>
    <n v="370"/>
    <s v="OK"/>
    <m/>
    <m/>
    <s v=""/>
    <s v=""/>
    <x v="90"/>
    <n v="370"/>
    <n v="0"/>
  </r>
  <r>
    <s v="274"/>
    <d v="2021-09-17T00:00:00"/>
    <s v="2021120838"/>
    <x v="41"/>
    <x v="11"/>
    <s v="0801832-51.2021.8.15.0181"/>
    <s v="IVANILDE NUNES_x000a_DOS ANJOS"/>
    <s v="BANCO BRADESCO SA"/>
    <x v="1"/>
    <s v="021.205.144-02"/>
    <x v="1"/>
    <s v="LAUDO GRAFOTÉCNICO"/>
    <n v="1"/>
    <n v="300"/>
    <n v="300"/>
    <s v="OK"/>
    <m/>
    <m/>
    <s v=""/>
    <s v=""/>
    <x v="91"/>
    <n v="300"/>
    <n v="0"/>
  </r>
  <r>
    <s v="275"/>
    <d v="2021-09-17T00:00:00"/>
    <s v="2021120723"/>
    <x v="21"/>
    <x v="11"/>
    <s v="0802911-41.2016.8.15.0181"/>
    <s v="VALCLECIO e outro_x000a_ALEXANDRE MENDES"/>
    <s v="O BANCO DO BRASIL S.A. e outro"/>
    <x v="1"/>
    <s v="021.205.144-02"/>
    <x v="5"/>
    <s v="LAUDO PERICIAL DAS CONDIÇÕES ESTRUTURAIS DE SEGURNÇA E SOLIDEZ DE IMÓVEL, CONFORME NORMA DA ABNT RESPECTIVAS"/>
    <n v="8"/>
    <n v="370"/>
    <n v="370"/>
    <s v="OK"/>
    <m/>
    <m/>
    <s v=""/>
    <s v=""/>
    <x v="91"/>
    <n v="370"/>
    <n v="0"/>
  </r>
  <r>
    <s v="276"/>
    <d v="2021-09-20T00:00:00"/>
    <s v="2021121496"/>
    <x v="39"/>
    <x v="18"/>
    <s v="080236-74.2018.815.1171"/>
    <s v="FRANCISCA GERACINA NETA"/>
    <s v="ANTONIO ALVARES DE FARIA"/>
    <x v="63"/>
    <s v="075.538.374-58"/>
    <x v="3"/>
    <s v="ESTUDO SOCIAL"/>
    <n v="17"/>
    <n v="300"/>
    <n v="300"/>
    <s v="OK"/>
    <m/>
    <m/>
    <s v=""/>
    <s v=""/>
    <x v="92"/>
    <n v="300"/>
    <n v="0"/>
  </r>
  <r>
    <s v="277"/>
    <d v="2021-09-20T00:00:00"/>
    <s v="2021121507"/>
    <x v="39"/>
    <x v="18"/>
    <s v="080436-18.2017.815.1171"/>
    <s v="ADEMAR DE OLIVEIRA"/>
    <s v="INSTITUTO NACIONAL DO SEGURO SOCIAL"/>
    <x v="63"/>
    <s v="075.538.374-58"/>
    <x v="3"/>
    <s v="ESTUDO SOCIAL"/>
    <n v="17"/>
    <n v="300"/>
    <n v="200"/>
    <s v="OK"/>
    <m/>
    <m/>
    <s v=""/>
    <s v=""/>
    <x v="92"/>
    <n v="200"/>
    <n v="0"/>
  </r>
  <r>
    <s v="278"/>
    <d v="2021-09-21T00:00:00"/>
    <s v="2021122307"/>
    <x v="21"/>
    <x v="11"/>
    <s v="0802402-13.2016.8.15.0181"/>
    <s v="EDITE MARIA DA CONCEICAO"/>
    <s v="BANCO BRADESCO FINANCIAMENTOS S.A"/>
    <x v="1"/>
    <s v="021.205.144-02"/>
    <x v="1"/>
    <s v="LAUDO GRAFOTÉCNICO"/>
    <n v="1"/>
    <n v="300"/>
    <n v="250"/>
    <s v="OK"/>
    <m/>
    <m/>
    <s v=""/>
    <s v=""/>
    <x v="93"/>
    <n v="250"/>
    <n v="0"/>
  </r>
  <r>
    <s v="279"/>
    <d v="2021-03-25T00:00:00"/>
    <s v="2021039561"/>
    <x v="0"/>
    <x v="0"/>
    <s v="0804038-21.2019.8.15.0371"/>
    <s v="ANA VIEIRA DA SILVA"/>
    <s v="MUNICIPIO DE VIEIROPOLIS"/>
    <x v="1"/>
    <s v="021.205.144-02"/>
    <x v="5"/>
    <s v="LAUDO DE INSALUBRIDADE E/OU PERICULOSIDADE, CONFORME NORMAS DA ABNT RESPECTIVAS"/>
    <n v="11"/>
    <n v="370"/>
    <n v="370"/>
    <s v="OK"/>
    <m/>
    <m/>
    <s v=""/>
    <s v=""/>
    <x v="94"/>
    <n v="370"/>
    <n v="0"/>
  </r>
  <r>
    <s v="280"/>
    <d v="2021-09-22T00:00:00"/>
    <s v="2021123455"/>
    <x v="51"/>
    <x v="22"/>
    <s v="0800072-06.2019.8.15.0321"/>
    <s v="PEDRO SEVERINO DE ANDRADE"/>
    <s v="BANCO DO BRASIL S.A. ("/>
    <x v="2"/>
    <s v="34.352.738/0001-30"/>
    <x v="6"/>
    <s v="LAUDO EM AÇÃO REVISIONAL ENVOLVENDO NEGÓCIOS BANCÁRIOS ATÉ 4 (QUATRO) CONTRATOS"/>
    <n v="2"/>
    <n v="370"/>
    <n v="370"/>
    <s v="OK"/>
    <m/>
    <m/>
    <s v=""/>
    <s v=""/>
    <x v="95"/>
    <n v="370"/>
    <n v="0"/>
  </r>
  <r>
    <s v="281"/>
    <d v="2021-09-22T00:00:00"/>
    <s v="2021123367"/>
    <x v="41"/>
    <x v="11"/>
    <s v="0802205-82.2021.8.15.0181"/>
    <s v="IVANILDE NUNES_x000a_DOS ANJOS"/>
    <s v="BANCO BRADESCO FINANCIAMENTOS S.A"/>
    <x v="1"/>
    <s v="021.205.144-02"/>
    <x v="1"/>
    <s v="LAUDO GRAFOTÉCNICO"/>
    <n v="1"/>
    <n v="300"/>
    <n v="300"/>
    <s v="OK"/>
    <m/>
    <m/>
    <s v=""/>
    <s v=""/>
    <x v="95"/>
    <n v="300"/>
    <n v="0"/>
  </r>
  <r>
    <s v="282"/>
    <d v="2021-09-22T00:00:00"/>
    <s v="2021123447"/>
    <x v="41"/>
    <x v="11"/>
    <s v="0803841-83.2021.815.0181"/>
    <s v="MARIA MACENA DOS SANTOS"/>
    <s v="BANCO OLÉ BONSUCESSO CONSIGNADO S.A"/>
    <x v="1"/>
    <s v="021.205.144-02"/>
    <x v="1"/>
    <s v="LAUDO GRAFOTÉCNICO"/>
    <n v="1"/>
    <n v="300"/>
    <n v="300"/>
    <s v="OK"/>
    <m/>
    <m/>
    <s v=""/>
    <s v=""/>
    <x v="95"/>
    <n v="300"/>
    <n v="0"/>
  </r>
  <r>
    <s v="283"/>
    <d v="2021-08-31T00:00:00"/>
    <s v="2021112940"/>
    <x v="41"/>
    <x v="11"/>
    <s v="0805446-98.2020.8.15.0181"/>
    <s v="JOSÉ FERREIRA DE_x000a_LIMA SEGUNDO"/>
    <s v="BANCO BRADESCO S.A."/>
    <x v="1"/>
    <s v="021.205.144-02"/>
    <x v="1"/>
    <s v="LAUDO GRAFOTÉCNICO"/>
    <n v="1"/>
    <n v="300"/>
    <n v="300"/>
    <s v="OK"/>
    <m/>
    <m/>
    <s v=""/>
    <s v=""/>
    <x v="95"/>
    <n v="300"/>
    <n v="0"/>
  </r>
  <r>
    <s v="284"/>
    <d v="2021-10-01T00:00:00"/>
    <s v="2021128320"/>
    <x v="52"/>
    <x v="23"/>
    <s v="0801987-53.2016.8.15.0141"/>
    <s v="JOÃO_x000a_LOURENÇO CARNEIRO FILHO"/>
    <s v="BANCO BMG AS"/>
    <x v="1"/>
    <s v="021.205.144-02"/>
    <x v="1"/>
    <s v="LAUDO GRAFOTÉCNICO"/>
    <n v="1"/>
    <n v="300"/>
    <n v="370"/>
    <s v="OK"/>
    <m/>
    <m/>
    <s v=""/>
    <s v=""/>
    <x v="96"/>
    <n v="370"/>
    <n v="0"/>
  </r>
  <r>
    <s v="285"/>
    <d v="2021-05-13T00:00:00"/>
    <s v="2021059197"/>
    <x v="53"/>
    <x v="8"/>
    <s v="0001612-52.2015.815.0131"/>
    <s v="RANIELY DANTAS RODRIGUES"/>
    <s v="ESTADO DA PARAIBA"/>
    <x v="77"/>
    <m/>
    <x v="0"/>
    <s v="LAUDO MÉDICO PERICIAL"/>
    <n v="15"/>
    <n v="370"/>
    <n v="370"/>
    <s v="OK"/>
    <m/>
    <m/>
    <s v=""/>
    <s v=""/>
    <x v="97"/>
    <n v="370"/>
    <n v="0"/>
  </r>
  <r>
    <s v="286"/>
    <d v="2021-07-16T00:00:00"/>
    <s v="2021091653"/>
    <x v="39"/>
    <x v="18"/>
    <s v="0000126-_x000a_76.2016.815.0881"/>
    <s v="ALEXANDRE DE MORAIS"/>
    <s v="CARLOS ALEXANDRE DE_x000a_ALMEIDA"/>
    <x v="47"/>
    <s v="044.220.834-06"/>
    <x v="3"/>
    <s v="ESTUDO SOCIAL"/>
    <n v="17"/>
    <n v="300"/>
    <n v="300"/>
    <s v="OK"/>
    <m/>
    <m/>
    <s v=""/>
    <s v=""/>
    <x v="98"/>
    <n v="300"/>
    <n v="0"/>
  </r>
  <r>
    <s v="287"/>
    <d v="2021-08-03T00:00:00"/>
    <s v="2021099137"/>
    <x v="39"/>
    <x v="18"/>
    <s v="0800368-60.2020.815.0881"/>
    <s v=" RAQUEL DA SILVA_x000a_ALVES"/>
    <s v="MARIA MILLENA ALVES DOS SANTOS_x000a_"/>
    <x v="52"/>
    <s v="044.060.764-76"/>
    <x v="3"/>
    <s v="ESTUDO SOCIAL"/>
    <n v="17"/>
    <n v="300"/>
    <n v="300"/>
    <s v="OK"/>
    <m/>
    <m/>
    <s v=""/>
    <s v=""/>
    <x v="98"/>
    <n v="300"/>
    <n v="0"/>
  </r>
  <r>
    <s v="288"/>
    <d v="2021-10-05T00:00:00"/>
    <s v="2021129644"/>
    <x v="50"/>
    <x v="21"/>
    <s v=" 0800711-88.2019.8.15.0041"/>
    <s v=" JOSEFA_x000a_VICENTE DA SILVA"/>
    <s v="PAULO JOSE MANOEL DA SILVA"/>
    <x v="78"/>
    <s v="070.453.594-70"/>
    <x v="0"/>
    <s v="LAUDO EM INTERDIÇÃO/DNA"/>
    <n v="13"/>
    <n v="370"/>
    <n v="370"/>
    <s v="OK"/>
    <m/>
    <m/>
    <s v=""/>
    <s v=""/>
    <x v="99"/>
    <n v="370"/>
    <n v="0"/>
  </r>
  <r>
    <s v="289"/>
    <d v="2021-10-07T00:00:00"/>
    <s v="2021131391"/>
    <x v="54"/>
    <x v="24"/>
    <s v="0001282-17.2013.8.15.0231"/>
    <s v="SEVERINO ANTONIO DA SILVA"/>
    <s v="INSTITUTO NACIONAL DO SEGURO SOCIAL"/>
    <x v="79"/>
    <m/>
    <x v="0"/>
    <s v="OUTRAS"/>
    <n v="15"/>
    <n v="370"/>
    <n v="370"/>
    <s v="OK"/>
    <m/>
    <m/>
    <s v=""/>
    <s v=""/>
    <x v="99"/>
    <n v="370"/>
    <n v="0"/>
  </r>
  <r>
    <s v="290"/>
    <d v="2021-09-09T00:00:00"/>
    <s v="2021117621"/>
    <x v="46"/>
    <x v="4"/>
    <s v=" 0826048-_x000a_68.2020.8.15.0001"/>
    <s v="JULIO LOPES DA SILVA"/>
    <s v="BANCO BV FINANCEIRA S/A"/>
    <x v="65"/>
    <s v="886.232.114-72"/>
    <x v="6"/>
    <s v="LAUDO EM AÇÃO REVISIONAL ENVOLVENDO NEGÓCIOS BANCÁRIOS ATÉ 4 (QUATRO) CONTRATOS"/>
    <n v="2"/>
    <n v="370"/>
    <n v="900"/>
    <s v="OK"/>
    <m/>
    <m/>
    <s v=""/>
    <s v=""/>
    <x v="100"/>
    <n v="900"/>
    <n v="0"/>
  </r>
  <r>
    <s v="291"/>
    <d v="2021-09-06T00:00:00"/>
    <s v="2021115639"/>
    <x v="55"/>
    <x v="4"/>
    <s v="0031654-27.2013.8.15.0011"/>
    <s v=" CLAUBERT_x000a_ANDRADE LEAL"/>
    <s v=" FUSEM FUNDO MUNICIPAL DE PREVIDENCIA SOCIAL M BOA VISTA"/>
    <x v="80"/>
    <m/>
    <x v="0"/>
    <s v="OUTRAS"/>
    <n v="15"/>
    <n v="370"/>
    <n v="740"/>
    <s v="OK"/>
    <m/>
    <m/>
    <s v=""/>
    <s v=""/>
    <x v="100"/>
    <n v="740"/>
    <n v="0"/>
  </r>
  <r>
    <s v="292"/>
    <d v="2021-08-19T00:00:00"/>
    <s v="2021107237"/>
    <x v="16"/>
    <x v="4"/>
    <s v=" 0819354-88.2017.8.15.0001"/>
    <s v="GIZELIA TAVARES DE LIMA"/>
    <s v="TAINARA CAMILA TAVARES DE LIMA e outra"/>
    <x v="51"/>
    <s v=" 042.007.234-92"/>
    <x v="3"/>
    <s v="ESTUDO SOCIAL"/>
    <n v="17"/>
    <n v="300"/>
    <n v="1500"/>
    <s v="OK"/>
    <m/>
    <m/>
    <s v=""/>
    <s v=""/>
    <x v="100"/>
    <n v="1500"/>
    <n v="0"/>
  </r>
  <r>
    <s v="293"/>
    <d v="2021-09-16T00:00:00"/>
    <s v="2021120250"/>
    <x v="52"/>
    <x v="23"/>
    <s v="0800002-10.2020.8.15.0141"/>
    <s v="ALIAN HUDSON DE LIMA SUASSUNA"/>
    <s v="JAILTON DA SILVA ANDRADE e outra"/>
    <x v="81"/>
    <s v="121.436.844-10"/>
    <x v="5"/>
    <s v="LAUDO PERICIAL DAS CONDIÇÕES ESTRUTURAIS DE SEGURNÇA E SOLIDEZ DE IMÓVEL, CONFORME NORMA DA ABNT RESPECTIVAS"/>
    <n v="8"/>
    <n v="370"/>
    <n v="1500"/>
    <s v="OK"/>
    <m/>
    <m/>
    <s v=""/>
    <s v=""/>
    <x v="100"/>
    <n v="1500"/>
    <n v="0"/>
  </r>
  <r>
    <s v="294"/>
    <d v="2021-02-26T00:00:00"/>
    <s v="2021027786"/>
    <x v="24"/>
    <x v="13"/>
    <s v="0000682-16.2014.8.15.0601"/>
    <s v="JOSÉ ARNALDO DE OLIVEIRA"/>
    <s v=" PBPREV e MUNICIPIO DE_x000a_DONA INÊS"/>
    <x v="29"/>
    <s v=" 000.827.794-06"/>
    <x v="0"/>
    <s v="OUTRAS"/>
    <n v="15"/>
    <n v="370"/>
    <n v="400"/>
    <s v="OK"/>
    <m/>
    <m/>
    <s v=""/>
    <s v=""/>
    <x v="100"/>
    <n v="400"/>
    <n v="0"/>
  </r>
  <r>
    <s v="295"/>
    <d v="2021-02-19T00:00:00"/>
    <s v="2020039207"/>
    <x v="10"/>
    <x v="4"/>
    <s v="0800382-41.2015.815.0011"/>
    <s v="ERALDO MONTEIRO DE FREITAS e outra"/>
    <s v="E EDYLA VIEIRA_x000a_DUTRA - ME - SIEL EMPREENDIMENTOS"/>
    <x v="82"/>
    <m/>
    <x v="5"/>
    <s v="LAUDO PERICIAL DAS CONDIÇÕES ESTRUTURAIS DE SEGURNÇA E SOLIDEZ DE IMÓVEL, CONFORME NORMA DA ABNT RESPECTIVAS"/>
    <n v="8"/>
    <n v="370"/>
    <n v="1500"/>
    <s v="OK"/>
    <m/>
    <m/>
    <s v=""/>
    <s v=""/>
    <x v="100"/>
    <n v="1500"/>
    <n v="0"/>
  </r>
  <r>
    <s v="296"/>
    <d v="2021-09-10T00:00:00"/>
    <s v="2021117710"/>
    <x v="37"/>
    <x v="9"/>
    <s v="0834262-38.2015.8.15.2001"/>
    <s v="AGENOR_x000a_DIAS MONTENEGRO FILHO"/>
    <s v="BANCO BMG S.A"/>
    <x v="83"/>
    <s v="035.435.064-12"/>
    <x v="1"/>
    <s v="LAUDO GRAFOTÉCNICO"/>
    <n v="1"/>
    <n v="300"/>
    <n v="1500"/>
    <s v="OK"/>
    <m/>
    <m/>
    <s v=""/>
    <s v=""/>
    <x v="100"/>
    <n v="1500"/>
    <n v="0"/>
  </r>
  <r>
    <s v="297"/>
    <d v="2021-08-18T00:00:00"/>
    <s v="2021106332"/>
    <x v="41"/>
    <x v="11"/>
    <s v="0802677-54.2019.8.15.0181"/>
    <s v="JOSE GERALDO DA SILVA_x000a_MELO"/>
    <s v="BANCO BRADESCO FINANCIAMENTOS S.A."/>
    <x v="1"/>
    <s v="021.205.144-02"/>
    <x v="1"/>
    <s v="LAUDO GRAFOTÉCNICO"/>
    <n v="1"/>
    <n v="300"/>
    <n v="370"/>
    <s v="OK"/>
    <m/>
    <m/>
    <s v=""/>
    <s v=""/>
    <x v="100"/>
    <n v="370"/>
    <n v="0"/>
  </r>
  <r>
    <s v="298"/>
    <d v="2021-08-26T00:00:00"/>
    <s v="2021110878"/>
    <x v="41"/>
    <x v="11"/>
    <s v="0800040-48.2017.815.1201"/>
    <s v="JOSEFA MARIA LIMA_x000a_BENTO"/>
    <s v="BANCO ITAÚ CONSIGNADO S/A "/>
    <x v="1"/>
    <s v="021.205.144-02"/>
    <x v="1"/>
    <s v="LAUDO GRAFOTÉCNICO"/>
    <n v="1"/>
    <n v="300"/>
    <n v="370"/>
    <s v="OK"/>
    <m/>
    <m/>
    <s v=""/>
    <s v=""/>
    <x v="100"/>
    <n v="370"/>
    <n v="0"/>
  </r>
  <r>
    <s v="299"/>
    <d v="2021-06-17T00:00:00"/>
    <s v="2021078103"/>
    <x v="31"/>
    <x v="10"/>
    <s v="0802446-73.2013.8.15.0751"/>
    <s v="SEVERINO DA SILVA SENA"/>
    <s v="INSS"/>
    <x v="38"/>
    <s v="051.944.134-67"/>
    <x v="0"/>
    <s v="OUTRAS"/>
    <n v="15"/>
    <n v="370"/>
    <n v="600"/>
    <s v="OK"/>
    <m/>
    <m/>
    <s v=""/>
    <s v=""/>
    <x v="100"/>
    <n v="600"/>
    <n v="0"/>
  </r>
  <r>
    <s v="300"/>
    <d v="2021-08-20T00:00:00"/>
    <s v="2021108053"/>
    <x v="56"/>
    <x v="9"/>
    <s v="0802785-83.2018.8.15.2003"/>
    <s v="Daniel de Sousa Santos"/>
    <s v="Movida locação de Veículos S.A."/>
    <x v="84"/>
    <s v="021.100.344-16"/>
    <x v="5"/>
    <s v="OUTRAS"/>
    <n v="12"/>
    <n v="370"/>
    <n v="1100"/>
    <s v="OK"/>
    <m/>
    <m/>
    <s v=""/>
    <s v=""/>
    <x v="100"/>
    <n v="1100"/>
    <n v="0"/>
  </r>
  <r>
    <s v="301"/>
    <d v="2021-08-25T00:00:00"/>
    <s v="2021110482"/>
    <x v="26"/>
    <x v="15"/>
    <s v="0001480-60.2014.8.15.0541"/>
    <s v="CASSIO GUIMARAES ARAUJO"/>
    <s v="FACE DO INSS INSTITUTO NACIONAL DO SEGURO SOCIAL"/>
    <x v="32"/>
    <s v="051.447.734-27"/>
    <x v="0"/>
    <s v="OUTRAS"/>
    <n v="15"/>
    <n v="370"/>
    <n v="500"/>
    <s v="OK"/>
    <m/>
    <m/>
    <s v=""/>
    <s v=""/>
    <x v="100"/>
    <n v="500"/>
    <n v="0"/>
  </r>
  <r>
    <s v="302"/>
    <d v="2021-09-29T00:00:00"/>
    <s v="2021126867"/>
    <x v="35"/>
    <x v="4"/>
    <s v="0801821-87.2015 8.15.0001"/>
    <s v="José Alves Costa e Outros"/>
    <s v="Maria do Socorro Alves e outro_x000a_Costa"/>
    <x v="85"/>
    <s v="322.419.638-60"/>
    <x v="5"/>
    <s v="LAUDO DE AVALIAÇÃO DE IMÓVEL URBANO, CONFORME NORMAS DA ABNT RESPECTIVA"/>
    <n v="6"/>
    <n v="430"/>
    <n v="660"/>
    <s v="OK"/>
    <m/>
    <m/>
    <s v=""/>
    <s v=""/>
    <x v="100"/>
    <n v="660"/>
    <n v="0"/>
  </r>
  <r>
    <s v="303"/>
    <d v="2021-10-08T00:00:00"/>
    <s v="2021131844"/>
    <x v="39"/>
    <x v="18"/>
    <s v="0800076-46.2018.815.0881"/>
    <s v="CARLOS_x000a_ALEXANDRE DE ALMEIDA"/>
    <s v="INSTITUTO NACIONAL DO SEGURO SOCIAL"/>
    <x v="74"/>
    <s v="039.441.894-85"/>
    <x v="3"/>
    <s v="ESTUDO SOCIAL"/>
    <n v="17"/>
    <n v="300"/>
    <n v="200"/>
    <s v="OK"/>
    <m/>
    <m/>
    <s v=""/>
    <s v=""/>
    <x v="100"/>
    <n v="200"/>
    <n v="0"/>
  </r>
  <r>
    <s v="304"/>
    <d v="2021-10-08T00:00:00"/>
    <s v="2021131852"/>
    <x v="39"/>
    <x v="18"/>
    <s v="0800245-67.2017.815.0881"/>
    <s v="FLABIO CARDOSO DANTAS"/>
    <s v="MARIA LUCIA CARDOSO DOS SANTOS"/>
    <x v="63"/>
    <s v="075.538.374-58"/>
    <x v="3"/>
    <s v="ESTUDO SOCIAL"/>
    <n v="17"/>
    <n v="300"/>
    <n v="300"/>
    <s v="OK"/>
    <m/>
    <m/>
    <s v=""/>
    <s v=""/>
    <x v="100"/>
    <n v="300"/>
    <n v="0"/>
  </r>
  <r>
    <s v="305"/>
    <d v="2021-10-06T00:00:00"/>
    <s v="2021131070"/>
    <x v="41"/>
    <x v="11"/>
    <s v="0801029-68.2021.8.15.0181"/>
    <s v="MARIA DE LOURDES_x000a_OLERIANO DOS SANTOS"/>
    <s v="BANCO C6 CONSIGNADO S.A"/>
    <x v="1"/>
    <s v="021.205.144-02"/>
    <x v="1"/>
    <s v="LAUDO GRAFOTÉCNICO"/>
    <n v="1"/>
    <n v="300"/>
    <n v="300"/>
    <s v="OK"/>
    <m/>
    <m/>
    <s v=""/>
    <s v=""/>
    <x v="101"/>
    <n v="300"/>
    <n v="0"/>
  </r>
  <r>
    <s v="306"/>
    <d v="2021-10-06T00:00:00"/>
    <s v="2021130719"/>
    <x v="41"/>
    <x v="11"/>
    <s v="0800570-66.2021.815.0181"/>
    <s v="LUZIA MARIA DA_x000a_SILVA SANTOS"/>
    <s v="BANCO BMG S.A."/>
    <x v="1"/>
    <s v="021.205.144-02"/>
    <x v="1"/>
    <s v="LAUDO GRAFOTÉCNICO"/>
    <n v="1"/>
    <n v="300"/>
    <n v="300"/>
    <s v="OK"/>
    <m/>
    <m/>
    <s v=""/>
    <s v=""/>
    <x v="101"/>
    <n v="300"/>
    <n v="0"/>
  </r>
  <r>
    <s v="307"/>
    <d v="2021-10-14T00:00:00"/>
    <s v="2021133796"/>
    <x v="34"/>
    <x v="9"/>
    <s v="0859668-90.2017.8.15.2001"/>
    <s v="DINAH_x000a_DIRLEY DA SILVA"/>
    <s v="MAGAZINE LUIZA E SAMSUNG ELETRONICA DA AMAZONIA LTDA."/>
    <x v="86"/>
    <s v="053.883.634-22"/>
    <x v="5"/>
    <s v="OUTRAS"/>
    <n v="12"/>
    <n v="370"/>
    <n v="370"/>
    <s v="OK"/>
    <m/>
    <m/>
    <s v=""/>
    <s v=""/>
    <x v="102"/>
    <n v="370"/>
    <n v="0"/>
  </r>
  <r>
    <s v="308"/>
    <d v="2021-02-26T00:00:00"/>
    <s v="2021028131"/>
    <x v="25"/>
    <x v="14"/>
    <s v="0800453-23.2019.815.0221"/>
    <s v="Maria Lucineide Rocha da Silva"/>
    <s v="Vitória_x000a_da Silva Conceição"/>
    <x v="87"/>
    <s v="053.027.324-16"/>
    <x v="0"/>
    <s v="LAUDO EM INTERDIÇÃO/DNA"/>
    <n v="13"/>
    <n v="370"/>
    <n v="370"/>
    <s v="OK"/>
    <m/>
    <m/>
    <s v=""/>
    <s v=""/>
    <x v="102"/>
    <n v="370"/>
    <n v="0"/>
  </r>
  <r>
    <s v="309"/>
    <d v="2021-10-18T00:00:00"/>
    <s v="2021135021"/>
    <x v="1"/>
    <x v="1"/>
    <s v="0804441-88.2021.8.15.0251"/>
    <s v="ROBSON TORRES_x000a_DOS SANTOS"/>
    <s v="BANCO PAN"/>
    <x v="1"/>
    <s v="021.205.144-02"/>
    <x v="1"/>
    <s v="LAUDO GRAFOTÉCNICO"/>
    <n v="1"/>
    <n v="300"/>
    <n v="300"/>
    <s v="OK"/>
    <m/>
    <m/>
    <s v=""/>
    <s v=""/>
    <x v="103"/>
    <n v="300"/>
    <n v="0"/>
  </r>
  <r>
    <s v="310"/>
    <d v="2021-10-19T00:00:00"/>
    <s v="2021135312"/>
    <x v="41"/>
    <x v="11"/>
    <s v=" 0800736-69.2019.8.15.0181"/>
    <s v="JOSE NORBERTO DA_x000a_SILVA"/>
    <s v="BANCO ITAU CONSIGNADO S.A."/>
    <x v="1"/>
    <s v="021.205.144-02"/>
    <x v="1"/>
    <s v="LAUDO GRAFOTÉCNICO"/>
    <n v="1"/>
    <n v="300"/>
    <n v="300"/>
    <s v="OK"/>
    <m/>
    <m/>
    <s v=""/>
    <s v=""/>
    <x v="104"/>
    <n v="300"/>
    <n v="0"/>
  </r>
  <r>
    <s v="311"/>
    <d v="2021-10-19T00:00:00"/>
    <s v="2021135329"/>
    <x v="41"/>
    <x v="11"/>
    <s v="0804837-81.2021.8.15.0181"/>
    <s v="ANTONIO JOSE DA_x000a_SILVA"/>
    <s v="BANCO ITAU CONSIGNADO S.A."/>
    <x v="1"/>
    <s v="021.205.144-02"/>
    <x v="1"/>
    <s v="LAUDO GRAFOTÉCNICO"/>
    <n v="1"/>
    <n v="300"/>
    <n v="300"/>
    <s v="OK"/>
    <m/>
    <m/>
    <s v=""/>
    <s v=""/>
    <x v="104"/>
    <n v="300"/>
    <n v="0"/>
  </r>
  <r>
    <s v="312"/>
    <d v="2021-10-19T00:00:00"/>
    <s v="2021135370"/>
    <x v="15"/>
    <x v="4"/>
    <s v="0813948-18.2019.8.15.0001"/>
    <s v="Maria Ana de Jesus Macedo"/>
    <s v="Banco Itaú_x000a_Consignado"/>
    <x v="88"/>
    <s v="040.140.334-30"/>
    <x v="1"/>
    <s v="LAUDO GRAFOTÉCNICO"/>
    <n v="1"/>
    <n v="300"/>
    <n v="300"/>
    <s v="OK"/>
    <m/>
    <m/>
    <s v=""/>
    <s v=""/>
    <x v="104"/>
    <n v="300"/>
    <n v="0"/>
  </r>
  <r>
    <s v="313"/>
    <d v="2021-10-19T00:00:00"/>
    <s v="2021135546"/>
    <x v="4"/>
    <x v="0"/>
    <s v="0802588-43.2019.8.15.0371"/>
    <s v="KACILENE_x000a_AUGUSTA DA SILVA"/>
    <s v="MUNICÍPIO DE LASTRO"/>
    <x v="1"/>
    <s v="021.205.144-02"/>
    <x v="5"/>
    <s v="LAUDO DE INSALUBRIDADE E/OU PERICULOSIDADE, CONFORME NORMAS DA ABNT RESPECTIVAS"/>
    <n v="11"/>
    <n v="370"/>
    <n v="370"/>
    <s v="OK"/>
    <m/>
    <m/>
    <s v=""/>
    <s v=""/>
    <x v="105"/>
    <n v="370"/>
    <n v="0"/>
  </r>
  <r>
    <s v="314"/>
    <d v="2021-10-19T00:00:00"/>
    <s v="2021135474"/>
    <x v="4"/>
    <x v="0"/>
    <s v="0801907-73.2019.8.15.0371"/>
    <s v="FRANCISCO_x000a_JOSE DA SILVA JUNIOR_x000a_AUGUSTA DA SILVA"/>
    <s v="MUNICÍPIO DE SOUSA"/>
    <x v="1"/>
    <s v="021.205.144-02"/>
    <x v="5"/>
    <s v="LAUDO DE INSALUBRIDADE E/OU PERICULOSIDADE, CONFORME NORMAS DA ABNT RESPECTIVAS"/>
    <n v="11"/>
    <n v="370"/>
    <n v="370"/>
    <s v="OK"/>
    <m/>
    <m/>
    <s v=""/>
    <s v=""/>
    <x v="105"/>
    <n v="370"/>
    <n v="0"/>
  </r>
  <r>
    <s v="315"/>
    <d v="2021-10-21T00:00:00"/>
    <s v="2021136555"/>
    <x v="39"/>
    <x v="18"/>
    <s v="0800429-23.2017.815.1171"/>
    <s v="JONATHAS DA SILVA FIDELES e outra"/>
    <s v="INSTITUTO NACIONAL DO SEGURO SOCIAL"/>
    <x v="63"/>
    <s v="075.538.374-58"/>
    <x v="3"/>
    <s v="ESTUDO SOCIAL"/>
    <n v="17"/>
    <n v="300"/>
    <n v="200"/>
    <s v="OK"/>
    <m/>
    <m/>
    <s v=""/>
    <s v=""/>
    <x v="106"/>
    <n v="200"/>
    <n v="0"/>
  </r>
  <r>
    <s v="316"/>
    <d v="2021-10-21T00:00:00"/>
    <s v="2021136547"/>
    <x v="39"/>
    <x v="18"/>
    <s v="0800575-64.2017.815.1171"/>
    <s v="AUGILEIDE SOARES DE LIM"/>
    <s v="AMINADABI SOARES DE LIMA"/>
    <x v="63"/>
    <s v="075.538.374-58"/>
    <x v="3"/>
    <s v="ESTUDO SOCIAL"/>
    <n v="17"/>
    <n v="300"/>
    <n v="300"/>
    <s v="OK"/>
    <m/>
    <m/>
    <s v=""/>
    <s v=""/>
    <x v="106"/>
    <n v="300"/>
    <n v="0"/>
  </r>
  <r>
    <s v="317"/>
    <d v="2021-10-21T00:00:00"/>
    <s v="2021136539"/>
    <x v="39"/>
    <x v="18"/>
    <s v="0800185-97.2017.815.1171"/>
    <s v="IZABEL GUEDES DE OLIVEIRA FARIAS"/>
    <s v="INSTITUTO_x000a_NACIONAL DO SEGURO SOCIAL"/>
    <x v="47"/>
    <s v="044.220.834-06"/>
    <x v="3"/>
    <s v="ESTUDO SOCIAL"/>
    <n v="17"/>
    <n v="300"/>
    <n v="200"/>
    <s v="OK"/>
    <m/>
    <m/>
    <s v=""/>
    <s v=""/>
    <x v="106"/>
    <n v="200"/>
    <n v="0"/>
  </r>
  <r>
    <s v="318"/>
    <d v="2021-06-18T00:00:00"/>
    <s v="2021079106"/>
    <x v="17"/>
    <x v="4"/>
    <s v="0818474-28.2019.8.15.0001"/>
    <s v="ELIZINETH LUCENA COSTA_x000a_TEOFILO"/>
    <s v="CRISTOVAO BRANDAO COSTA"/>
    <x v="89"/>
    <s v="096.725.134-61"/>
    <x v="5"/>
    <s v="LAUDO PERICIAL DAS CONDIÇÕES ESTRUTURAIS DE SEGURNÇA E SOLIDEZ DE IMÓVEL, CONFORME NORMA DA ABNT RESPECTIVAS"/>
    <n v="8"/>
    <n v="370"/>
    <n v="296"/>
    <s v="OK"/>
    <m/>
    <m/>
    <s v=""/>
    <s v=""/>
    <x v="107"/>
    <n v="296"/>
    <n v="0"/>
  </r>
  <r>
    <s v="319"/>
    <d v="2021-06-23T00:00:00"/>
    <s v="2021081394"/>
    <x v="0"/>
    <x v="0"/>
    <s v="0800252-60.2020.8.15.0491"/>
    <s v="ANTONIO ESTRELA DA SILVA e outra"/>
    <s v="DEPARTAMENTO DE ESTRADAS DE RODAGEM DO ESTADO DA PARAÍBA"/>
    <x v="1"/>
    <s v="021.205.144-02"/>
    <x v="5"/>
    <s v="LAUDO PERICIAL DAS CONDIÇÕES ESTRUTURAIS DE SEGURNÇA E SOLIDEZ DE IMÓVEL, CONFORME NORMA DA ABNT RESPECTIVAS"/>
    <n v="8"/>
    <n v="370"/>
    <n v="370"/>
    <s v="OK"/>
    <m/>
    <m/>
    <s v=""/>
    <s v=""/>
    <x v="107"/>
    <n v="370"/>
    <n v="0"/>
  </r>
  <r>
    <s v="320"/>
    <d v="2021-09-29T00:00:00"/>
    <s v="2021126703"/>
    <x v="41"/>
    <x v="11"/>
    <s v="0803831-_x000a_10.2019.815.0181"/>
    <s v="JOSEFA DA COSTA SILVA"/>
    <s v="BANCO ITAU BMG CONSIGNADO_x000a_S.A.."/>
    <x v="1"/>
    <s v="021.205.144-02"/>
    <x v="1"/>
    <s v="LAUDO GRAFOTÉCNICO"/>
    <n v="1"/>
    <n v="300"/>
    <n v="300"/>
    <s v="OK"/>
    <m/>
    <m/>
    <s v=""/>
    <s v=""/>
    <x v="107"/>
    <n v="300"/>
    <n v="0"/>
  </r>
  <r>
    <s v="321"/>
    <d v="2021-03-18T00:00:00"/>
    <s v="2021037306"/>
    <x v="50"/>
    <x v="21"/>
    <s v="0800499-38.2017.8.15.0041"/>
    <s v="RAFAEL CASSIMIRO PEREIRA"/>
    <s v="INSS"/>
    <x v="78"/>
    <m/>
    <x v="0"/>
    <s v="OUTRAS"/>
    <n v="15"/>
    <n v="370"/>
    <n v="300"/>
    <s v="OK"/>
    <m/>
    <m/>
    <s v=""/>
    <s v=""/>
    <x v="108"/>
    <n v="300"/>
    <n v="0"/>
  </r>
  <r>
    <s v="322"/>
    <d v="2021-10-25T00:00:00"/>
    <s v="2021138217"/>
    <x v="34"/>
    <x v="9"/>
    <s v="0005798-37.2015.8.15.2001"/>
    <s v="ANA CLAUDIA DA SILVA ALVE"/>
    <s v="CAPITAL DISTRIBUIDORA DE VEICULOS LTDA E FIAT AUTOMOVEIS S/A "/>
    <x v="90"/>
    <s v="042.713.264-96"/>
    <x v="5"/>
    <s v="OUTRAS"/>
    <n v="12"/>
    <n v="370"/>
    <n v="300"/>
    <s v="OK"/>
    <m/>
    <m/>
    <s v=""/>
    <s v=""/>
    <x v="109"/>
    <n v="300"/>
    <n v="0"/>
  </r>
  <r>
    <s v="323"/>
    <d v="2021-10-25T00:00:00"/>
    <s v="2021138014"/>
    <x v="41"/>
    <x v="11"/>
    <s v="0803755-15.2021.8.15.0181"/>
    <s v="MARIA DE LOURDES_x000a_ROSAS DE OLIVEIRA"/>
    <s v="BANCO ITAU CONSIGNADO S.A"/>
    <x v="1"/>
    <s v="021.205.144-02"/>
    <x v="1"/>
    <s v="LAUDO GRAFOTÉCNICO"/>
    <n v="1"/>
    <n v="300"/>
    <n v="300"/>
    <s v="OK"/>
    <m/>
    <m/>
    <s v=""/>
    <s v=""/>
    <x v="109"/>
    <n v="300"/>
    <n v="0"/>
  </r>
  <r>
    <s v="324"/>
    <d v="2021-10-26T00:00:00"/>
    <s v="2021138508"/>
    <x v="25"/>
    <x v="14"/>
    <s v="0000829-97.2014.8.15.0421"/>
    <s v="MARIA RODRIGUES DE_x000a_QUEIROZ"/>
    <s v="ANIZIO RODRIGUES DE QUEIROZ"/>
    <x v="57"/>
    <s v="053.027.324-16"/>
    <x v="0"/>
    <s v="LAUDO EM INTERDIÇÃO/DNA"/>
    <n v="13"/>
    <n v="370"/>
    <n v="370"/>
    <s v="OK"/>
    <m/>
    <m/>
    <s v=""/>
    <s v=""/>
    <x v="110"/>
    <n v="370"/>
    <n v="0"/>
  </r>
  <r>
    <s v="325"/>
    <d v="2021-10-26T00:00:00"/>
    <s v="2021138707"/>
    <x v="41"/>
    <x v="11"/>
    <s v="0801891-39.2021.815.0181"/>
    <s v="NIVALDO MARTINS DE ALMEIDA"/>
    <s v="ITAÚ UNIBANCO S.A. "/>
    <x v="1"/>
    <s v="021.205.144-02"/>
    <x v="1"/>
    <s v="LAUDO GRAFOTÉCNICO"/>
    <n v="1"/>
    <n v="300"/>
    <n v="300"/>
    <s v="OK"/>
    <m/>
    <m/>
    <s v=""/>
    <s v=""/>
    <x v="110"/>
    <n v="300"/>
    <n v="0"/>
  </r>
  <r>
    <s v="326"/>
    <d v="2021-10-28T00:00:00"/>
    <s v="2021139759"/>
    <x v="41"/>
    <x v="11"/>
    <s v="0801702-66.2018.8.15.0181"/>
    <s v="MARIA DA LUZ ALVES DOS SANTOS"/>
    <s v="BANCO ITAU CONSIGNADO S.A."/>
    <x v="1"/>
    <s v="021.205.144-02"/>
    <x v="1"/>
    <s v="LAUDO GRAFOTÉCNICO"/>
    <n v="1"/>
    <n v="300"/>
    <n v="300"/>
    <s v="OK"/>
    <m/>
    <m/>
    <s v=""/>
    <s v=""/>
    <x v="111"/>
    <n v="300"/>
    <n v="0"/>
  </r>
  <r>
    <s v="327"/>
    <d v="2021-10-28T00:00:00"/>
    <s v="2021139540"/>
    <x v="41"/>
    <x v="11"/>
    <s v="0803836-61.2021.8.15.0181"/>
    <s v="MARIA MACENA DOS SANTOS"/>
    <s v="BANCO OLÉ BONSUCESSO CONSIGNADO S.A"/>
    <x v="1"/>
    <s v="021.205.144-02"/>
    <x v="1"/>
    <s v="LAUDO GRAFOTÉCNICO"/>
    <n v="1"/>
    <n v="300"/>
    <n v="300"/>
    <s v="OK"/>
    <m/>
    <m/>
    <s v=""/>
    <s v=""/>
    <x v="111"/>
    <n v="300"/>
    <n v="0"/>
  </r>
  <r>
    <s v="328"/>
    <d v="2021-10-28T00:00:00"/>
    <s v="2021139726"/>
    <x v="41"/>
    <x v="11"/>
    <s v="0804382-19.2021.8.15.0181"/>
    <s v="MARIA DAS DORES FIRMINO_x000a_GOMES"/>
    <s v="BANCO BRADESCO FINANCIAMENTOS S.A"/>
    <x v="1"/>
    <s v="021.205.144-02"/>
    <x v="1"/>
    <s v="LAUDO GRAFOTÉCNICO"/>
    <n v="1"/>
    <n v="300"/>
    <n v="300"/>
    <s v="OK"/>
    <m/>
    <m/>
    <s v=""/>
    <s v=""/>
    <x v="111"/>
    <n v="300"/>
    <n v="0"/>
  </r>
  <r>
    <s v="329"/>
    <d v="2021-10-28T00:00:00"/>
    <s v="2021139687"/>
    <x v="41"/>
    <x v="11"/>
    <s v="0802552-18.2021.8.15.0181"/>
    <s v="PAULO ROGERIO DE PONTES SILVA"/>
    <s v="MAPFRE SEGUROS GERAIS S.A."/>
    <x v="1"/>
    <s v="021.205.144-02"/>
    <x v="1"/>
    <s v="LAUDO GRAFOTÉCNICO"/>
    <n v="1"/>
    <n v="300"/>
    <n v="300"/>
    <s v="OK"/>
    <m/>
    <m/>
    <s v=""/>
    <s v=""/>
    <x v="110"/>
    <n v="300"/>
    <n v="0"/>
  </r>
  <r>
    <s v="330"/>
    <d v="2021-10-29T00:00:00"/>
    <s v="2021140154"/>
    <x v="39"/>
    <x v="18"/>
    <s v="0800094-33.2019.815.0881"/>
    <s v="P. A. M. P"/>
    <s v="INSS"/>
    <x v="63"/>
    <s v="075.538.374-58"/>
    <x v="3"/>
    <s v="ESTUDO SOCIAL"/>
    <n v="17"/>
    <n v="300"/>
    <n v="200"/>
    <s v="OK"/>
    <m/>
    <m/>
    <s v=""/>
    <s v=""/>
    <x v="112"/>
    <n v="200"/>
    <n v="0"/>
  </r>
  <r>
    <s v="331"/>
    <d v="2021-11-03T00:00:00"/>
    <s v="2021141552"/>
    <x v="41"/>
    <x v="11"/>
    <s v="0800573-21.2021.8.15.0181"/>
    <s v="LUZIA MARIA DA SILVA SANTOS"/>
    <s v=" BANCO CETELEM S/A"/>
    <x v="1"/>
    <s v="021.205.144-02"/>
    <x v="1"/>
    <s v="LAUDO GRAFOTÉCNICO"/>
    <n v="1"/>
    <n v="300"/>
    <n v="300"/>
    <s v="OK"/>
    <m/>
    <m/>
    <s v=""/>
    <s v=""/>
    <x v="113"/>
    <n v="300"/>
    <n v="0"/>
  </r>
  <r>
    <s v="332"/>
    <d v="2021-11-03T00:00:00"/>
    <s v="2021141528"/>
    <x v="41"/>
    <x v="11"/>
    <s v="0801677-48.2021.8.15.0181"/>
    <s v="MARIA DE LOURDES_x000a_CASSIMIRO FLORIANO"/>
    <s v="BRADESCARD S/A"/>
    <x v="1"/>
    <s v="021.205.144-02"/>
    <x v="1"/>
    <s v="LAUDO GRAFOTÉCNICO"/>
    <n v="1"/>
    <n v="300"/>
    <n v="300"/>
    <s v="OK"/>
    <m/>
    <m/>
    <s v=""/>
    <s v=""/>
    <x v="113"/>
    <n v="300"/>
    <n v="0"/>
  </r>
  <r>
    <s v="333"/>
    <d v="2021-11-03T00:00:00"/>
    <s v="2021141593"/>
    <x v="41"/>
    <x v="11"/>
    <s v="0805242-20.2021.8.15.0181"/>
    <s v="GERLANE MARINHO DA_x000a_SILVA"/>
    <s v="BANCO DO ESTADO DO RIO GRANDE DO SUL AS"/>
    <x v="1"/>
    <s v="021.205.144-02"/>
    <x v="1"/>
    <s v="LAUDO GRAFOTÉCNICO"/>
    <n v="1"/>
    <n v="300"/>
    <n v="300"/>
    <s v="OK"/>
    <m/>
    <m/>
    <s v=""/>
    <s v=""/>
    <x v="113"/>
    <n v="300"/>
    <n v="0"/>
  </r>
  <r>
    <s v="334"/>
    <d v="2021-11-01T00:00:00"/>
    <s v="2021140904"/>
    <x v="41"/>
    <x v="11"/>
    <s v="0803275-37.2021.8.15.0181"/>
    <s v="JULIO MARINHO DE_x000a_ARAUJO"/>
    <s v="BANCO C6 CONSIGNADO"/>
    <x v="1"/>
    <s v="021.205.144-02"/>
    <x v="1"/>
    <s v="LAUDO GRAFOTÉCNICO"/>
    <n v="1"/>
    <n v="300"/>
    <n v="300"/>
    <s v="OK"/>
    <m/>
    <m/>
    <s v=""/>
    <s v=""/>
    <x v="113"/>
    <n v="300"/>
    <n v="0"/>
  </r>
  <r>
    <s v="335"/>
    <d v="2021-10-27T00:00:00"/>
    <s v="2021139349"/>
    <x v="29"/>
    <x v="4"/>
    <s v="0824179-07.2019.8.15.0001"/>
    <s v="FABRICIO DA SILVA"/>
    <s v="BRENDA SILVESTRE FARIAS DA SILVA"/>
    <x v="91"/>
    <s v="086792134-03"/>
    <x v="4"/>
    <s v="OUTRAS"/>
    <n v="16"/>
    <n v="300"/>
    <n v="300"/>
    <s v="OK"/>
    <m/>
    <m/>
    <s v=""/>
    <s v=""/>
    <x v="114"/>
    <n v="300"/>
    <n v="0"/>
  </r>
  <r>
    <s v="336"/>
    <d v="2021-11-08T00:00:00"/>
    <s v="2021143281"/>
    <x v="41"/>
    <x v="11"/>
    <s v="080170261.2021.8.15.0181"/>
    <s v="IRACEMA DE LIMA DUARTE"/>
    <s v="BANCO BRADESCO S/A."/>
    <x v="1"/>
    <s v="021.205.144-02"/>
    <x v="1"/>
    <s v="LAUDO GRAFOTÉCNICO"/>
    <n v="1"/>
    <n v="300"/>
    <n v="300"/>
    <s v="OK"/>
    <m/>
    <m/>
    <s v=""/>
    <s v=""/>
    <x v="115"/>
    <n v="300"/>
    <n v="0"/>
  </r>
  <r>
    <s v="337"/>
    <d v="2021-11-08T00:00:00"/>
    <s v="2021143232"/>
    <x v="41"/>
    <x v="11"/>
    <s v="0805132-55.2020.8.15.0181"/>
    <s v="SEVERINA LOURENCO DOS_x000a_SANTOS"/>
    <s v="BANCO ITAU CONSIGNADO S.A"/>
    <x v="1"/>
    <s v="021.205.144-02"/>
    <x v="1"/>
    <s v="LAUDO GRAFOTÉCNICO"/>
    <n v="1"/>
    <n v="300"/>
    <n v="300"/>
    <s v="OK"/>
    <m/>
    <m/>
    <s v=""/>
    <s v=""/>
    <x v="115"/>
    <n v="300"/>
    <n v="0"/>
  </r>
  <r>
    <s v="338"/>
    <d v="2021-10-28T00:00:00"/>
    <s v="2021140031"/>
    <x v="4"/>
    <x v="0"/>
    <s v="0803703-36.2018.8.15.0371"/>
    <s v="Glenio Paulo da Silva"/>
    <s v="Município de Sousa."/>
    <x v="1"/>
    <s v="021.205.144-02"/>
    <x v="1"/>
    <s v="LAUDO GRAFOTÉCNICO"/>
    <n v="1"/>
    <n v="300"/>
    <n v="370"/>
    <s v="OK"/>
    <m/>
    <m/>
    <s v=""/>
    <s v=""/>
    <x v="115"/>
    <n v="370"/>
    <n v="0"/>
  </r>
  <r>
    <s v="339"/>
    <d v="2021-11-10T00:00:00"/>
    <s v="2021144602"/>
    <x v="50"/>
    <x v="21"/>
    <s v="0800302-83.2017.8.15.0041"/>
    <s v="GIVANILDO ALVES PEQUENO"/>
    <s v="INSS"/>
    <x v="76"/>
    <s v="094.143.164-93"/>
    <x v="0"/>
    <s v="OUTRAS"/>
    <n v="15"/>
    <n v="370"/>
    <n v="370"/>
    <s v="OK"/>
    <m/>
    <m/>
    <s v=""/>
    <s v=""/>
    <x v="116"/>
    <n v="370"/>
    <n v="0"/>
  </r>
  <r>
    <s v="340"/>
    <d v="2021-11-09T00:00:00"/>
    <s v="2021144081"/>
    <x v="50"/>
    <x v="21"/>
    <s v="0800544-08.2018.8.15.0041"/>
    <s v="VERA LUCIA PAULINO DE SOUZA"/>
    <s v="ERASMO FERREIRA DA SILVA"/>
    <x v="92"/>
    <s v="076.367.414-15"/>
    <x v="0"/>
    <s v="OUTRAS"/>
    <n v="15"/>
    <n v="370"/>
    <n v="370"/>
    <s v="OK"/>
    <m/>
    <m/>
    <s v=""/>
    <s v=""/>
    <x v="116"/>
    <n v="370"/>
    <n v="0"/>
  </r>
  <r>
    <s v="341"/>
    <d v="2021-11-09T00:00:00"/>
    <s v="2021144188"/>
    <x v="41"/>
    <x v="11"/>
    <s v="0804879-33.2021.8.15.0181"/>
    <s v="Antônio José da Silva"/>
    <s v="BANCO ITAU CONSIGNADO S.A"/>
    <x v="1"/>
    <s v="021.205.144-02"/>
    <x v="1"/>
    <s v="LAUDO GRAFOTÉCNICO"/>
    <n v="1"/>
    <n v="300"/>
    <n v="300"/>
    <s v="OK"/>
    <m/>
    <m/>
    <s v=""/>
    <s v=""/>
    <x v="116"/>
    <n v="300"/>
    <n v="0"/>
  </r>
  <r>
    <s v="342"/>
    <d v="2021-09-16T00:00:00"/>
    <s v="2021120305"/>
    <x v="57"/>
    <x v="4"/>
    <s v="0828895-77.2019.8.15.0001"/>
    <s v="RONDINELE GOMES DE MOURA"/>
    <s v="CARAJAS MATERIAL DE CONSTRUCAO LTDA. E outra"/>
    <x v="93"/>
    <s v="092.181.164-01"/>
    <x v="5"/>
    <s v="LAUDO DE AVALIAÇÃO DE BENS FUNGÍVEIS/IMÓVEL RURAL/URBANO, CONFORME NORMAS DA ABNT RESPECTIVAS"/>
    <n v="9"/>
    <n v="700"/>
    <n v="700"/>
    <s v="OK"/>
    <m/>
    <m/>
    <s v=""/>
    <s v=""/>
    <x v="96"/>
    <n v="700"/>
    <n v="0"/>
  </r>
  <r>
    <s v="343"/>
    <d v="2021-12-04T00:00:00"/>
    <s v="2020178967"/>
    <x v="40"/>
    <x v="9"/>
    <s v="0806524-75.2015.8.15.2001"/>
    <s v="RANYERY DE SOUTO PEREIRA"/>
    <s v="MRV ENGENHARIA E PARTICIPACOES SA e outro"/>
    <x v="1"/>
    <s v="021.205.144-02"/>
    <x v="5"/>
    <s v="LAUDO DE AVALIAÇÃO DE BENS FUNGÍVEIS/IMÓVEL RURAL/URBANO, CONFORME NORMAS DA ABNT RESPECTIVAS"/>
    <n v="9"/>
    <n v="700"/>
    <n v="1000"/>
    <s v="OK"/>
    <m/>
    <m/>
    <s v=""/>
    <s v=""/>
    <x v="117"/>
    <n v="1000"/>
    <n v="0"/>
  </r>
  <r>
    <s v="344"/>
    <d v="2021-08-18T00:00:00"/>
    <s v="2021106574"/>
    <x v="5"/>
    <x v="4"/>
    <s v="0811051-51.2018.8.15.0001"/>
    <s v="Elizabeth Figueiredo Agra_x000a_Marinheiro"/>
    <s v="Banco do Brasil AS"/>
    <x v="2"/>
    <s v="027.962.114-01"/>
    <x v="6"/>
    <s v="LAUDO EM AÇÃO REVISIONAL ENVOLVENDO NEGÓCIOS BANCÁRIOS ACIMA DE  4 (QUATRO) CONTRATOS"/>
    <n v="3"/>
    <n v="630"/>
    <n v="630"/>
    <s v="OK"/>
    <m/>
    <m/>
    <s v=""/>
    <s v=""/>
    <x v="96"/>
    <n v="630"/>
    <n v="0"/>
  </r>
  <r>
    <s v="345"/>
    <d v="2021-02-08T00:00:00"/>
    <s v="2021017926"/>
    <x v="9"/>
    <x v="4"/>
    <s v="0816252-87.2019.8.15.0001"/>
    <s v="WAGNER FERREIRA SILVA"/>
    <s v="ISLANE LOPES DA SILVA"/>
    <x v="11"/>
    <s v="397.520.114-20"/>
    <x v="3"/>
    <s v="ESTUDO SOCIAL"/>
    <n v="17"/>
    <n v="300"/>
    <n v="450"/>
    <s v="OK"/>
    <m/>
    <m/>
    <s v=""/>
    <s v=""/>
    <x v="96"/>
    <n v="450"/>
    <n v="0"/>
  </r>
  <r>
    <s v="346"/>
    <d v="2021-08-25T00:00:00"/>
    <s v="2021110136"/>
    <x v="42"/>
    <x v="12"/>
    <s v="0801649-16.2020.815.0731"/>
    <s v="EDIFICIO RESIDENCIAL_x000a_MAR MEDITERRANEO"/>
    <s v="GFT CONSTRUIÇÕES E INCORPORAÇÕES LTDA e outro"/>
    <x v="94"/>
    <s v="023.230.684-23"/>
    <x v="5"/>
    <s v="LAUDO DE AVALIAÇÃO DE BENS FUNGÍVEIS/IMÓVEL RURAL/URBANO, CONFORME NORMAS DA ABNT RESPECTIVAS"/>
    <n v="9"/>
    <n v="700"/>
    <n v="1500"/>
    <s v="OK"/>
    <m/>
    <m/>
    <s v=""/>
    <s v=""/>
    <x v="96"/>
    <n v="1500"/>
    <n v="0"/>
  </r>
  <r>
    <s v="347"/>
    <d v="2021-07-29T00:00:00"/>
    <s v="2021097168"/>
    <x v="42"/>
    <x v="12"/>
    <s v="0003919-85.2016.8.15.0731"/>
    <s v="VISA ENGENHARIA E SERVIÇOS_x000a_LTDA"/>
    <s v="ASFALTOS NORDESTES LTDA"/>
    <x v="1"/>
    <s v="021.205.144-02"/>
    <x v="1"/>
    <s v="LAUDO GRAFOTÉCNICO"/>
    <n v="1"/>
    <n v="300"/>
    <n v="700"/>
    <s v="OK"/>
    <m/>
    <m/>
    <s v=""/>
    <s v=""/>
    <x v="96"/>
    <n v="700"/>
    <n v="0"/>
  </r>
  <r>
    <s v="348"/>
    <d v="2021-09-14T00:00:00"/>
    <s v="2020136572"/>
    <x v="17"/>
    <x v="4"/>
    <s v="0807264-14.2018.8.15.0001"/>
    <s v="ANDRESSA CRISTINA SANTOS_x000a_RODRIGUES"/>
    <s v="MARX HENRIQUE ALMEIDA NUNES e outros"/>
    <x v="42"/>
    <s v="047.164.824-80"/>
    <x v="5"/>
    <s v="LAUDO DE AVALIAÇÃO DE BENS FUNGÍVEIS/IMÓVEL RURAL/URBANO, CONFORME NORMAS DA ABNT RESPECTIVAS"/>
    <n v="9"/>
    <n v="700"/>
    <n v="740"/>
    <s v="OK"/>
    <m/>
    <m/>
    <s v=""/>
    <s v=""/>
    <x v="96"/>
    <n v="740"/>
    <n v="0"/>
  </r>
  <r>
    <s v="349"/>
    <d v="2021-06-17T00:00:00"/>
    <s v="2021078138"/>
    <x v="31"/>
    <x v="10"/>
    <s v="0802569-61.2019.8.15.0751"/>
    <s v="ROSA_x000a_MARIA IZIDRO DE OLIVEIRA"/>
    <s v="INSS"/>
    <x v="38"/>
    <s v="051.944.134-67"/>
    <x v="0"/>
    <s v="OUTRAS"/>
    <n v="15"/>
    <n v="370"/>
    <n v="622"/>
    <s v="OK"/>
    <m/>
    <m/>
    <s v=""/>
    <s v=""/>
    <x v="96"/>
    <n v="622"/>
    <n v="0"/>
  </r>
  <r>
    <s v="350"/>
    <d v="2021-09-25T00:00:00"/>
    <s v="2018198741"/>
    <x v="32"/>
    <x v="9"/>
    <s v="0028841-13.2009.815.2001"/>
    <s v="MARIA DE FATIMA FERNANDES DOS SANTOS e outros"/>
    <s v="FEDERAL DE SEGUROS_x000a_S/A"/>
    <x v="95"/>
    <s v="185.804.594-00"/>
    <x v="5"/>
    <s v="LAUDO DE AVALIAÇÃO DE BENS FUNGÍVEIS/IMÓVEL RURAL/URBANO, CONFORME NORMAS DA ABNT RESPECTIVAS"/>
    <n v="9"/>
    <n v="700"/>
    <n v="16940"/>
    <s v="ACIMA"/>
    <d v="2021-11-12T00:00:00"/>
    <n v="5082"/>
    <n v="0.3"/>
    <s v="ACIMA"/>
    <x v="118"/>
    <n v="11858"/>
    <n v="11858"/>
  </r>
  <r>
    <s v="351"/>
    <d v="2021-11-16T00:00:00"/>
    <s v="2021146590"/>
    <x v="58"/>
    <x v="25"/>
    <s v="0800051-97.2016.8.15.0171"/>
    <s v=" MARIA_x000a_GISELDA DA COSTA OLIVEIRA"/>
    <s v="FUNDO DE PREVIDÊNCIA SOCIAL DOS SERVIDORES DO_x000a_MUNICÍPIO DE ESPERANÇA"/>
    <x v="96"/>
    <s v="759.709.294-68"/>
    <x v="0"/>
    <s v="OUTRAS"/>
    <n v="15"/>
    <n v="370"/>
    <n v="200"/>
    <s v="OK"/>
    <m/>
    <m/>
    <s v=""/>
    <s v=""/>
    <x v="119"/>
    <n v="200"/>
    <n v="0"/>
  </r>
  <r>
    <s v="352"/>
    <d v="2021-11-17T00:00:00"/>
    <s v="2021147332"/>
    <x v="41"/>
    <x v="11"/>
    <s v="0802270-77.2021.815.0181"/>
    <s v="Maria Isabel Ferreira Alves"/>
    <s v="Município de Guarabira"/>
    <x v="1"/>
    <s v="021.205.144-02"/>
    <x v="5"/>
    <s v="LAUDO DE INSALUBRIDADE E/OU PERICULOSIDADE, CONFORME NORMAS DA ABNT RESPECTIVAS"/>
    <n v="11"/>
    <n v="370"/>
    <n v="370"/>
    <s v="OK"/>
    <m/>
    <m/>
    <s v=""/>
    <s v=""/>
    <x v="120"/>
    <n v="370"/>
    <n v="0"/>
  </r>
  <r>
    <s v="353"/>
    <d v="2021-11-17T00:00:00"/>
    <s v="2021146820"/>
    <x v="25"/>
    <x v="14"/>
    <s v="0000079-95.2014.8.15.0421"/>
    <s v="MARIA APARECIDA_x000a_PEREIRA RAMOS"/>
    <s v="FRANCINALDO PEREIRA RAMOS"/>
    <x v="31"/>
    <s v="053.027.324-16"/>
    <x v="0"/>
    <s v="LAUDO EM INTERDIÇÃO/DNA"/>
    <n v="13"/>
    <n v="370"/>
    <n v="370"/>
    <s v="OK"/>
    <m/>
    <m/>
    <s v=""/>
    <s v=""/>
    <x v="120"/>
    <n v="370"/>
    <n v="0"/>
  </r>
  <r>
    <s v="354"/>
    <d v="2021-11-19T00:00:00"/>
    <s v="2021148190"/>
    <x v="39"/>
    <x v="18"/>
    <s v="0800794-_x000a_09.2019.8.15.0881"/>
    <s v="MARILENE DE FIGUEREDO SILVA"/>
    <s v="CARRILHO DE FIGUEIREDO_x000a_SILVA"/>
    <x v="97"/>
    <s v="753.109.024-49"/>
    <x v="0"/>
    <s v="OUTRAS"/>
    <n v="13"/>
    <n v="370"/>
    <n v="370"/>
    <s v="OK"/>
    <m/>
    <m/>
    <s v=""/>
    <s v=""/>
    <x v="121"/>
    <n v="370"/>
    <n v="0"/>
  </r>
  <r>
    <s v="355"/>
    <d v="2021-10-06T00:00:00"/>
    <s v="2021130817"/>
    <x v="41"/>
    <x v="11"/>
    <s v="0805001-46.2021.8.15.0181"/>
    <s v="MARIA NEUMA DE FIGUEIREDO"/>
    <s v="BANCO OLÉ BONSUCESSO CONSIGNADO S.A"/>
    <x v="1"/>
    <s v="021.205.144-02"/>
    <x v="1"/>
    <s v="LAUDO GRAFOTÉCNICO"/>
    <n v="1"/>
    <n v="300"/>
    <n v="300"/>
    <s v="OK"/>
    <m/>
    <m/>
    <s v=""/>
    <s v=""/>
    <x v="121"/>
    <n v="300"/>
    <n v="0"/>
  </r>
  <r>
    <s v="356"/>
    <d v="2021-11-04T00:00:00"/>
    <s v="2021141979"/>
    <x v="0"/>
    <x v="0"/>
    <s v="0800873-92.2021.8.15.0371"/>
    <s v="MIRIAN KARLA_x000a_FERNANDES PEREIRA"/>
    <s v="MUNICIPIO DE SOUSA"/>
    <x v="1"/>
    <s v="021.205.144-02"/>
    <x v="5"/>
    <s v="LAUDO DE INSALUBRIDADE E/OU PERICULOSIDADE, CONFORME NORMAS DA ABNT RESPECTIVAS"/>
    <n v="11"/>
    <n v="370"/>
    <n v="370"/>
    <s v="OK"/>
    <m/>
    <m/>
    <s v=""/>
    <s v=""/>
    <x v="122"/>
    <n v="370"/>
    <n v="0"/>
  </r>
  <r>
    <s v="357"/>
    <d v="2021-09-29T00:00:00"/>
    <s v="2021126297"/>
    <x v="0"/>
    <x v="0"/>
    <s v="0801468-91.2021.8.15.0371"/>
    <s v="ROBERIANIA GOMES DA SILVA"/>
    <s v="MUNICIPIO DE SOUSA"/>
    <x v="1"/>
    <s v="021.205.144-02"/>
    <x v="5"/>
    <s v="LAUDO DE INSALUBRIDADE E/OU PERICULOSIDADE, CONFORME NORMAS DA ABNT RESPECTIVAS"/>
    <n v="11"/>
    <n v="370"/>
    <n v="370"/>
    <s v="OK"/>
    <m/>
    <m/>
    <s v=""/>
    <s v=""/>
    <x v="122"/>
    <n v="370"/>
    <n v="0"/>
  </r>
  <r>
    <s v="358"/>
    <d v="2021-11-22T00:00:00"/>
    <s v="2021148542"/>
    <x v="42"/>
    <x v="12"/>
    <s v="0801577-29.2020.815.0731"/>
    <s v="WALDECY POMPILIO_x000a_DE SOUZA"/>
    <s v=" BANCO ITAU S.A."/>
    <x v="1"/>
    <s v="021.205.144-02"/>
    <x v="1"/>
    <s v="LAUDO GRAFOTÉCNICO"/>
    <n v="1"/>
    <n v="300"/>
    <n v="300"/>
    <s v="OK"/>
    <m/>
    <m/>
    <s v=""/>
    <s v=""/>
    <x v="123"/>
    <n v="300"/>
    <n v="0"/>
  </r>
  <r>
    <s v="359"/>
    <d v="2021-11-29T00:00:00"/>
    <s v="2021151089"/>
    <x v="20"/>
    <x v="10"/>
    <s v="0803695-54.2016.815.0751"/>
    <s v="SINDICATO DOS TRABALHADORES MUNICIPAL DE BAYEUX"/>
    <s v="ANTONIO FERREIRA LIMA NETO e Outro"/>
    <x v="98"/>
    <s v="011.948.398-00"/>
    <x v="6"/>
    <s v="LAUDO EM AÇÃO REVISIONAL ENVOLVENDO NEGÓCIOS BANCÁRIOS ATÉ 4 (QUATRO) CONTRATOS"/>
    <n v="2"/>
    <n v="370"/>
    <n v="370"/>
    <s v="OK"/>
    <m/>
    <m/>
    <s v=""/>
    <s v=""/>
    <x v="124"/>
    <n v="370"/>
    <n v="0"/>
  </r>
  <r>
    <s v="360"/>
    <d v="2021-11-30T00:00:00"/>
    <s v="2021152475"/>
    <x v="59"/>
    <x v="26"/>
    <s v="0800270-06.2018.8.15.0571"/>
    <s v="SANDRO_x000a_RODRIGUES FERRAZ"/>
    <s v="MUNICÍPIO DE PEDRAS DE FOGO"/>
    <x v="60"/>
    <s v="097.100.844-29"/>
    <x v="5"/>
    <s v="LAUDO DE INSALUBRIDADE E/OU PERICULOSIDADE, CONFORME NORMAS DA ABNT RESPECTIVAS"/>
    <n v="11"/>
    <n v="370"/>
    <n v="270"/>
    <s v="OK"/>
    <m/>
    <m/>
    <s v=""/>
    <s v=""/>
    <x v="125"/>
    <n v="270"/>
    <n v="0"/>
  </r>
  <r>
    <s v="361"/>
    <d v="2021-11-30T00:00:00"/>
    <s v="2021152426"/>
    <x v="59"/>
    <x v="26"/>
    <s v="0800081-57.2020.8.15.0571"/>
    <s v="JACIENE_x000a_BATISTA DE OLIVEIRA"/>
    <s v="MUNICÍPIO DE PEDRAS DE FOGO"/>
    <x v="60"/>
    <s v="097.100.844-29"/>
    <x v="5"/>
    <s v="LAUDO DE INSALUBRIDADE E/OU PERICULOSIDADE, CONFORME NORMAS DA ABNT RESPECTIVAS"/>
    <n v="11"/>
    <n v="370"/>
    <n v="270"/>
    <s v="OK"/>
    <m/>
    <m/>
    <s v=""/>
    <s v=""/>
    <x v="125"/>
    <n v="270"/>
    <n v="0"/>
  </r>
  <r>
    <s v="362"/>
    <d v="2021-11-30T00:00:00"/>
    <s v="2021152346"/>
    <x v="59"/>
    <x v="26"/>
    <s v="º 0000258-93.2016.8.15.0571"/>
    <s v=" IVANILDA DE_x000a_ANDRADE PONCE LORDAO"/>
    <s v="MUNICÍPIO DE PEDRAS DE FOGO"/>
    <x v="60"/>
    <s v="097.100.844-29"/>
    <x v="5"/>
    <s v="LAUDO DE INSALUBRIDADE E/OU PERICULOSIDADE, CONFORME NORMAS DA ABNT RESPECTIVAS"/>
    <n v="11"/>
    <n v="370"/>
    <n v="270"/>
    <s v="OK"/>
    <m/>
    <m/>
    <s v=""/>
    <s v=""/>
    <x v="125"/>
    <n v="270"/>
    <n v="0"/>
  </r>
  <r>
    <s v="363"/>
    <d v="2021-11-30T00:00:00"/>
    <s v="2021152395"/>
    <x v="59"/>
    <x v="26"/>
    <s v="0000374-70.2014.8.15.0571"/>
    <s v="CARLOS_x000a_ROBERTO DE MENDONCA"/>
    <s v="MUNICÍPIO DE PEDRAS DE FOGO"/>
    <x v="60"/>
    <s v="097.100.844-29"/>
    <x v="5"/>
    <s v="LAUDO DE INSALUBRIDADE E/OU PERICULOSIDADE, CONFORME NORMAS DA ABNT RESPECTIVAS"/>
    <n v="11"/>
    <n v="370"/>
    <n v="270"/>
    <s v="OK"/>
    <m/>
    <m/>
    <s v=""/>
    <s v=""/>
    <x v="125"/>
    <n v="270"/>
    <n v="0"/>
  </r>
  <r>
    <s v="364"/>
    <d v="2021-11-30T00:00:00"/>
    <s v="2021152459"/>
    <x v="59"/>
    <x v="26"/>
    <s v=" 0800232-91.2018.8.15.0571"/>
    <s v=" EDLENE_x000a_FRANCISCA SILVA DE VASCONCELOS"/>
    <s v="MUNICÍPIO DE PEDRAS DE FOGO"/>
    <x v="60"/>
    <s v="097.100.844-29"/>
    <x v="5"/>
    <s v="LAUDO DE INSALUBRIDADE E/OU PERICULOSIDADE, CONFORME NORMAS DA ABNT RESPECTIVAS"/>
    <n v="11"/>
    <n v="370"/>
    <n v="270"/>
    <s v="OK"/>
    <m/>
    <m/>
    <s v=""/>
    <s v=""/>
    <x v="125"/>
    <n v="270"/>
    <n v="0"/>
  </r>
  <r>
    <s v="365"/>
    <d v="2021-11-30T00:00:00"/>
    <s v="2021152491"/>
    <x v="59"/>
    <x v="26"/>
    <s v="0800439-90.2018.8.15.0571"/>
    <s v="EDIMILSON_x000a_FELIX DE MENDONCA"/>
    <s v="MUNICÍPIO DE PEDRAS DE FOGO"/>
    <x v="60"/>
    <s v="097.100.844-29"/>
    <x v="5"/>
    <s v="LAUDO DE INSALUBRIDADE E/OU PERICULOSIDADE, CONFORME NORMAS DA ABNT RESPECTIVAS"/>
    <n v="11"/>
    <n v="370"/>
    <n v="270"/>
    <s v="OK"/>
    <m/>
    <m/>
    <s v=""/>
    <s v=""/>
    <x v="125"/>
    <n v="270"/>
    <n v="0"/>
  </r>
  <r>
    <s v="366"/>
    <d v="2021-11-30T00:00:00"/>
    <s v="2021152442"/>
    <x v="59"/>
    <x v="26"/>
    <s v="0800091-72.2018.8.15.0571"/>
    <s v="HUGO_x000a_LEONARDO ANDRADE DA ROCHA"/>
    <s v="MUNICÍPIO DE PEDRAS DE FOGO"/>
    <x v="60"/>
    <s v="097.100.844-29"/>
    <x v="5"/>
    <s v="LAUDO DE INSALUBRIDADE E/OU PERICULOSIDADE, CONFORME NORMAS DA ABNT RESPECTIVAS"/>
    <n v="11"/>
    <n v="370"/>
    <n v="270"/>
    <s v="OK"/>
    <m/>
    <m/>
    <s v=""/>
    <s v=""/>
    <x v="125"/>
    <n v="270"/>
    <n v="0"/>
  </r>
  <r>
    <s v="367"/>
    <d v="2021-11-30T00:00:00"/>
    <s v="2021152506"/>
    <x v="59"/>
    <x v="26"/>
    <s v="0800490-04.2018.8.15.0571"/>
    <s v="JOSINEIDE_x000a_BORGES OLIVEIRA DA SILVA"/>
    <s v="MUNICÍPIO DE PEDRAS DE FOGO"/>
    <x v="60"/>
    <s v="097.100.844-29"/>
    <x v="5"/>
    <s v="LAUDO DE INSALUBRIDADE E/OU PERICULOSIDADE, CONFORME NORMAS DA ABNT RESPECTIVAS"/>
    <n v="11"/>
    <n v="370"/>
    <n v="270"/>
    <s v="OK"/>
    <m/>
    <m/>
    <s v=""/>
    <s v=""/>
    <x v="125"/>
    <n v="270"/>
    <n v="0"/>
  </r>
  <r>
    <s v="368"/>
    <d v="2021-11-30T00:00:00"/>
    <s v="2021152563"/>
    <x v="59"/>
    <x v="26"/>
    <s v="0800671-68.2019.8.15.0571"/>
    <s v=" MOSELITA_x000a_MISAEL DE SOUZA"/>
    <s v="MUNICÍPIO DE PEDRAS DE FOGO"/>
    <x v="60"/>
    <s v="097.100.844-29"/>
    <x v="5"/>
    <s v="LAUDO DE INSALUBRIDADE E/OU PERICULOSIDADE, CONFORME NORMAS DA ABNT RESPECTIVAS"/>
    <n v="11"/>
    <n v="370"/>
    <n v="270"/>
    <s v="OK"/>
    <m/>
    <m/>
    <s v=""/>
    <s v=""/>
    <x v="125"/>
    <n v="270"/>
    <n v="0"/>
  </r>
  <r>
    <s v="369"/>
    <d v="2021-11-30T00:00:00"/>
    <s v="2021152539"/>
    <x v="59"/>
    <x v="26"/>
    <s v="0800659-54.2019.8.15.0571"/>
    <s v="RENATA_x000a_LYGIA MACEDO VIANA DE ANDRADE"/>
    <s v="MUNICÍPIO DE PEDRAS DE FOGO"/>
    <x v="60"/>
    <s v="097.100.844-29"/>
    <x v="5"/>
    <s v="LAUDO DE INSALUBRIDADE E/OU PERICULOSIDADE, CONFORME NORMAS DA ABNT RESPECTIVAS"/>
    <n v="11"/>
    <n v="370"/>
    <n v="270"/>
    <s v="OK"/>
    <m/>
    <m/>
    <s v=""/>
    <s v=""/>
    <x v="125"/>
    <n v="270"/>
    <n v="0"/>
  </r>
  <r>
    <s v="370"/>
    <d v="2021-11-30T00:00:00"/>
    <s v="2021152522"/>
    <x v="59"/>
    <x v="26"/>
    <s v="0800658-69.2019.8.15.0571"/>
    <s v="R MIRIAN_x000a_REGINA REICHERT MARTINS"/>
    <s v="MUNICÍPIO DE PEDRAS DE FOGO"/>
    <x v="60"/>
    <s v="097.100.844-29"/>
    <x v="5"/>
    <s v="LAUDO DE INSALUBRIDADE E/OU PERICULOSIDADE, CONFORME NORMAS DA ABNT RESPECTIVAS"/>
    <n v="11"/>
    <n v="370"/>
    <n v="270"/>
    <s v="OK"/>
    <m/>
    <m/>
    <s v=""/>
    <s v=""/>
    <x v="125"/>
    <n v="270"/>
    <n v="0"/>
  </r>
  <r>
    <s v="371"/>
    <d v="2021-11-30T00:00:00"/>
    <s v="2021152547"/>
    <x v="59"/>
    <x v="26"/>
    <s v="0800663-91.2019.8.15.0571"/>
    <s v="RAIMUNDA_x000a_JEAN RODRIGUES CUNHA"/>
    <s v="MUNICÍPIO DE PEDRAS DE FOGO"/>
    <x v="60"/>
    <s v="097.100.844-29"/>
    <x v="5"/>
    <s v="LAUDO DE INSALUBRIDADE E/OU PERICULOSIDADE, CONFORME NORMAS DA ABNT RESPECTIVAS"/>
    <n v="11"/>
    <n v="370"/>
    <n v="270"/>
    <s v="OK"/>
    <m/>
    <m/>
    <s v=""/>
    <s v=""/>
    <x v="125"/>
    <n v="270"/>
    <n v="0"/>
  </r>
  <r>
    <s v="372"/>
    <d v="2021-11-30T00:00:00"/>
    <s v="2021152555"/>
    <x v="59"/>
    <x v="26"/>
    <s v=" 0800668-16.2019.8.15.0571"/>
    <s v="  MARIA JOSE_x000a_DA CONCEICAO"/>
    <s v="MUNICÍPIO DE PEDRAS DE FOGO"/>
    <x v="60"/>
    <s v="097.100.844-29"/>
    <x v="5"/>
    <s v="LAUDO DE INSALUBRIDADE E/OU PERICULOSIDADE, CONFORME NORMAS DA ABNT RESPECTIVAS"/>
    <n v="11"/>
    <n v="370"/>
    <n v="270"/>
    <s v="OK"/>
    <m/>
    <m/>
    <s v=""/>
    <s v=""/>
    <x v="125"/>
    <n v="270"/>
    <n v="0"/>
  </r>
  <r>
    <s v="373"/>
    <d v="2021-12-01T00:00:00"/>
    <s v="2021152792"/>
    <x v="56"/>
    <x v="9"/>
    <s v="0808480-81.2019.8.15.2003"/>
    <s v="ELISANGELA_x000a_PESSOA DA SILVA"/>
    <s v="MUNICÍPIO DE BANCO ITAU CONSIGNADO S.A. e ITAU UNIBANCO HOLDING_x000a_S.A. "/>
    <x v="1"/>
    <s v="021.205.144-02"/>
    <x v="1"/>
    <s v="LAUDO GRAFOTÉCNICO"/>
    <n v="1"/>
    <n v="370"/>
    <n v="300"/>
    <s v="OK"/>
    <m/>
    <m/>
    <s v=""/>
    <s v=""/>
    <x v="126"/>
    <n v="300"/>
    <n v="0"/>
  </r>
  <r>
    <s v="374"/>
    <d v="2021-12-01T00:00:00"/>
    <s v="2021152830"/>
    <x v="59"/>
    <x v="26"/>
    <s v="0800440-75.2018.8.15.0571"/>
    <s v="MARIA JOSE_x000a_BARBOSA DA SILVA"/>
    <s v="MUNICÍPIO DE PEDRAS DE FOGO"/>
    <x v="60"/>
    <s v="097.100.844-29"/>
    <x v="5"/>
    <s v="LAUDO DE INSALUBRIDADE E/OU PERICULOSIDADE, CONFORME NORMAS DA ABNT RESPECTIVAS"/>
    <n v="11"/>
    <n v="370"/>
    <n v="270"/>
    <s v="OK"/>
    <m/>
    <m/>
    <s v=""/>
    <s v=""/>
    <x v="126"/>
    <n v="270"/>
    <n v="0"/>
  </r>
  <r>
    <s v="375"/>
    <d v="2021-12-01T00:00:00"/>
    <s v="2021152872"/>
    <x v="59"/>
    <x v="26"/>
    <s v="0800035-73.2017.8.15.0571"/>
    <s v="SUELY MARIA_x000a_DA CONCEICAO"/>
    <s v="MUNICÍPIO DE PEDRAS DE FOGO"/>
    <x v="60"/>
    <s v="097.100.844-29"/>
    <x v="5"/>
    <s v="LAUDO DE INSALUBRIDADE E/OU PERICULOSIDADE, CONFORME NORMAS DA ABNT RESPECTIVAS"/>
    <n v="11"/>
    <n v="370"/>
    <n v="270"/>
    <s v="OK"/>
    <m/>
    <m/>
    <s v=""/>
    <s v=""/>
    <x v="126"/>
    <n v="270"/>
    <n v="0"/>
  </r>
  <r>
    <s v="376"/>
    <d v="2021-12-01T00:00:00"/>
    <s v="2021152864"/>
    <x v="59"/>
    <x v="26"/>
    <s v="0800080-72.2020.8.15.0571"/>
    <s v="NEIDE_x000a_MARCOS"/>
    <s v="MUNICÍPIO DE PEDRAS DE FOGO"/>
    <x v="60"/>
    <s v="097.100.844-29"/>
    <x v="5"/>
    <s v="LAUDO DE INSALUBRIDADE E/OU PERICULOSIDADE, CONFORME NORMAS DA ABNT RESPECTIVAS"/>
    <n v="11"/>
    <n v="370"/>
    <n v="270"/>
    <s v="OK"/>
    <m/>
    <m/>
    <s v=""/>
    <s v=""/>
    <x v="126"/>
    <n v="270"/>
    <n v="0"/>
  </r>
  <r>
    <s v="377"/>
    <d v="2021-11-09T00:00:00"/>
    <s v="2021144207"/>
    <x v="41"/>
    <x v="11"/>
    <s v="0804808-31.2021.815.0181"/>
    <s v="Maria da Silva Soares"/>
    <s v="Banco C6_x000a_Consignado"/>
    <x v="1"/>
    <s v="021.205.144-02"/>
    <x v="1"/>
    <s v="LAUDO GRAFOTÉCNICO"/>
    <n v="1"/>
    <n v="300"/>
    <n v="300"/>
    <s v="OK"/>
    <m/>
    <m/>
    <s v=""/>
    <s v=""/>
    <x v="127"/>
    <n v="300"/>
    <n v="0"/>
  </r>
  <r>
    <s v="378"/>
    <d v="2021-10-28T00:00:00"/>
    <s v="2021140074"/>
    <x v="29"/>
    <x v="4"/>
    <s v="0803893-71.2020.8.15.0001"/>
    <s v="AILMA DE MACEDO RODRIGUES"/>
    <s v="OSMAR DA SILVA MACEDO"/>
    <x v="99"/>
    <s v="275.900.448-14"/>
    <x v="4"/>
    <m/>
    <n v="16"/>
    <n v="300"/>
    <n v="300"/>
    <s v="OK"/>
    <m/>
    <m/>
    <s v=""/>
    <s v=""/>
    <x v="128"/>
    <n v="300"/>
    <n v="0"/>
  </r>
  <r>
    <s v="379"/>
    <d v="2021-10-28T00:00:00"/>
    <s v="2021140099"/>
    <x v="29"/>
    <x v="4"/>
    <s v="0834613-21.2020.8.15.0001"/>
    <s v="ISABEL CRISTINA NASCIMENTO_x000a_DOS SANTOS"/>
    <s v="YAN EMANOEL NASCIMENTO DA SILVA_x000a_"/>
    <x v="99"/>
    <s v="275.900.448-14"/>
    <x v="4"/>
    <m/>
    <n v="16"/>
    <n v="300"/>
    <n v="300"/>
    <s v="OK"/>
    <m/>
    <m/>
    <s v=""/>
    <s v=""/>
    <x v="128"/>
    <n v="300"/>
    <n v="0"/>
  </r>
  <r>
    <s v="380"/>
    <d v="2021-10-28T00:00:00"/>
    <s v="2021140082"/>
    <x v="29"/>
    <x v="4"/>
    <s v="0811360-04.2020.8.15.0001"/>
    <s v="RIAN BARRETO DE BRITO"/>
    <s v="LEONARA DOS SANTOS QUEIROZ"/>
    <x v="99"/>
    <s v="275.900.448-14"/>
    <x v="4"/>
    <m/>
    <n v="16"/>
    <n v="300"/>
    <n v="300"/>
    <s v="OK"/>
    <m/>
    <m/>
    <s v=""/>
    <s v=""/>
    <x v="128"/>
    <n v="300"/>
    <n v="0"/>
  </r>
  <r>
    <s v="381"/>
    <d v="2021-10-19T00:00:00"/>
    <s v="2021135780"/>
    <x v="29"/>
    <x v="4"/>
    <s v=" 0805033-_x000a_09.2021.8.15.0001"/>
    <s v=" MARIA GORETTE DA SILVA LEITE"/>
    <s v="JOÃO PAULO DA SILVA"/>
    <x v="100"/>
    <s v="061.473.314-69"/>
    <x v="1"/>
    <s v="LAUDO GRAFOTÉCNICO"/>
    <n v="1"/>
    <n v="300"/>
    <n v="300"/>
    <s v="OK"/>
    <m/>
    <m/>
    <s v=""/>
    <s v=""/>
    <x v="128"/>
    <n v="300"/>
    <n v="0"/>
  </r>
  <r>
    <s v="382"/>
    <d v="2021-12-06T00:00:00"/>
    <s v="2021155324"/>
    <x v="41"/>
    <x v="11"/>
    <s v="0804437-_x000a_67.2021.8.15.0181"/>
    <s v="MARIA DO LIVRAMENTO DA COSTA"/>
    <s v="BP PROMOTORA DE_x000a_VENDAS LTDA."/>
    <x v="1"/>
    <s v="021.205.144-02"/>
    <x v="1"/>
    <s v="LAUDO GRAFOTÉCNICO"/>
    <n v="1"/>
    <n v="300"/>
    <n v="300"/>
    <s v="OK"/>
    <m/>
    <m/>
    <s v=""/>
    <s v=""/>
    <x v="129"/>
    <n v="300"/>
    <n v="0"/>
  </r>
  <r>
    <s v="383"/>
    <d v="2021-12-06T00:00:00"/>
    <s v="2021155252"/>
    <x v="41"/>
    <x v="11"/>
    <s v="0804932-14.2021.8.15.0181"/>
    <s v="SEVERINO PORFIRIO SOBRINHO"/>
    <s v="BANCO BMG S.A"/>
    <x v="1"/>
    <s v="021.205.144-02"/>
    <x v="1"/>
    <s v="LAUDO GRAFOTÉCNICO"/>
    <n v="1"/>
    <n v="300"/>
    <n v="300"/>
    <s v="OK"/>
    <m/>
    <m/>
    <s v=""/>
    <s v=""/>
    <x v="129"/>
    <n v="300"/>
    <n v="0"/>
  </r>
  <r>
    <s v="384"/>
    <d v="2021-12-09T00:00:00"/>
    <s v="2021156876"/>
    <x v="42"/>
    <x v="12"/>
    <s v="0001816-47.2012.8.15.0731"/>
    <s v="MARIA DAS DORES ROSELY FALCONI DE OLIVEIRA"/>
    <s v="ARTUR CORREIA DE BRITO FILHO"/>
    <x v="1"/>
    <s v="021.205.144-02"/>
    <x v="1"/>
    <s v="LAUDO GRAFOTÉCNICO"/>
    <n v="1"/>
    <n v="300"/>
    <n v="300"/>
    <s v="OK"/>
    <m/>
    <m/>
    <s v=""/>
    <s v=""/>
    <x v="130"/>
    <n v="300"/>
    <n v="0"/>
  </r>
  <r>
    <s v="385"/>
    <d v="2021-12-08T00:00:00"/>
    <s v="2021156663"/>
    <x v="41"/>
    <x v="11"/>
    <s v="0804466-20.2021.8.15.0181"/>
    <s v=" ANÁLIA_x000a_GOMES DE SANTANA"/>
    <s v="BANCO AGIBANK S/A."/>
    <x v="1"/>
    <s v="021.205.144-02"/>
    <x v="1"/>
    <s v="LAUDO GRAFOTÉCNICO"/>
    <n v="1"/>
    <n v="300"/>
    <n v="300"/>
    <s v="OK"/>
    <m/>
    <m/>
    <s v=""/>
    <s v=""/>
    <x v="130"/>
    <n v="300"/>
    <n v="0"/>
  </r>
  <r>
    <s v="386"/>
    <d v="2021-03-08T00:00:00"/>
    <s v="2021032548"/>
    <x v="14"/>
    <x v="9"/>
    <s v="0844820-35.2016.8.15.2001"/>
    <s v="JOAO FAGUNDES DO NASCIMENTO"/>
    <s v="DISAL ADMINISTRADORA DE CONSORCIOS LTDA"/>
    <x v="40"/>
    <s v="160.702.754-20"/>
    <x v="6"/>
    <s v="OUTROS"/>
    <n v="5"/>
    <n v="370"/>
    <n v="1850"/>
    <s v="OK"/>
    <m/>
    <m/>
    <s v=""/>
    <s v=""/>
    <x v="131"/>
    <n v="1850"/>
    <n v="0"/>
  </r>
  <r>
    <s v="387"/>
    <d v="2021-11-11T00:00:00"/>
    <s v="2021145159"/>
    <x v="46"/>
    <x v="4"/>
    <s v=" 0826206-60.2019.8.15.0001"/>
    <s v="MARIA DO SOCORRO LIMA CRUZ"/>
    <s v="HERON ANDRADE MARINHO LMF CONSTRUÇÕES LTDA"/>
    <x v="33"/>
    <s v="027.494.154-62"/>
    <x v="5"/>
    <s v="LAUDO PERICIAL DAS CONDIÇÕES ESTRUTURAIS DE SEGURNÇA E SOLIDEZ DE IMÓVEL, CONFORME NORMA DA ABNT RESPECTIVAS"/>
    <n v="8"/>
    <n v="370"/>
    <n v="1400"/>
    <s v="OK"/>
    <m/>
    <m/>
    <s v=""/>
    <s v=""/>
    <x v="131"/>
    <n v="1400"/>
    <n v="0"/>
  </r>
  <r>
    <s v="388"/>
    <d v="2021-11-08T00:00:00"/>
    <s v="2021143064"/>
    <x v="41"/>
    <x v="11"/>
    <s v="0800449-86.2019.8.15.0511"/>
    <s v="Damiana Rodrigues Cordeiro"/>
    <s v="BANCO PAN."/>
    <x v="1"/>
    <s v="021.205.144-02"/>
    <x v="1"/>
    <s v="LAUDO GRAFOTÉCNICO"/>
    <n v="1"/>
    <n v="300"/>
    <n v="370"/>
    <s v="OK"/>
    <m/>
    <m/>
    <s v=""/>
    <s v=""/>
    <x v="131"/>
    <n v="370"/>
    <n v="0"/>
  </r>
  <r>
    <s v="389"/>
    <d v="2021-11-25T00:00:00"/>
    <s v="2021150545"/>
    <x v="35"/>
    <x v="4"/>
    <s v="0809665-54.2016.8.15.0001"/>
    <s v="Anderson Samuel da Silva"/>
    <s v="Marcello de Macedo Freire Duarte."/>
    <x v="101"/>
    <s v="095.711.584-96"/>
    <x v="5"/>
    <s v="OUTRAS"/>
    <n v="12"/>
    <n v="370"/>
    <n v="1150"/>
    <s v="OK"/>
    <m/>
    <m/>
    <s v=""/>
    <s v=""/>
    <x v="131"/>
    <n v="1150"/>
    <n v="0"/>
  </r>
  <r>
    <s v="390"/>
    <d v="2020-07-16T00:00:00"/>
    <s v="2020103603"/>
    <x v="17"/>
    <x v="4"/>
    <s v="0809595-71.2015.815.0001"/>
    <s v="SIMONE RAMALHO DE_x000a_ARAUJO"/>
    <s v="RAUL AGRIPINO SANTOS e BANCO DO BRASIL S.A"/>
    <x v="102"/>
    <s v="032.595.324-47"/>
    <x v="5"/>
    <s v="LAUDO PERICIAL DAS CONDIÇÕES ESTRUTURAIS DE SEGURNÇA E SOLIDEZ DE IMÓVEL, CONFORME NORMA DA ABNT RESPECTIVAS"/>
    <n v="8"/>
    <n v="370"/>
    <n v="740"/>
    <s v="OK"/>
    <m/>
    <m/>
    <s v=""/>
    <s v=""/>
    <x v="131"/>
    <n v="740"/>
    <n v="0"/>
  </r>
  <r>
    <s v="391"/>
    <d v="2021-08-31T00:00:00"/>
    <s v="2021113127"/>
    <x v="34"/>
    <x v="9"/>
    <s v="0840387-_x000a_80.2019.8.15.2001"/>
    <s v="JOÃO EVANGELISTA VITAL"/>
    <s v="SABEMI SEGURADORA S.A."/>
    <x v="2"/>
    <s v="027.962.114.01"/>
    <x v="6"/>
    <s v="LAUDO EM AÇÃO REVISIONAL ENVOLVENDO NEGÓCIOS BANCÁRIOS ATÉ 4 (QUATRO) CONTRATOS"/>
    <n v="2"/>
    <n v="370"/>
    <n v="388.21"/>
    <s v="OK"/>
    <m/>
    <m/>
    <s v=""/>
    <s v=""/>
    <x v="131"/>
    <n v="388.21"/>
    <n v="0"/>
  </r>
  <r>
    <s v="392"/>
    <d v="2021-09-22T00:00:00"/>
    <s v="2021123287"/>
    <x v="55"/>
    <x v="4"/>
    <s v="0815952-33.2016.8.15.0001"/>
    <s v="L. V. B. B. e outra"/>
    <s v="MUNICIPIO DE CAMPINA GRANDE e outro"/>
    <x v="103"/>
    <s v="424.255.904-63"/>
    <x v="0"/>
    <s v="OUTRAS"/>
    <n v="15"/>
    <n v="370"/>
    <n v="1110"/>
    <s v="OK"/>
    <m/>
    <m/>
    <s v=""/>
    <s v=""/>
    <x v="131"/>
    <n v="1110"/>
    <n v="0"/>
  </r>
  <r>
    <s v="393"/>
    <d v="2021-03-16T00:00:00"/>
    <s v="2021035794"/>
    <x v="4"/>
    <x v="0"/>
    <s v="0802207-06.2017.8.15.0371"/>
    <s v="JULIANA QUEIROGA DE OLIVEIRA"/>
    <s v="MUNICIPIO_x000a_DE SOUSA"/>
    <x v="1"/>
    <s v="021.205.144-02"/>
    <x v="5"/>
    <s v="LAUDO DE INSALUBRIDADE E/OU PERICULOSIDADE, CONFORME NORMAS DA ABNT RESPECTIVAS"/>
    <n v="8"/>
    <n v="370"/>
    <n v="622"/>
    <s v="OK"/>
    <m/>
    <m/>
    <s v=""/>
    <s v=""/>
    <x v="131"/>
    <n v="622"/>
    <n v="0"/>
  </r>
  <r>
    <s v="394"/>
    <d v="2021-12-09T00:00:00"/>
    <s v="2021157318"/>
    <x v="41"/>
    <x v="11"/>
    <s v=" 0804959-31.2020.8.15.0181"/>
    <s v="JOSEFA MARTINS DO NASCIMENTO"/>
    <s v="BANCO MERCANTIL DO BRASIL S.A"/>
    <x v="1"/>
    <s v="021.205.144-02"/>
    <x v="1"/>
    <s v="LAUDO GRAFOTÉCNICO"/>
    <n v="1"/>
    <n v="300"/>
    <n v="300"/>
    <s v="OK"/>
    <m/>
    <m/>
    <s v=""/>
    <s v=""/>
    <x v="131"/>
    <n v="300"/>
    <n v="0"/>
  </r>
  <r>
    <s v="395"/>
    <d v="2021-12-09T00:00:00"/>
    <s v="2021157295"/>
    <x v="41"/>
    <x v="11"/>
    <s v="0800209-49.2021.815.0181"/>
    <s v="Sergio Novaque"/>
    <s v=" Município de Guarabira"/>
    <x v="1"/>
    <s v="021.205.144-02"/>
    <x v="5"/>
    <s v="LAUDO DE INSALUBRIDADE E/OU PERICULOSIDADE, CONFORME NORMAS DA ABNT RESPECTIVAS"/>
    <n v="8"/>
    <n v="300"/>
    <n v="370"/>
    <s v="OK"/>
    <m/>
    <m/>
    <s v=""/>
    <s v=""/>
    <x v="131"/>
    <n v="370"/>
    <n v="0"/>
  </r>
  <r>
    <s v="396"/>
    <d v="2021-03-25T00:00:00"/>
    <s v="2021039922"/>
    <x v="60"/>
    <x v="9"/>
    <s v="0000104-_x000a_66.2021.815.0000"/>
    <s v="Luzivaldo Gadelha Silvestre"/>
    <s v=" Banco Itaú Consignado S.A. "/>
    <x v="104"/>
    <m/>
    <x v="6"/>
    <s v="LAUDO EM AÇÃO REVISIONAL ENVOLVENDO NEGÓCIOS BANCÁRIOS ATÉ 4 (QUATRO) CONTRATOS"/>
    <n v="2"/>
    <n v="370"/>
    <n v="900"/>
    <s v="OK"/>
    <m/>
    <m/>
    <s v=""/>
    <s v=""/>
    <x v="131"/>
    <n v="900"/>
    <n v="0"/>
  </r>
  <r>
    <s v="397"/>
    <d v="2021-12-10T00:00:00"/>
    <s v="2021157650"/>
    <x v="1"/>
    <x v="1"/>
    <s v="0807708-68.2021.8.15.0251"/>
    <s v="CLODOALDO_x000a_RIBEIRO DA SILVA"/>
    <s v="INSS"/>
    <x v="96"/>
    <s v="759.709.294-68"/>
    <x v="0"/>
    <s v="LAUDO EM INTERDIÇÃO/DNA"/>
    <n v="13"/>
    <n v="370"/>
    <n v="370"/>
    <s v="OK"/>
    <m/>
    <m/>
    <s v=""/>
    <s v=""/>
    <x v="132"/>
    <n v="370"/>
    <n v="0"/>
  </r>
  <r>
    <s v="398"/>
    <d v="2021-12-10T00:00:00"/>
    <s v="2021157535"/>
    <x v="41"/>
    <x v="11"/>
    <s v="0000967-85.2014.8.15.0511"/>
    <s v="EDNALDO FREIRE DE SOUZA"/>
    <s v="BANCO BMG AS"/>
    <x v="1"/>
    <s v="021.205.144-02"/>
    <x v="1"/>
    <s v="LAUDO GRAFOTÉCNICO"/>
    <n v="1"/>
    <n v="300"/>
    <n v="300"/>
    <s v="OK"/>
    <m/>
    <m/>
    <s v=""/>
    <s v=""/>
    <x v="132"/>
    <n v="300"/>
    <n v="0"/>
  </r>
  <r>
    <s v="399"/>
    <d v="2021-12-09T00:00:00"/>
    <s v="2021157037"/>
    <x v="41"/>
    <x v="11"/>
    <s v="0801763-19.2021.8.15.0181"/>
    <s v="MARIA DE LOURDES OLERIANO_x000a_DOS SANTOS"/>
    <s v="BANCO BRADESCO AS"/>
    <x v="1"/>
    <s v="021.205.144-02"/>
    <x v="1"/>
    <s v="LAUDO GRAFOTÉCNICO"/>
    <n v="1"/>
    <n v="300"/>
    <n v="300"/>
    <s v="OK"/>
    <m/>
    <m/>
    <s v=""/>
    <s v=""/>
    <x v="132"/>
    <n v="300"/>
    <n v="0"/>
  </r>
  <r>
    <s v="400"/>
    <d v="2021-12-09T00:00:00"/>
    <s v="2021156997"/>
    <x v="41"/>
    <x v="11"/>
    <s v="0804357-06.2021.8.15.0181"/>
    <s v="RITA DOS SANTOS_x000a_PAULINO"/>
    <s v=" Banco C6 Consignado"/>
    <x v="1"/>
    <s v="021.205.144-02"/>
    <x v="1"/>
    <s v="LAUDO GRAFOTÉCNICO"/>
    <n v="1"/>
    <n v="300"/>
    <n v="300"/>
    <s v="OK"/>
    <m/>
    <m/>
    <s v=""/>
    <s v=""/>
    <x v="132"/>
    <n v="300"/>
    <n v="0"/>
  </r>
  <r>
    <s v="401"/>
    <d v="2021-12-14T00:00:00"/>
    <s v="2021158808"/>
    <x v="1"/>
    <x v="1"/>
    <s v="0801285-92.2021.8.15.0251"/>
    <s v="JOSE PERAZZO_x000a_MONTENEGRO"/>
    <s v="INSS"/>
    <x v="96"/>
    <s v="759.709.294-68"/>
    <x v="0"/>
    <s v="LAUDO EM INTERDIÇÃO/DNA"/>
    <n v="13"/>
    <n v="370"/>
    <n v="370"/>
    <s v="OK"/>
    <m/>
    <m/>
    <s v=""/>
    <s v=""/>
    <x v="133"/>
    <n v="370"/>
    <n v="0"/>
  </r>
  <r>
    <s v="402"/>
    <d v="2021-12-15T00:00:00"/>
    <s v="2021159608"/>
    <x v="1"/>
    <x v="1"/>
    <s v="0803998-40.2021.8.15.0251"/>
    <s v="FRANCISCO DE ASSIS ARAUJO DA_x000a_SILVA"/>
    <s v="Banco C6 Consignado"/>
    <x v="1"/>
    <s v="021.205.144-02"/>
    <x v="1"/>
    <s v="LAUDO GRAFOTÉCNICO"/>
    <n v="1"/>
    <n v="300"/>
    <n v="300"/>
    <s v="OK"/>
    <m/>
    <m/>
    <s v=""/>
    <s v=""/>
    <x v="134"/>
    <n v="300"/>
    <n v="0"/>
  </r>
  <r>
    <s v="403"/>
    <d v="2021-12-15T00:00:00"/>
    <s v="2021159325"/>
    <x v="28"/>
    <x v="16"/>
    <s v="0000555-60.2016.8.15.0261"/>
    <s v=" ROZENO PEDRO LUIZ E_x000a_NADIR SINHORINHA PESSOA LUIZ"/>
    <s v=" ROGÉRIO LUIZ PESSOA"/>
    <x v="34"/>
    <s v="061.721.584-73"/>
    <x v="0"/>
    <s v="LAUDO EM INTERDIÇÃO/DNA"/>
    <n v="13"/>
    <n v="370"/>
    <n v="370"/>
    <s v="OK"/>
    <m/>
    <m/>
    <s v=""/>
    <s v=""/>
    <x v="134"/>
    <n v="370"/>
    <n v="0"/>
  </r>
  <r>
    <s v="404"/>
    <d v="2021-12-16T00:00:00"/>
    <s v="2021160153"/>
    <x v="41"/>
    <x v="11"/>
    <s v="0000260-59.2010.8.15.0511"/>
    <s v="SERVERINO RAMOS DA COSTA"/>
    <s v="MUNICIPIO DE SERTAOZINHO"/>
    <x v="1"/>
    <s v="021.205.144-02"/>
    <x v="5"/>
    <s v="LAUDO DE INSALUBRIDADE E/OU PERICULOSIDADE, CONFORME NORMAS DA ABNT RESPECTIVAS"/>
    <n v="8"/>
    <n v="370"/>
    <n v="370"/>
    <s v="OK"/>
    <m/>
    <m/>
    <s v=""/>
    <s v=""/>
    <x v="134"/>
    <n v="370"/>
    <n v="0"/>
  </r>
  <r>
    <s v="405"/>
    <d v="2021-12-16T00:00:00"/>
    <s v="2021160580"/>
    <x v="21"/>
    <x v="11"/>
    <s v="0800450-08.2018.8.15.0511"/>
    <s v="JOAO_x000a_PAULINO DE MENDONCA"/>
    <s v="BANCO ITAU CONSIGNADO S.A."/>
    <x v="1"/>
    <s v="021.205.144-02"/>
    <x v="1"/>
    <s v="LAUDO GRAFOTÉCNICO"/>
    <n v="1"/>
    <n v="300"/>
    <n v="300"/>
    <s v="OK"/>
    <m/>
    <m/>
    <s v=""/>
    <s v=""/>
    <x v="135"/>
    <n v="300"/>
    <n v="0"/>
  </r>
  <r>
    <s v="406"/>
    <d v="2021-12-16T00:00:00"/>
    <s v="2021160571"/>
    <x v="21"/>
    <x v="11"/>
    <s v="0803119-20.2019.8.15.0181"/>
    <s v=" ELDA MARIA MARIANO DOS_x000a_SANTOS"/>
    <s v="BANCO ITAU CONSIGNADO S.A."/>
    <x v="1"/>
    <s v="021.205.144-02"/>
    <x v="1"/>
    <s v="LAUDO GRAFOTÉCNICO"/>
    <n v="1"/>
    <n v="300"/>
    <n v="300"/>
    <s v="OK"/>
    <m/>
    <m/>
    <s v=""/>
    <s v=""/>
    <x v="135"/>
    <n v="300"/>
    <n v="0"/>
  </r>
  <r>
    <s v="407"/>
    <d v="2021-12-16T00:00:00"/>
    <s v="2021160563"/>
    <x v="21"/>
    <x v="11"/>
    <s v=" 0801069-84.2020.8.15.0181"/>
    <s v="JOSE NUNES NETO "/>
    <s v="BANCO ITAU CONSIGNADO S.A. e outro"/>
    <x v="1"/>
    <s v="021.205.144-02"/>
    <x v="1"/>
    <s v="LAUDO GRAFOTÉCNICO"/>
    <n v="1"/>
    <n v="300"/>
    <n v="300"/>
    <s v="OK"/>
    <m/>
    <m/>
    <s v=""/>
    <s v=""/>
    <x v="135"/>
    <n v="300"/>
    <n v="0"/>
  </r>
  <r>
    <s v="408"/>
    <d v="2021-12-16T00:00:00"/>
    <s v="2021160320"/>
    <x v="21"/>
    <x v="11"/>
    <s v="0802319-89.2019.8.15.0181"/>
    <s v="SEVERINO AGUIAR"/>
    <s v="LUIZACRED S.A. SOCIEDADE DE CREDITO, FINANCIAMENTO E INVESTIMENTO "/>
    <x v="1"/>
    <s v="021.205.144-02"/>
    <x v="1"/>
    <s v="LAUDO GRAFOTÉCNICO"/>
    <n v="1"/>
    <n v="300"/>
    <n v="300"/>
    <s v="OK"/>
    <m/>
    <m/>
    <s v=""/>
    <s v=""/>
    <x v="135"/>
    <n v="300"/>
    <n v="0"/>
  </r>
  <r>
    <s v="409"/>
    <d v="2021-12-16T00:00:00"/>
    <s v="2021160090"/>
    <x v="39"/>
    <x v="18"/>
    <s v="0800211-23.2016.815.0301"/>
    <s v="FRANCISCA SEVERINA DE SOUTO SILVA"/>
    <s v="M.H.S."/>
    <x v="105"/>
    <s v="088.498.784-19"/>
    <x v="3"/>
    <s v="ESTUDO SOCIAL"/>
    <n v="17"/>
    <n v="300"/>
    <n v="200"/>
    <s v="OK"/>
    <m/>
    <m/>
    <s v=""/>
    <s v=""/>
    <x v="134"/>
    <n v="200"/>
    <n v="0"/>
  </r>
  <r>
    <s v="410"/>
    <d v="2021-01-12T00:00:00"/>
    <s v="2022004428"/>
    <x v="41"/>
    <x v="11"/>
    <s v="0805540-46.2020.815.0181"/>
    <s v="MARIA JOSE SOUSA SILVA"/>
    <s v="BANCO MERCANTIL DO BRASIL S.A"/>
    <x v="1"/>
    <s v="021.205.144-02"/>
    <x v="1"/>
    <s v="LAUDO GRAFOTÉCNICO"/>
    <n v="1"/>
    <n v="300"/>
    <n v="300"/>
    <s v="OK"/>
    <m/>
    <m/>
    <s v=""/>
    <s v=""/>
    <x v="136"/>
    <n v="300"/>
    <n v="0"/>
  </r>
  <r>
    <s v="411"/>
    <d v="2022-01-18T00:00:00"/>
    <s v="2022008195"/>
    <x v="39"/>
    <x v="18"/>
    <s v="0801139-_x000a_72.2019.815.0881"/>
    <s v="Sebastião Alves dos Santos"/>
    <s v="INSS"/>
    <x v="105"/>
    <s v="088.498.784-19"/>
    <x v="3"/>
    <s v="ESTUDO SOCIAL"/>
    <n v="17"/>
    <n v="300"/>
    <n v="200"/>
    <s v="OK"/>
    <m/>
    <m/>
    <s v=""/>
    <s v=""/>
    <x v="137"/>
    <n v="200"/>
    <n v="0"/>
  </r>
  <r>
    <s v="412"/>
    <d v="2022-01-28T00:00:00"/>
    <s v="2022014479"/>
    <x v="25"/>
    <x v="14"/>
    <s v="0800609-74.2020.8.15.0221"/>
    <s v="CLAUDIANA DE_x000a_SOUSA BRITO"/>
    <s v="ITAICIRA DE SOUSA BRITO"/>
    <x v="31"/>
    <s v="053.027.324-16"/>
    <x v="0"/>
    <s v="LAUDO EM INTERDIÇÃO/DNA"/>
    <n v="13"/>
    <n v="370"/>
    <n v="370"/>
    <s v="OK"/>
    <m/>
    <m/>
    <s v=""/>
    <s v=""/>
    <x v="138"/>
    <n v="370"/>
    <n v="0"/>
  </r>
  <r>
    <s v="413"/>
    <d v="2022-01-28T00:00:00"/>
    <s v="2022014462"/>
    <x v="25"/>
    <x v="14"/>
    <s v="0800279-64.2017.8.15.0421"/>
    <s v="CLAUDIANA DE_x000a_SOUSA BRITO"/>
    <s v="EDNA_x000a_DE SOUSA CAJU"/>
    <x v="31"/>
    <s v="053.027.324-16"/>
    <x v="0"/>
    <s v="LAUDO EM INTERDIÇÃO/DNA"/>
    <n v="13"/>
    <n v="370"/>
    <n v="370"/>
    <s v="OK"/>
    <m/>
    <m/>
    <s v=""/>
    <s v=""/>
    <x v="138"/>
    <n v="370"/>
    <n v="0"/>
  </r>
  <r>
    <s v="414"/>
    <d v="2022-02-03T00:00:00"/>
    <s v="2022017673"/>
    <x v="39"/>
    <x v="18"/>
    <s v="0800044-_x000a_07.2019.8.15.0881"/>
    <s v="LEIDIANA DANTAS DE OLIVEIRA"/>
    <s v="MARIA SUZANA FILHA"/>
    <x v="97"/>
    <s v="021. 205.144-02"/>
    <x v="0"/>
    <s v="LAUDO EM INTERDIÇÃO/DNA"/>
    <n v="13"/>
    <n v="370"/>
    <n v="370"/>
    <s v="OK"/>
    <m/>
    <m/>
    <s v=""/>
    <s v=""/>
    <x v="139"/>
    <n v="370"/>
    <n v="0"/>
  </r>
  <r>
    <s v="415"/>
    <d v="2022-02-03T00:00:00"/>
    <s v="2022017665"/>
    <x v="39"/>
    <x v="18"/>
    <s v="0800664-_x000a_53.2018.8.15.0881"/>
    <s v="FRANCISCA MARIA DOS SANTOS ALVES"/>
    <s v=" CLARA HELOISA DOS_x000a_SANTOS VIEIRA"/>
    <x v="97"/>
    <s v="021. 205.144-02"/>
    <x v="0"/>
    <s v="LAUDO EM INTERDIÇÃO/DNA"/>
    <n v="13"/>
    <n v="370"/>
    <n v="370"/>
    <s v="OK"/>
    <m/>
    <m/>
    <s v=""/>
    <s v=""/>
    <x v="139"/>
    <n v="370"/>
    <n v="0"/>
  </r>
  <r>
    <s v="416"/>
    <d v="2022-02-06T00:00:00"/>
    <s v="2022018432"/>
    <x v="14"/>
    <x v="9"/>
    <s v="0860713-95.2018.8.15.2001"/>
    <s v="NORMA MARIA DE LIMA"/>
    <s v="BV_x000a_FINANCEIRA AS"/>
    <x v="61"/>
    <s v="701.876.111-57"/>
    <x v="1"/>
    <s v="LAUDO GRAFOTÉCNICO"/>
    <n v="1"/>
    <n v="300"/>
    <n v="370"/>
    <s v="OK"/>
    <m/>
    <m/>
    <s v=""/>
    <s v=""/>
    <x v="140"/>
    <n v="370"/>
    <n v="0"/>
  </r>
  <r>
    <s v="417"/>
    <d v="2022-02-14T00:00:00"/>
    <s v="2022023671"/>
    <x v="41"/>
    <x v="11"/>
    <s v="0805086-66.2020.8.15.0181"/>
    <s v="Severino Luiz dos Santos"/>
    <s v=" Banco Itaú Consignado S.A."/>
    <x v="1"/>
    <s v="021.205.144-02"/>
    <x v="1"/>
    <s v="LAUDO GRAFOTÉCNICO"/>
    <n v="1"/>
    <n v="300"/>
    <n v="300"/>
    <s v="OK"/>
    <m/>
    <m/>
    <s v=""/>
    <s v=""/>
    <x v="141"/>
    <n v="300"/>
    <n v="0"/>
  </r>
  <r>
    <s v="418"/>
    <d v="2022-12-03T00:00:00"/>
    <s v="2021154766"/>
    <x v="0"/>
    <x v="0"/>
    <s v="0802627-69.2021.8.15.0371"/>
    <s v="MARYNICE MENDES SARMENTO"/>
    <s v="MUNICIPIO DE APARECIDA"/>
    <x v="1"/>
    <s v="021.205.144-02"/>
    <x v="5"/>
    <s v="LAUDO DE INSALUBRIDADE E/OU PERICULOSIDADE, CONFORME NORMAS DA ABNT RESPECTIVAS"/>
    <n v="11"/>
    <n v="370"/>
    <n v="370"/>
    <s v="OK"/>
    <m/>
    <m/>
    <s v=""/>
    <s v=""/>
    <x v="141"/>
    <n v="370"/>
    <n v="0"/>
  </r>
  <r>
    <s v="419"/>
    <d v="2021-07-26T00:00:00"/>
    <s v="2021095550"/>
    <x v="4"/>
    <x v="0"/>
    <s v="0800729-_x000a_94.2016.8.15.0371"/>
    <s v="FRANCISCO VALDIVAM DE LIRA"/>
    <s v="DACI RODRIGUES BARBOSA"/>
    <x v="106"/>
    <s v="108.609.184-16"/>
    <x v="5"/>
    <s v="LAUDO PERICIAL DAS CONDIÇÕES ESTRUTURAIS DE SEGURNÇA E SOLIDEZ DE IMÓVEL, CONFORME NORMA DA ABNT RESPECTIVAS"/>
    <n v="8"/>
    <n v="370"/>
    <n v="838.78"/>
    <s v="OK"/>
    <m/>
    <m/>
    <s v=""/>
    <s v=""/>
    <x v="142"/>
    <n v="838.78"/>
    <n v="0"/>
  </r>
  <r>
    <s v="420"/>
    <d v="2021-10-01T00:00:00"/>
    <s v="2021128426"/>
    <x v="21"/>
    <x v="11"/>
    <s v="0800917-02.2021.815.0181"/>
    <s v="MARIA DO_x000a_CARMO PAULINO DA SILVA"/>
    <s v=" BANCO AGIBANK S/A_x000a_"/>
    <x v="1"/>
    <s v="021.205.144-02"/>
    <x v="1"/>
    <s v="LAUDO GRAFOTÉCNICO"/>
    <n v="1"/>
    <n v="300"/>
    <n v="370"/>
    <s v="OK"/>
    <m/>
    <m/>
    <s v=""/>
    <s v=""/>
    <x v="142"/>
    <n v="370"/>
    <n v="0"/>
  </r>
  <r>
    <s v="421"/>
    <d v="2021-10-13T00:00:00"/>
    <s v="2021133042"/>
    <x v="41"/>
    <x v="11"/>
    <s v=" 0801637-03.2020.8.15.0181"/>
    <s v="EDMILSON BENTO_x000a_FERREIRA"/>
    <s v="BANCO BRADESCO FINANCIAMENTO S.A"/>
    <x v="1"/>
    <s v="021.205.144-02"/>
    <x v="1"/>
    <s v="LAUDO GRAFOTÉCNICO"/>
    <n v="1"/>
    <n v="300"/>
    <n v="370"/>
    <s v="OK"/>
    <m/>
    <m/>
    <s v=""/>
    <s v=""/>
    <x v="142"/>
    <n v="370"/>
    <n v="0"/>
  </r>
  <r>
    <s v="422"/>
    <d v="2021-10-26T00:00:00"/>
    <s v="2021138477"/>
    <x v="21"/>
    <x v="11"/>
    <s v="0802751-40.2021.8.15.0181"/>
    <s v=" MARIA VICENTE DA SILVA"/>
    <s v=" Banco C6 Consignado"/>
    <x v="1"/>
    <s v="021.205.144-02"/>
    <x v="1"/>
    <s v="LAUDO GRAFOTÉCNICO"/>
    <n v="1"/>
    <n v="300"/>
    <n v="370"/>
    <s v="OK"/>
    <m/>
    <m/>
    <s v=""/>
    <s v=""/>
    <x v="142"/>
    <n v="370"/>
    <n v="0"/>
  </r>
  <r>
    <s v="423"/>
    <d v="2021-12-07T00:00:00"/>
    <s v="2021156190"/>
    <x v="21"/>
    <x v="11"/>
    <s v="0803113-76.2020.8.15.0181"/>
    <s v="EVERALDO FERREIRA DA SILVA"/>
    <s v=" BANCO PAN_x000a_"/>
    <x v="1"/>
    <s v="021.205.144-02"/>
    <x v="1"/>
    <s v="LAUDO GRAFOTÉCNICO"/>
    <n v="1"/>
    <n v="300"/>
    <n v="370"/>
    <s v="OK"/>
    <m/>
    <m/>
    <s v=""/>
    <s v=""/>
    <x v="142"/>
    <n v="370"/>
    <n v="0"/>
  </r>
  <r>
    <s v="424"/>
    <d v="2021-11-05T00:00:00"/>
    <s v="2021142529"/>
    <x v="39"/>
    <x v="18"/>
    <s v=" 0000157-36.2015.815.1171"/>
    <s v="MEIRE MAJELE DE SOUSA SANTOS"/>
    <s v="MUNICIPIO DE PAULISTA"/>
    <x v="1"/>
    <s v="021.205.144-02"/>
    <x v="5"/>
    <s v="LAUDO DE INSALUBRIDADE E/OU PERICULOSIDADE, CONFORME NORMAS DA ABNT RESPECTIVAS"/>
    <n v="11"/>
    <n v="370"/>
    <n v="870"/>
    <s v="OK"/>
    <m/>
    <m/>
    <s v=""/>
    <s v=""/>
    <x v="142"/>
    <n v="870"/>
    <n v="0"/>
  </r>
  <r>
    <s v="425"/>
    <d v="2021-10-19T00:00:00"/>
    <s v="2021135511"/>
    <x v="27"/>
    <x v="4"/>
    <s v="0026548-89.2010.8.15.0011"/>
    <s v="AURI_x000a_NUNES CAMBOIM"/>
    <s v="JOSÉ HILTON BATISTA LEITE COSTA"/>
    <x v="107"/>
    <s v="007.811.414-43"/>
    <x v="5"/>
    <s v="LAUDO PERICIAL DAS CONDIÇÕES ESTRUTURAIS DE SEGURNÇA E SOLIDEZ DE IMÓVEL, CONFORME NORMA DA ABNT RESPECTIVAS"/>
    <n v="8"/>
    <n v="370"/>
    <n v="1500"/>
    <s v="OK"/>
    <m/>
    <m/>
    <s v=""/>
    <s v=""/>
    <x v="142"/>
    <n v="1500"/>
    <n v="0"/>
  </r>
  <r>
    <s v="426"/>
    <d v="2021-10-28T00:00:00"/>
    <s v="2021139558"/>
    <x v="41"/>
    <x v="11"/>
    <s v="0803832-92.2019.8.15.0181"/>
    <s v="JOSEFA DA COSTA SILVA"/>
    <s v="ITAU BMG CONSIGNADO S.A."/>
    <x v="1"/>
    <s v="021.205.144-02"/>
    <x v="1"/>
    <s v="LAUDO GRAFOTÉCNICO"/>
    <n v="1"/>
    <n v="300"/>
    <n v="370"/>
    <s v="OK"/>
    <m/>
    <m/>
    <s v=""/>
    <s v=""/>
    <x v="142"/>
    <n v="370"/>
    <n v="0"/>
  </r>
  <r>
    <s v="427"/>
    <d v="2021-12-14T00:00:00"/>
    <s v="2020185054"/>
    <x v="61"/>
    <x v="9"/>
    <s v="0012001-53.2008.8.15.2003"/>
    <s v="ADAILTON PEREIRA DA SILVA M E"/>
    <s v="ELLO DISTRIBUIDORA DE COMBUSTIVEIS S/A e outro"/>
    <x v="59"/>
    <s v="009.525.424-20"/>
    <x v="6"/>
    <s v="OUTROS"/>
    <n v="5"/>
    <n v="370"/>
    <n v="1850"/>
    <s v="OK"/>
    <m/>
    <m/>
    <s v=""/>
    <s v=""/>
    <x v="142"/>
    <n v="1850"/>
    <n v="0"/>
  </r>
  <r>
    <s v="428"/>
    <d v="2022-02-10T00:00:00"/>
    <s v="2022022390"/>
    <x v="62"/>
    <x v="6"/>
    <s v="0800981-45.2018.8.15.0301"/>
    <s v="MARIA DE FATIMA DANTAS PEREIRA FERNANDES"/>
    <s v="BANCO_x000a_BMG S.A e outro"/>
    <x v="1"/>
    <s v="021.205.144-02"/>
    <x v="1"/>
    <s v="LAUDO GRAFOTÉCNICO"/>
    <n v="1"/>
    <n v="300"/>
    <n v="300"/>
    <s v="OK"/>
    <m/>
    <m/>
    <s v=""/>
    <s v=""/>
    <x v="142"/>
    <n v="300"/>
    <n v="0"/>
  </r>
  <r>
    <s v="429"/>
    <d v="2021-10-25T00:00:00"/>
    <s v="2021137685"/>
    <x v="31"/>
    <x v="10"/>
    <s v="0003303-60.2010.8.15.0751"/>
    <s v="JOSE MARIANO DOS_x000a_SANTOS"/>
    <s v="INSS"/>
    <x v="38"/>
    <s v="051.944.134-67"/>
    <x v="0"/>
    <s v="OUTRAS"/>
    <n v="15"/>
    <n v="370"/>
    <n v="600"/>
    <s v="OK"/>
    <m/>
    <m/>
    <s v=""/>
    <s v=""/>
    <x v="142"/>
    <n v="600"/>
    <n v="0"/>
  </r>
  <r>
    <s v="430"/>
    <d v="2021-02-14T00:00:00"/>
    <s v="2022023972"/>
    <x v="14"/>
    <x v="9"/>
    <s v="0087532-15.2012.8.15.2001"/>
    <s v="EUZENI PEREIRA DE SOUZA"/>
    <s v="SANTANDER LEASING S.A. ARRENDAMENTO MERCANTIL"/>
    <x v="2"/>
    <s v="027.962.114-01"/>
    <x v="6"/>
    <s v="LAUDO EM AÇÃO REVISIONAL ENVOLVENDO NEGÓCIOS BANCÁRIOS ACIMA DE  4 (QUATRO) CONTRATOS"/>
    <n v="3"/>
    <n v="630"/>
    <n v="200"/>
    <s v="OK"/>
    <m/>
    <m/>
    <s v=""/>
    <s v=""/>
    <x v="141"/>
    <n v="200"/>
    <n v="0"/>
  </r>
  <r>
    <s v="431"/>
    <d v="2022-02-14T00:00:00"/>
    <s v="2022024439"/>
    <x v="7"/>
    <x v="6"/>
    <s v="0800488-63.2021.8.15.0301"/>
    <s v="JULIO CESAR DA SILVA_x000a_URTIGA"/>
    <s v="JANIO CLEUDISON DA SILVA URTIGA"/>
    <x v="108"/>
    <s v="065.459.954-80"/>
    <x v="3"/>
    <s v="ESTUDO SOCIAL"/>
    <n v="17"/>
    <n v="300"/>
    <n v="300"/>
    <s v="OK"/>
    <m/>
    <m/>
    <s v=""/>
    <s v=""/>
    <x v="143"/>
    <n v="300"/>
    <n v="0"/>
  </r>
  <r>
    <s v="432"/>
    <d v="2022-04-06T00:00:00"/>
    <s v="2021042261"/>
    <x v="0"/>
    <x v="0"/>
    <s v="0800796-20.2020.8.15.0371"/>
    <s v="EDILEUZA DUARTE DA SILVA"/>
    <s v="MUNICIPIO DE VIEIROPOLIS"/>
    <x v="1"/>
    <s v="021.205.144-02"/>
    <x v="5"/>
    <s v="LAUDO DE INSALUBRIDADE E/OU PERICULOSIDADE, CONFORME NORMAS DA ABNT RESPECTIVAS"/>
    <n v="11"/>
    <n v="370"/>
    <n v="370"/>
    <s v="OK"/>
    <m/>
    <m/>
    <s v=""/>
    <s v=""/>
    <x v="143"/>
    <n v="370"/>
    <n v="0"/>
  </r>
  <r>
    <s v="433"/>
    <d v="2021-10-29T00:00:00"/>
    <s v="2021140451"/>
    <x v="0"/>
    <x v="0"/>
    <s v="0800486-77.2021.8.15.0371"/>
    <s v="MARIA VERONICA DE ANDRADE MOREIRA"/>
    <s v="MUNICIPIO DE VIEIROPOLIS"/>
    <x v="1"/>
    <s v="021.205.144-02"/>
    <x v="5"/>
    <s v="LAUDO DE INSALUBRIDADE E/OU PERICULOSIDADE, CONFORME NORMAS DA ABNT RESPECTIVAS"/>
    <n v="11"/>
    <n v="370"/>
    <n v="370"/>
    <s v="OK"/>
    <m/>
    <m/>
    <s v=""/>
    <s v=""/>
    <x v="141"/>
    <n v="370"/>
    <n v="0"/>
  </r>
  <r>
    <s v="434"/>
    <d v="2021-10-29T00:00:00"/>
    <s v="2021140517"/>
    <x v="29"/>
    <x v="4"/>
    <s v="0814393-_x000a_0.2020.8.15.0001"/>
    <s v="NEFI DE OLIVEIRA BARBOSA"/>
    <s v="KALINE ALENCAR NUNES"/>
    <x v="99"/>
    <s v="275.900.448-14"/>
    <x v="4"/>
    <m/>
    <n v="16"/>
    <n v="300"/>
    <n v="300"/>
    <s v="OK"/>
    <m/>
    <m/>
    <s v=""/>
    <s v=""/>
    <x v="141"/>
    <n v="300"/>
    <n v="0"/>
  </r>
  <r>
    <s v="435"/>
    <d v="2022-02-14T00:00:00"/>
    <s v="2022024455"/>
    <x v="27"/>
    <x v="4"/>
    <s v="0806040-41.2018.8.15.0001"/>
    <s v="Terezinha Costa Lima"/>
    <s v="Francisco Clementino de_x000a_Carvalho"/>
    <x v="85"/>
    <s v="322.419.638-60"/>
    <x v="5"/>
    <m/>
    <n v="9"/>
    <n v="700"/>
    <n v="430"/>
    <s v="OK"/>
    <m/>
    <m/>
    <s v=""/>
    <s v=""/>
    <x v="141"/>
    <n v="430"/>
    <n v="0"/>
  </r>
  <r>
    <s v="436"/>
    <d v="2021-10-27T00:00:00"/>
    <s v="2021139172"/>
    <x v="0"/>
    <x v="0"/>
    <s v="0801423-87.2021.8.15.037"/>
    <s v="FRANCISCA DANTAS DE SOUSA"/>
    <s v="MUNICIPIO DE SOUSA"/>
    <x v="1"/>
    <s v="021.205.144-02"/>
    <x v="5"/>
    <s v="LAUDO DE INSALUBRIDADE E/OU PERICULOSIDADE, CONFORME NORMAS DA ABNT RESPECTIVAS"/>
    <n v="11"/>
    <n v="370"/>
    <n v="370"/>
    <s v="OK"/>
    <m/>
    <m/>
    <s v=""/>
    <s v=""/>
    <x v="141"/>
    <n v="370"/>
    <n v="0"/>
  </r>
  <r>
    <s v="437"/>
    <d v="2021-10-28T00:00:00"/>
    <s v="2021139986"/>
    <x v="29"/>
    <x v="4"/>
    <s v="0824071-75.2019.8.15.0001"/>
    <s v="ANDREA SILVA_x000a_ARAUJO"/>
    <s v="ALDENI ALVES DA SILVA"/>
    <x v="91"/>
    <s v="086792134-03"/>
    <x v="4"/>
    <m/>
    <n v="16"/>
    <n v="300"/>
    <n v="300"/>
    <s v="OK"/>
    <m/>
    <m/>
    <s v=""/>
    <s v=""/>
    <x v="141"/>
    <n v="300"/>
    <n v="0"/>
  </r>
  <r>
    <s v="438"/>
    <d v="2021-10-25T00:00:00"/>
    <s v="2021138047"/>
    <x v="29"/>
    <x v="4"/>
    <s v="0803638-16.2020.8.15.0001"/>
    <s v="PETRUCIO ELIAS DO NASCIMENTO QUIRINO"/>
    <s v="JEYSE KELLY DA SILVA GOMES"/>
    <x v="91"/>
    <s v="086792134-03"/>
    <x v="4"/>
    <m/>
    <n v="16"/>
    <n v="300"/>
    <n v="300"/>
    <s v="OK"/>
    <m/>
    <m/>
    <s v=""/>
    <s v=""/>
    <x v="141"/>
    <n v="300"/>
    <n v="0"/>
  </r>
  <r>
    <s v="439"/>
    <d v="2021-06-18T00:00:00"/>
    <s v="2021079091"/>
    <x v="17"/>
    <x v="4"/>
    <s v="0812384-04.2019.8.15.0001"/>
    <s v="SEVERINA GOMES DOS SANTOS"/>
    <s v="BANCO DO BRASIL S.A."/>
    <x v="109"/>
    <s v="096.725.134-61"/>
    <x v="5"/>
    <s v="LAUDO PERICIAL DAS CONDIÇÕES ESTRUTURAIS DE SEGURNÇA E SOLIDEZ DE IMÓVEL, CONFORME NORMA DA ABNT RESPECTIVAS"/>
    <n v="8"/>
    <n v="370"/>
    <n v="296"/>
    <s v="OK"/>
    <m/>
    <m/>
    <s v=""/>
    <s v=""/>
    <x v="141"/>
    <n v="296"/>
    <n v="0"/>
  </r>
  <r>
    <s v="440"/>
    <d v="2021-12-06T00:00:00"/>
    <s v="2021155285"/>
    <x v="0"/>
    <x v="0"/>
    <s v="0800064-39.2020.815.0371"/>
    <s v="GIRLENE ROCHA DO_x000a_NASCIMENTO"/>
    <s v="MUNICIPIO DE SOUSA"/>
    <x v="1"/>
    <s v="021.205.144-02"/>
    <x v="5"/>
    <s v="LAUDO DE INSALUBRIDADE E/OU PERICULOSIDADE, CONFORME NORMAS DA ABNT RESPECTIVAS"/>
    <n v="11"/>
    <n v="370"/>
    <n v="370"/>
    <s v="OK"/>
    <m/>
    <m/>
    <s v=""/>
    <s v=""/>
    <x v="141"/>
    <n v="370"/>
    <n v="0"/>
  </r>
  <r>
    <s v="441"/>
    <d v="2021-11-30T00:00:00"/>
    <s v="2021151894"/>
    <x v="0"/>
    <x v="0"/>
    <s v="0802118-41.2021.8.15.0371"/>
    <s v="RONIVONI ALVES DA SILVA"/>
    <s v="MUNICIPIO DE NAZAREZINHO"/>
    <x v="1"/>
    <s v="021.205.144-02"/>
    <x v="5"/>
    <s v="LAUDO DE INSALUBRIDADE E/OU PERICULOSIDADE, CONFORME NORMAS DA ABNT RESPECTIVAS"/>
    <n v="11"/>
    <n v="370"/>
    <n v="370"/>
    <s v="OK"/>
    <m/>
    <m/>
    <s v=""/>
    <s v=""/>
    <x v="141"/>
    <n v="370"/>
    <n v="0"/>
  </r>
  <r>
    <s v="442"/>
    <d v="2021-10-29T00:00:00"/>
    <s v="2021140541"/>
    <x v="29"/>
    <x v="4"/>
    <s v="0801359-62.2017.8.15.0001"/>
    <s v="ALBERTO DOS SANTOS SILVA"/>
    <s v="MARILENE MARIA DOS_x000a_SANTOS SILVA."/>
    <x v="99"/>
    <s v="275.900.448-14"/>
    <x v="4"/>
    <m/>
    <n v="16"/>
    <n v="300"/>
    <n v="300"/>
    <s v="OK"/>
    <m/>
    <m/>
    <s v=""/>
    <s v=""/>
    <x v="141"/>
    <n v="300"/>
    <n v="0"/>
  </r>
  <r>
    <s v="443"/>
    <d v="2021-10-28T00:00:00"/>
    <s v="2021140023"/>
    <x v="29"/>
    <x v="4"/>
    <s v="0819009-20.2020.8.15.0001"/>
    <s v="JAQUELINE DA SILVA BESERRA"/>
    <s v="ANDERSON JOSÉ DE SOUZA SILVA"/>
    <x v="91"/>
    <s v="086792134-03"/>
    <x v="4"/>
    <m/>
    <n v="16"/>
    <n v="300"/>
    <n v="300"/>
    <s v="OK"/>
    <m/>
    <m/>
    <s v=""/>
    <s v=""/>
    <x v="141"/>
    <n v="300"/>
    <n v="0"/>
  </r>
  <r>
    <s v="444"/>
    <d v="2021-09-29T00:00:00"/>
    <s v="2021126570"/>
    <x v="0"/>
    <x v="0"/>
    <s v="0000228-_x000a_07.2016.8.15.0491"/>
    <s v="MANOEL MACENA DUARTE"/>
    <s v="MUNICIPIO DE JOCA CLAUDINO"/>
    <x v="1"/>
    <s v="021.205.144-02"/>
    <x v="5"/>
    <s v="LAUDO DE INSALUBRIDADE E/OU PERICULOSIDADE, CONFORME NORMAS DA ABNT RESPECTIVAS"/>
    <n v="11"/>
    <n v="370"/>
    <n v="370"/>
    <s v="OK"/>
    <m/>
    <m/>
    <s v=""/>
    <s v=""/>
    <x v="144"/>
    <n v="370"/>
    <n v="0"/>
  </r>
  <r>
    <s v="445"/>
    <d v="2022-02-18T00:00:00"/>
    <s v="2022027971"/>
    <x v="4"/>
    <x v="0"/>
    <s v="0801120-_x000a_73.2021.8.15.0371"/>
    <s v="MARIA DOS REMEDIOS SARMENTO DA SILVA"/>
    <s v="MUNICIPIO DO LASTRO_x000a_"/>
    <x v="1"/>
    <s v="021.205.144-02"/>
    <x v="5"/>
    <s v="LAUDO DE INSALUBRIDADE E/OU PERICULOSIDADE, CONFORME NORMAS DA ABNT RESPECTIVAS"/>
    <n v="11"/>
    <n v="370"/>
    <n v="370"/>
    <s v="OK"/>
    <m/>
    <m/>
    <s v=""/>
    <s v=""/>
    <x v="145"/>
    <n v="370"/>
    <n v="0"/>
  </r>
  <r>
    <s v="446"/>
    <d v="2022-02-15T00:00:00"/>
    <s v="2022025541"/>
    <x v="28"/>
    <x v="16"/>
    <s v="0801286-81.2020.815.0261"/>
    <s v="Francisca Lúcia Leite de Melo"/>
    <s v="Damiana Leite de Melo"/>
    <x v="110"/>
    <s v="042.815.284-82"/>
    <x v="3"/>
    <s v="ESTUDO SOCIAL"/>
    <n v="17"/>
    <n v="300"/>
    <n v="300"/>
    <s v="OK"/>
    <m/>
    <m/>
    <s v=""/>
    <s v=""/>
    <x v="146"/>
    <n v="300"/>
    <n v="0"/>
  </r>
  <r>
    <s v="447"/>
    <d v="2019-02-13T00:00:00"/>
    <s v="2019032469"/>
    <x v="53"/>
    <x v="8"/>
    <s v="0002232-_x000a_98.2014.815.0131"/>
    <s v="r Edilma Vieira de Abreu"/>
    <s v="INSS"/>
    <x v="111"/>
    <s v="539.203.764-04"/>
    <x v="0"/>
    <s v="LAUDO EM INTERDIÇÃO/DNA"/>
    <n v="13"/>
    <n v="370"/>
    <n v="281.24"/>
    <s v="OK"/>
    <m/>
    <m/>
    <s v=""/>
    <s v=""/>
    <x v="147"/>
    <n v="281.24"/>
    <n v="0"/>
  </r>
  <r>
    <s v="448"/>
    <d v="2020-05-11T00:00:00"/>
    <s v="2020075358"/>
    <x v="21"/>
    <x v="11"/>
    <s v="0800156-_x000a_44.2016.8.15.0181"/>
    <s v="ANGELISE VANESSA CORREIA VAZ CORDEIRO"/>
    <s v="MUNICIPIO DE_x000a_GUARABIRA"/>
    <x v="1"/>
    <s v="021.205.144-02"/>
    <x v="5"/>
    <s v="LAUDO DE INSALUBRIDADE E/OU PERICULOSIDADE, CONFORME NORMAS DA ABNT RESPECTIVAS"/>
    <n v="11"/>
    <n v="370"/>
    <n v="370"/>
    <s v="OK"/>
    <m/>
    <m/>
    <s v=""/>
    <s v=""/>
    <x v="148"/>
    <n v="370"/>
    <n v="0"/>
  </r>
  <r>
    <s v="449"/>
    <d v="2022-03-04T00:00:00"/>
    <s v="2022033322"/>
    <x v="39"/>
    <x v="18"/>
    <s v=" 0801530-_x000a_27.2019.8.15.0881"/>
    <s v="JOANEUMA DE FARIAS DANTAS"/>
    <s v="MUNICIPIO DE SAO BENTO_x000a_"/>
    <x v="1"/>
    <s v="021.205.144-02"/>
    <x v="5"/>
    <s v="LAUDO DE INSALUBRIDADE E/OU PERICULOSIDADE, CONFORME NORMAS DA ABNT RESPECTIVAS"/>
    <n v="11"/>
    <n v="370"/>
    <n v="300"/>
    <s v="OK"/>
    <m/>
    <m/>
    <s v=""/>
    <s v=""/>
    <x v="149"/>
    <n v="300"/>
    <n v="0"/>
  </r>
  <r>
    <s v="450"/>
    <d v="2022-02-23T00:00:00"/>
    <s v="2022030611"/>
    <x v="39"/>
    <x v="18"/>
    <s v=" 0800071-61.2017.815.1171"/>
    <s v="GLORIA MARIA DE SOUSA SILVA"/>
    <s v="INSTITUTO NACIONAL DO SEGURO SOCIAL"/>
    <x v="63"/>
    <s v="075.538.374-58_x000a_"/>
    <x v="3"/>
    <s v="ESTUDO SOCIAL"/>
    <n v="17"/>
    <n v="300"/>
    <n v="240"/>
    <s v="OK"/>
    <m/>
    <m/>
    <s v=""/>
    <s v=""/>
    <x v="150"/>
    <n v="240"/>
    <n v="0"/>
  </r>
  <r>
    <s v="451"/>
    <d v="2021-03-04T00:00:00"/>
    <s v="2021030683"/>
    <x v="42"/>
    <x v="12"/>
    <s v="0802883-_x000a_67.2019.8.15.0731"/>
    <s v="MARIA ELIZABETE ARAUJO DE LIMA"/>
    <s v="BANCO PAN"/>
    <x v="1"/>
    <s v="021.205.144-02"/>
    <x v="1"/>
    <s v="LAUDO GRAFOTÉCNICO"/>
    <n v="1"/>
    <n v="300"/>
    <n v="300"/>
    <s v="OK"/>
    <m/>
    <m/>
    <s v=""/>
    <s v=""/>
    <x v="149"/>
    <n v="300"/>
    <n v="0"/>
  </r>
  <r>
    <s v="452"/>
    <d v="2020-07-17T00:00:00"/>
    <s v="2020104614"/>
    <x v="63"/>
    <x v="24"/>
    <s v="0000603-_x000a_80.2014.8.15.0231"/>
    <s v="ANTÔNIO PAULO RAMOS DA SILVA"/>
    <s v="INSTITUTO NACIONAL DO_x000a_SEGURO SOCIAL- INSS."/>
    <x v="54"/>
    <s v="485.549.104-78"/>
    <x v="0"/>
    <s v="OUTRAS"/>
    <n v="15"/>
    <n v="370"/>
    <n v="370"/>
    <s v="OK"/>
    <m/>
    <m/>
    <s v=""/>
    <s v=""/>
    <x v="151"/>
    <n v="370"/>
    <n v="0"/>
  </r>
  <r>
    <s v="453"/>
    <d v="2020-07-20T00:00:00"/>
    <s v="2020106138"/>
    <x v="63"/>
    <x v="24"/>
    <s v="0001893-_x000a_33.2014.8.15.0231"/>
    <s v="ERINALDO JOSÉ DO NASCIMENTO"/>
    <s v="INSTITUTO NACIONAL DO_x000a_SEGURO SOCIAL- INSS."/>
    <x v="54"/>
    <s v="485.549.104-78"/>
    <x v="0"/>
    <s v="OUTRAS"/>
    <n v="15"/>
    <n v="370"/>
    <n v="370"/>
    <s v="OK"/>
    <m/>
    <m/>
    <s v=""/>
    <s v=""/>
    <x v="151"/>
    <n v="370"/>
    <n v="0"/>
  </r>
  <r>
    <s v="454"/>
    <d v="2020-07-17T00:00:00"/>
    <s v="2020104358"/>
    <x v="63"/>
    <x v="24"/>
    <s v="0001123-45.2011.8.15.0231"/>
    <s v="JOSÉ_x000a_GOMES PEREIRA"/>
    <s v="INSTITUTO NACIONAL DO_x000a_SEGURO SOCIAL- INSS."/>
    <x v="54"/>
    <s v="485.549.104-78"/>
    <x v="0"/>
    <s v="OUTRAS"/>
    <n v="15"/>
    <n v="370"/>
    <n v="370"/>
    <s v="OK"/>
    <m/>
    <m/>
    <s v=""/>
    <s v=""/>
    <x v="151"/>
    <n v="370"/>
    <n v="0"/>
  </r>
  <r>
    <s v="455"/>
    <d v="2020-07-17T00:00:00"/>
    <s v="2020104559"/>
    <x v="63"/>
    <x v="24"/>
    <s v="0802281-29.2016.8.15.0231"/>
    <s v=" SEBASTIÃO_x000a_JOAQUIM DE SANTANA"/>
    <s v="INSTITUTO NACIONAL DO_x000a_SEGURO SOCIAL- INSS."/>
    <x v="54"/>
    <s v="485.549.104-78"/>
    <x v="0"/>
    <s v="OUTRAS"/>
    <n v="15"/>
    <n v="370"/>
    <n v="370"/>
    <s v="OK"/>
    <m/>
    <m/>
    <s v=""/>
    <s v=""/>
    <x v="151"/>
    <n v="370"/>
    <n v="0"/>
  </r>
  <r>
    <s v="456"/>
    <d v="2020-07-17T00:00:00"/>
    <s v="2020104296"/>
    <x v="63"/>
    <x v="24"/>
    <s v="0002167-31.2013.8.15.0231"/>
    <s v="JOÃO_x000a_SANTOS DE ARAÚJO"/>
    <s v="INSTITUTO NACIONAL DO_x000a_SEGURO SOCIAL- INSS."/>
    <x v="54"/>
    <s v="485.549.104-78"/>
    <x v="0"/>
    <s v="OUTRAS"/>
    <n v="15"/>
    <n v="370"/>
    <n v="370"/>
    <s v="OK"/>
    <m/>
    <m/>
    <s v=""/>
    <s v=""/>
    <x v="151"/>
    <n v="370"/>
    <n v="0"/>
  </r>
  <r>
    <s v="457"/>
    <d v="2020-07-17T00:00:00"/>
    <s v="2020106120"/>
    <x v="63"/>
    <x v="24"/>
    <s v="0801697-25.2017.8.15.0231"/>
    <s v="AGNALDO SEVERINO DOS SANTOS"/>
    <s v="INSTITUTO NACIONAL DO_x000a_SEGURO SOCIAL- INSS."/>
    <x v="54"/>
    <s v="485.549.104-78"/>
    <x v="0"/>
    <s v="OUTRAS"/>
    <n v="15"/>
    <n v="370"/>
    <n v="370"/>
    <s v="OK"/>
    <m/>
    <m/>
    <s v=""/>
    <s v=""/>
    <x v="151"/>
    <n v="370"/>
    <n v="0"/>
  </r>
  <r>
    <s v="458"/>
    <d v="2020-07-17T00:00:00"/>
    <s v="2020106187"/>
    <x v="63"/>
    <x v="24"/>
    <s v="0801907-42.2018.8.15.0231"/>
    <s v="GILMAR BARBOSA CABRAL"/>
    <s v="INSTITUTO NACIONAL DO_x000a_SEGURO SOCIAL- INSS."/>
    <x v="54"/>
    <s v="485.549.104-78"/>
    <x v="0"/>
    <s v="OUTRAS"/>
    <n v="15"/>
    <n v="370"/>
    <n v="370"/>
    <s v="OK"/>
    <m/>
    <m/>
    <s v=""/>
    <s v=""/>
    <x v="151"/>
    <n v="370"/>
    <n v="0"/>
  </r>
  <r>
    <s v="459"/>
    <d v="2020-07-17T00:00:00"/>
    <s v="2020106179"/>
    <x v="63"/>
    <x v="24"/>
    <s v="0800503-87.2017.815.0231"/>
    <s v="EDMILSON RODRIGUES DE ALMEIDA"/>
    <s v="INSTITUTO NACIONAL DO_x000a_SEGURO SOCIAL- INSS."/>
    <x v="54"/>
    <s v="485.549.104-78"/>
    <x v="0"/>
    <s v="OUTRAS"/>
    <n v="15"/>
    <n v="370"/>
    <n v="370"/>
    <s v="OK"/>
    <m/>
    <m/>
    <s v=""/>
    <s v=""/>
    <x v="151"/>
    <n v="370"/>
    <n v="0"/>
  </r>
  <r>
    <s v="460"/>
    <d v="2020-07-17T00:00:00"/>
    <s v="2020104591"/>
    <x v="63"/>
    <x v="24"/>
    <s v="0000970-75.2012.8.15.0231"/>
    <s v="CANINDE INÁCIO DA SILVA"/>
    <s v="INSTITUTO NACIONAL DO_x000a_SEGURO SOCIAL- INSS."/>
    <x v="54"/>
    <s v="485.549.104-78"/>
    <x v="0"/>
    <s v="OUTRAS"/>
    <n v="15"/>
    <n v="370"/>
    <n v="370"/>
    <s v="OK"/>
    <m/>
    <m/>
    <s v=""/>
    <s v=""/>
    <x v="151"/>
    <n v="370"/>
    <n v="0"/>
  </r>
  <r>
    <s v="461"/>
    <d v="2020-07-20T00:00:00"/>
    <s v="2020106154"/>
    <x v="63"/>
    <x v="24"/>
    <s v="0000476-45.2014.8.15.0231"/>
    <s v="JOSÉ_x000a_SANTOS DE SOUZA"/>
    <s v="INSTITUTO NACIONAL DO_x000a_SEGURO SOCIAL- INSS."/>
    <x v="54"/>
    <s v="485.549.104-78"/>
    <x v="0"/>
    <s v="OUTRAS"/>
    <n v="15"/>
    <n v="370"/>
    <n v="370"/>
    <s v="OK"/>
    <m/>
    <m/>
    <s v=""/>
    <s v=""/>
    <x v="151"/>
    <n v="370"/>
    <n v="0"/>
  </r>
  <r>
    <s v="462"/>
    <d v="2020-07-20T00:00:00"/>
    <s v="2020106074"/>
    <x v="63"/>
    <x v="24"/>
    <s v=" 0801719-83.2017.815.0231"/>
    <s v="r Pedro Francelino dos Santos"/>
    <s v="INSTITUTO NACIONAL DO_x000a_SEGURO SOCIAL- INSS."/>
    <x v="54"/>
    <s v="485.549.104-78"/>
    <x v="0"/>
    <s v="OUTRAS"/>
    <n v="15"/>
    <n v="370"/>
    <n v="370"/>
    <s v="OK"/>
    <m/>
    <m/>
    <s v=""/>
    <s v=""/>
    <x v="151"/>
    <n v="370"/>
    <n v="0"/>
  </r>
  <r>
    <s v="463"/>
    <d v="2020-07-17T00:00:00"/>
    <s v="2020104181"/>
    <x v="63"/>
    <x v="24"/>
    <s v="0824355-68.2017.8.15.2001"/>
    <s v="MAYKON FERNANDO PEREIRA DA SILVA"/>
    <s v="INSTITUTO NACIONAL DO_x000a_SEGURO SOCIAL- INSS."/>
    <x v="54"/>
    <s v="485.549.104-78"/>
    <x v="0"/>
    <s v="OUTRAS"/>
    <n v="15"/>
    <n v="370"/>
    <n v="370"/>
    <s v="OK"/>
    <m/>
    <m/>
    <s v=""/>
    <s v=""/>
    <x v="151"/>
    <n v="370"/>
    <n v="0"/>
  </r>
  <r>
    <s v="464"/>
    <d v="2020-07-17T00:00:00"/>
    <s v="2020104534"/>
    <x v="63"/>
    <x v="24"/>
    <s v=" 0800549-76.2017.8.15.0231"/>
    <s v=" Ivanil Felix da Silva,"/>
    <s v="INSTITUTO NACIONAL DO_x000a_SEGURO SOCIAL- INSS."/>
    <x v="54"/>
    <s v="485.549.104-78"/>
    <x v="0"/>
    <s v="OUTRAS"/>
    <n v="15"/>
    <n v="370"/>
    <n v="370"/>
    <s v="OK"/>
    <m/>
    <m/>
    <s v=""/>
    <s v=""/>
    <x v="151"/>
    <n v="370"/>
    <n v="0"/>
  </r>
  <r>
    <s v="465"/>
    <d v="2022-03-04T00:00:00"/>
    <s v="2022034067"/>
    <x v="4"/>
    <x v="0"/>
    <s v="0805087-_x000a_97.2019.8.15.0371"/>
    <s v="LEIDIMAR FERREIRA SERAFIM"/>
    <s v="MUNICIPIO DE sANTA Cruz_x000a_"/>
    <x v="1"/>
    <s v="021.205.144-02"/>
    <x v="5"/>
    <s v="LAUDO DE INSALUBRIDADE E/OU PERICULOSIDADE, CONFORME NORMAS DA ABNT RESPECTIVAS"/>
    <n v="11"/>
    <n v="370"/>
    <n v="370"/>
    <s v="OK"/>
    <m/>
    <m/>
    <s v=""/>
    <s v=""/>
    <x v="151"/>
    <n v="370"/>
    <n v="0"/>
  </r>
  <r>
    <s v="466"/>
    <d v="2022-03-04T00:00:00"/>
    <s v="2022035631"/>
    <x v="42"/>
    <x v="12"/>
    <s v="0800092-96.2017.8.15.0731"/>
    <s v=" Antônio Sebastião de Lima"/>
    <s v="Banco Itau BMG"/>
    <x v="1"/>
    <s v="021.205.144-02"/>
    <x v="1"/>
    <s v="LAUDO GRAFOTÉCNICO"/>
    <n v="1"/>
    <n v="370"/>
    <n v="300"/>
    <s v="OK"/>
    <m/>
    <m/>
    <s v=""/>
    <s v=""/>
    <x v="151"/>
    <n v="300"/>
    <n v="0"/>
  </r>
  <r>
    <s v="467"/>
    <d v="2021-12-16T00:00:00"/>
    <s v="2021160016"/>
    <x v="64"/>
    <x v="4"/>
    <s v="0015219-75.2013.8.15.0011"/>
    <s v="JOSEFA TEREZA DE JESUS"/>
    <s v="MUNICIPIO DE CAMPINA GRANDE"/>
    <x v="112"/>
    <m/>
    <x v="5"/>
    <s v="LAUDO PERICIAL DAS CONDIÇÕES ESTRUTURAIS DE SEGURNÇA E SOLIDEZ DE IMÓVEL, CONFORME NORMA DA ABNT RESPECTIVAS"/>
    <n v="8"/>
    <n v="370"/>
    <n v="370"/>
    <s v="OK"/>
    <m/>
    <m/>
    <s v=""/>
    <s v=""/>
    <x v="152"/>
    <n v="370"/>
    <n v="0"/>
  </r>
  <r>
    <s v="468"/>
    <d v="2021-12-02T00:00:00"/>
    <s v="2021154006"/>
    <x v="41"/>
    <x v="11"/>
    <s v="0800731-76.2021.8.15.0181"/>
    <s v="SEVERINA ALVES DE SOUZA e outra"/>
    <s v="Banco C6 consignado e outra"/>
    <x v="1"/>
    <s v="021.205.144-02"/>
    <x v="1"/>
    <s v="LAUDO GRAFOTÉCNICO"/>
    <n v="1"/>
    <n v="300"/>
    <n v="300"/>
    <s v="OK"/>
    <m/>
    <m/>
    <s v=""/>
    <s v=""/>
    <x v="153"/>
    <n v="300"/>
    <n v="0"/>
  </r>
  <r>
    <s v="469"/>
    <d v="2021-11-18T00:00:00"/>
    <s v="2021147654"/>
    <x v="7"/>
    <x v="6"/>
    <s v=" 0001652-77.2013.8.15.0301"/>
    <s v="EVALDO JOSE DA SILVA"/>
    <s v="VALDEMI VIEIRA DA_x000a_SILVA e outros"/>
    <x v="113"/>
    <s v="097.601.714-81"/>
    <x v="5"/>
    <s v="LAUDO DE AVALIAÇÃO DE IMÓVEL RURAL, CONFORME NORMAS DA ABNT RESPECTIVA"/>
    <n v="7"/>
    <n v="530"/>
    <n v="4350"/>
    <s v="ACIMA"/>
    <m/>
    <m/>
    <s v=""/>
    <s v=""/>
    <x v="153"/>
    <n v="4350"/>
    <n v="0"/>
  </r>
  <r>
    <s v="470"/>
    <d v="2021-11-11T00:00:00"/>
    <s v="2021145167"/>
    <x v="46"/>
    <x v="4"/>
    <s v="0012816-70.2012.8.15.0011"/>
    <s v="SEVERINA FARIAS LOPES"/>
    <s v="Massa Falida da Federal de Seguros S/A"/>
    <x v="33"/>
    <s v="027.494.154-62"/>
    <x v="5"/>
    <s v="OUTRAS"/>
    <n v="12"/>
    <n v="370"/>
    <n v="1850"/>
    <s v="OK"/>
    <m/>
    <m/>
    <s v=""/>
    <s v=""/>
    <x v="153"/>
    <n v="1850"/>
    <n v="0"/>
  </r>
  <r>
    <s v="471"/>
    <d v="2021-08-16T00:00:00"/>
    <s v="2021105436"/>
    <x v="51"/>
    <x v="22"/>
    <s v="0801258-98.2018.8.15.0321"/>
    <s v="HERCULES_x000a_DE MEDEIROS MARINHO"/>
    <s v="BV FINANCEIRA SA CREDITO FINANCIAMENTO E_x000a_INVESTIMENTO"/>
    <x v="2"/>
    <s v="34.352.738/0001-30"/>
    <x v="6"/>
    <s v="LAUDO EM AÇÃO REVISIONAL ENVOLVENDO NEGÓCIOS BANCÁRIOS ATÉ 4 (QUATRO) CONTRATOS"/>
    <n v="2"/>
    <n v="370"/>
    <n v="500"/>
    <s v="OK"/>
    <m/>
    <m/>
    <s v=""/>
    <s v=""/>
    <x v="153"/>
    <n v="500"/>
    <n v="0"/>
  </r>
  <r>
    <s v="472"/>
    <d v="2021-12-13T00:00:00"/>
    <s v="2021158494"/>
    <x v="65"/>
    <x v="12"/>
    <s v=" 0800320-18.2019.815.1211"/>
    <s v="DOMINGOS CRISTINO DA SILVA"/>
    <s v="BANCO BMG S.A"/>
    <x v="61"/>
    <s v="701.876.111-57"/>
    <x v="1"/>
    <s v="LAUDO GRAFOTÉCNICO"/>
    <n v="1"/>
    <n v="300"/>
    <n v="300"/>
    <s v="OK"/>
    <m/>
    <m/>
    <s v=""/>
    <s v=""/>
    <x v="153"/>
    <n v="300"/>
    <n v="0"/>
  </r>
  <r>
    <s v="473"/>
    <d v="2019-08-01T00:00:00"/>
    <s v="2019158029"/>
    <x v="41"/>
    <x v="11"/>
    <s v="0000474-11.2014.815.0511"/>
    <s v="MARIA JOSINETE SOUSA DO NASCIMENTO"/>
    <s v="Municipio de Pirpirituba"/>
    <x v="29"/>
    <s v="000.827.794-06"/>
    <x v="0"/>
    <s v="OUTRAS"/>
    <n v="15"/>
    <n v="370"/>
    <n v="370"/>
    <s v="OK"/>
    <m/>
    <m/>
    <s v=""/>
    <s v=""/>
    <x v="154"/>
    <n v="370"/>
    <n v="0"/>
  </r>
  <r>
    <s v="474"/>
    <d v="2019-08-01T00:00:00"/>
    <s v="2019158045"/>
    <x v="21"/>
    <x v="11"/>
    <s v="0000045-78.2013.815.0511"/>
    <s v="JOSE LUIZ DE FRANCA SEGUNDO"/>
    <s v="Municipio de Pirpirituba"/>
    <x v="29"/>
    <s v="000.827.794-06"/>
    <x v="0"/>
    <s v="OUTRAS"/>
    <n v="15"/>
    <n v="370"/>
    <n v="370"/>
    <s v="OK"/>
    <m/>
    <m/>
    <s v=""/>
    <s v=""/>
    <x v="154"/>
    <n v="370"/>
    <n v="0"/>
  </r>
  <r>
    <s v="475"/>
    <d v="2019-08-01T00:00:00"/>
    <s v="2019158012"/>
    <x v="41"/>
    <x v="11"/>
    <s v="0000333-21.2016.815.0511"/>
    <s v="JOSE OSMAR RODRIGUES DOS SANTOS"/>
    <s v="MUNICIPIO DE SERTAOZINHO"/>
    <x v="29"/>
    <s v="000.827.794-06"/>
    <x v="0"/>
    <s v="OUTRAS"/>
    <n v="15"/>
    <n v="370"/>
    <n v="370"/>
    <s v="OK"/>
    <m/>
    <m/>
    <s v=""/>
    <s v=""/>
    <x v="155"/>
    <n v="370"/>
    <n v="0"/>
  </r>
  <r>
    <s v="476"/>
    <d v="2019-08-01T00:00:00"/>
    <s v="2019157972"/>
    <x v="66"/>
    <x v="27"/>
    <s v="0000865-68.2011.815.0511"/>
    <s v="Eliete Rafael dos Santos Cardoso"/>
    <s v="MUNICIPIO DE Duas Estradas"/>
    <x v="29"/>
    <s v="000.827.794-06"/>
    <x v="0"/>
    <s v="OUTRAS"/>
    <n v="15"/>
    <n v="370"/>
    <n v="370"/>
    <s v="OK"/>
    <m/>
    <m/>
    <s v=""/>
    <s v=""/>
    <x v="155"/>
    <n v="370"/>
    <n v="0"/>
  </r>
  <r>
    <s v="477"/>
    <d v="2021-10-29T00:00:00"/>
    <s v="2021140402"/>
    <x v="1"/>
    <x v="1"/>
    <s v="0806133-64.2017.8.15.0251"/>
    <s v="JOSEMAR DE ARAUJO OLIVEIRA"/>
    <s v=" EMPRESA_x000a_GONTIJO DE TRANSPORTES LTDA._x000a_"/>
    <x v="114"/>
    <s v="008.076.984-58"/>
    <x v="5"/>
    <s v="OUTRAS"/>
    <n v="12"/>
    <n v="370"/>
    <n v="1100"/>
    <s v="OK"/>
    <m/>
    <m/>
    <s v=""/>
    <s v=""/>
    <x v="153"/>
    <n v="1100"/>
    <n v="0"/>
  </r>
  <r>
    <s v="478"/>
    <d v="2019-08-01T00:00:00"/>
    <s v="2019158037"/>
    <x v="21"/>
    <x v="11"/>
    <s v="0000481-71.2012.815.0511"/>
    <s v="Maria Lícia Nogueira_x000a_Santos"/>
    <s v="Municipio de Pirpirituba"/>
    <x v="29"/>
    <s v="000.827.794-06"/>
    <x v="0"/>
    <s v="OUTRAS"/>
    <n v="15"/>
    <n v="370"/>
    <n v="370"/>
    <s v="OK"/>
    <m/>
    <m/>
    <s v=""/>
    <s v=""/>
    <x v="155"/>
    <n v="370"/>
    <n v="0"/>
  </r>
  <r>
    <s v="479"/>
    <d v="2019-08-01T00:00:00"/>
    <s v="2019157989"/>
    <x v="41"/>
    <x v="11"/>
    <s v="0000631-13.2016.815.0511"/>
    <s v="JOSEFA GOMES DA SILVA"/>
    <s v="MUNICIPIO DE SERTAOZINHO"/>
    <x v="29"/>
    <s v="000.827.794-06"/>
    <x v="0"/>
    <s v="OUTRAS"/>
    <n v="15"/>
    <n v="370"/>
    <n v="370"/>
    <s v="OK"/>
    <m/>
    <m/>
    <s v=""/>
    <s v=""/>
    <x v="154"/>
    <n v="370"/>
    <n v="0"/>
  </r>
  <r>
    <s v="480"/>
    <d v="2019-08-01T00:00:00"/>
    <s v="2019157997"/>
    <x v="21"/>
    <x v="11"/>
    <s v="0000335-88.2016.815.0511"/>
    <s v="José Adeilzo da Silva"/>
    <s v="MUNICIPIO DE SERTAOZINHO"/>
    <x v="29"/>
    <s v="000.827.794-06"/>
    <x v="0"/>
    <s v="OUTRAS"/>
    <n v="15"/>
    <n v="370"/>
    <n v="370"/>
    <s v="OK"/>
    <m/>
    <m/>
    <s v=""/>
    <s v=""/>
    <x v="154"/>
    <n v="370"/>
    <n v="0"/>
  </r>
  <r>
    <s v="481"/>
    <m/>
    <m/>
    <x v="67"/>
    <x v="28"/>
    <m/>
    <m/>
    <m/>
    <x v="115"/>
    <m/>
    <x v="8"/>
    <m/>
    <m/>
    <m/>
    <m/>
    <m/>
    <m/>
    <m/>
    <m/>
    <m/>
    <x v="118"/>
    <s v=""/>
    <s v=""/>
  </r>
  <r>
    <s v="482"/>
    <d v="2021-10-28T00:00:00"/>
    <s v="2021140015"/>
    <x v="29"/>
    <x v="4"/>
    <s v="0818468-84.2020.8.15.0001"/>
    <s v="RAIANY DE ALMEIDA FERNANDES"/>
    <s v="JULIO ACACIO DE ANDRADE MAIA"/>
    <x v="99"/>
    <s v="275.900.448-14"/>
    <x v="4"/>
    <m/>
    <n v="16"/>
    <n v="300"/>
    <n v="300"/>
    <s v="OK"/>
    <m/>
    <m/>
    <s v=""/>
    <s v=""/>
    <x v="152"/>
    <n v="300"/>
    <n v="0"/>
  </r>
  <r>
    <s v="483"/>
    <d v="2021-10-28T00:00:00"/>
    <s v="2021139978"/>
    <x v="29"/>
    <x v="4"/>
    <s v="0805074-49.2016.8.15.0001"/>
    <s v="JOSE ALENCAR ROLIM FILHO"/>
    <s v="FERNANDA FARIAS ALENCAR"/>
    <x v="99"/>
    <s v="275.900.448-14"/>
    <x v="4"/>
    <m/>
    <n v="16"/>
    <n v="300"/>
    <n v="300"/>
    <s v="OK"/>
    <m/>
    <m/>
    <s v=""/>
    <s v=""/>
    <x v="152"/>
    <n v="300"/>
    <n v="0"/>
  </r>
  <r>
    <s v="484"/>
    <d v="2021-10-27T00:00:00"/>
    <s v="2021139332"/>
    <x v="29"/>
    <x v="4"/>
    <s v="0803302-12.2020.8.15.0001"/>
    <s v="EMANUELA DOS SANTOS RIBEIRO"/>
    <s v="SILVANO ARRUDA ALVES"/>
    <x v="91"/>
    <s v="086792134-_x000a_03"/>
    <x v="4"/>
    <m/>
    <n v="16"/>
    <n v="300"/>
    <n v="300"/>
    <s v="OK"/>
    <m/>
    <m/>
    <s v=""/>
    <s v=""/>
    <x v="152"/>
    <n v="300"/>
    <n v="0"/>
  </r>
  <r>
    <s v="485"/>
    <d v="2022-03-18T00:00:00"/>
    <s v="2022041961"/>
    <x v="50"/>
    <x v="21"/>
    <s v="0000208-81.2011.8.15.0041"/>
    <s v="MESSIAS DE SOUZA"/>
    <s v=" PSF - PROCURADORIA SECCIONAL FEDERAL"/>
    <x v="76"/>
    <s v="094.143.164-93"/>
    <x v="0"/>
    <s v="OUTRAS"/>
    <n v="15"/>
    <n v="370"/>
    <n v="300"/>
    <s v="OK"/>
    <m/>
    <m/>
    <s v=""/>
    <s v=""/>
    <x v="156"/>
    <n v="300"/>
    <n v="0"/>
  </r>
  <r>
    <s v="486"/>
    <d v="2022-03-21T00:00:00"/>
    <s v="2022042198"/>
    <x v="4"/>
    <x v="0"/>
    <s v="0801820-88.2017.8.15.0371"/>
    <s v="RAIMUNDA MOREIRA DE ABRANTES"/>
    <s v="MUNICIPIO DE SOUSA"/>
    <x v="1"/>
    <s v="021.205.144-02"/>
    <x v="5"/>
    <s v="LAUDO DE INSALUBRIDADE E/OU PERICULOSIDADE, CONFORME NORMAS DA ABNT RESPECTIVAS"/>
    <n v="11"/>
    <n v="370"/>
    <n v="370"/>
    <s v="OK"/>
    <m/>
    <m/>
    <s v=""/>
    <s v=""/>
    <x v="157"/>
    <n v="370"/>
    <n v="0"/>
  </r>
  <r>
    <s v="487"/>
    <d v="2022-03-21T00:00:00"/>
    <s v="2022042608"/>
    <x v="50"/>
    <x v="21"/>
    <s v="0000168-31.2013.8.15.0041"/>
    <s v=" MARIA_x000a_DO CEU SOUSA"/>
    <s v=" INSS- INSTITUTO NACIONAL DO SEGURO SOCIAL"/>
    <x v="76"/>
    <s v="094.143.164-93"/>
    <x v="0"/>
    <s v="OUTRAS"/>
    <n v="15"/>
    <n v="370"/>
    <n v="300"/>
    <s v="OK"/>
    <m/>
    <m/>
    <s v=""/>
    <s v=""/>
    <x v="157"/>
    <n v="300"/>
    <n v="0"/>
  </r>
  <r>
    <s v="488"/>
    <d v="2021-10-28T00:00:00"/>
    <s v="2021139620"/>
    <x v="63"/>
    <x v="24"/>
    <s v="0801141-_x000a_18.2020.8.15.0231"/>
    <s v="PAULO ABÍLIO DO NASCIMENTO"/>
    <s v="INSS"/>
    <x v="54"/>
    <s v="485.549.104- 78"/>
    <x v="0"/>
    <s v="OUTRAS"/>
    <n v="15"/>
    <n v="370"/>
    <n v="370"/>
    <s v="OK"/>
    <m/>
    <m/>
    <s v=""/>
    <s v=""/>
    <x v="152"/>
    <n v="370"/>
    <n v="0"/>
  </r>
  <r>
    <s v="489"/>
    <d v="2019-08-01T00:00:00"/>
    <s v="2019157964"/>
    <x v="21"/>
    <x v="11"/>
    <s v=" 0000632-66.2014.815.0511"/>
    <s v="ROBERTO LIRA DE OLIVEIRA"/>
    <s v="MUNICIPIO DE SERTAOZINHO"/>
    <x v="29"/>
    <s v="000.827.794-06"/>
    <x v="0"/>
    <s v="OUTRAS"/>
    <n v="15"/>
    <n v="370"/>
    <n v="300"/>
    <s v="OK"/>
    <m/>
    <m/>
    <s v=""/>
    <s v=""/>
    <x v="158"/>
    <n v="300"/>
    <n v="0"/>
  </r>
  <r>
    <s v="490"/>
    <d v="2022-03-21T00:00:00"/>
    <s v="2022042544"/>
    <x v="25"/>
    <x v="14"/>
    <s v="0800049-35.2020.815.0221"/>
    <s v="JOSEFA IRANEIDE DE_x000a_LACERDA"/>
    <s v="FAGNER LACERDA GALDINO"/>
    <x v="31"/>
    <s v="053.027.324-16"/>
    <x v="0"/>
    <s v="LAUDO EM INTERDIÇÃO/DNA"/>
    <n v="13"/>
    <n v="370"/>
    <n v="370"/>
    <s v="OK"/>
    <m/>
    <m/>
    <s v=""/>
    <s v=""/>
    <x v="159"/>
    <n v="370"/>
    <n v="0"/>
  </r>
  <r>
    <s v="491"/>
    <d v="2022-03-11T00:00:00"/>
    <s v="2022038378"/>
    <x v="4"/>
    <x v="0"/>
    <s v="0803369-94.2021.8.15.037"/>
    <s v=" JOSÉ MÁRIO PEREIRA"/>
    <s v="MUNICIPIO DE NAZAREZINHO"/>
    <x v="1"/>
    <s v="021.205.144-02"/>
    <x v="5"/>
    <s v="LAUDO DE INSALUBRIDADE E/OU PERICULOSIDADE, CONFORME NORMAS DA ABNT RESPECTIVAS"/>
    <n v="11"/>
    <n v="370"/>
    <n v="370"/>
    <s v="OK"/>
    <m/>
    <m/>
    <s v=""/>
    <s v=""/>
    <x v="160"/>
    <n v="370"/>
    <n v="0"/>
  </r>
  <r>
    <s v="492"/>
    <d v="2022-03-11T00:00:00"/>
    <s v="2022038335"/>
    <x v="0"/>
    <x v="0"/>
    <s v="0804114-74.2021.8.15.0371"/>
    <s v=" ERIVANIA MOREIRA DE OLIVEIERA"/>
    <s v="MUNICIPIO DE VIEIROPOLIS"/>
    <x v="1"/>
    <s v="021.205.144-02"/>
    <x v="5"/>
    <s v="LAUDO DE INSALUBRIDADE E/OU PERICULOSIDADE, CONFORME NORMAS DA ABNT RESPECTIVAS"/>
    <n v="11"/>
    <n v="370"/>
    <n v="370"/>
    <s v="OK"/>
    <m/>
    <m/>
    <s v=""/>
    <s v=""/>
    <x v="160"/>
    <n v="370"/>
    <n v="0"/>
  </r>
  <r>
    <s v="493"/>
    <d v="2022-03-14T00:00:00"/>
    <s v="2022038812"/>
    <x v="1"/>
    <x v="1"/>
    <s v="0801461-42.2019.8.15.0251"/>
    <s v="CELI OSVALDO SOARES DIAS"/>
    <s v="INSS"/>
    <x v="96"/>
    <s v="759.709.294-68"/>
    <x v="0"/>
    <s v="OUTRAS"/>
    <n v="15"/>
    <n v="370"/>
    <n v="370"/>
    <s v="OK"/>
    <m/>
    <m/>
    <s v=""/>
    <s v=""/>
    <x v="160"/>
    <n v="370"/>
    <n v="0"/>
  </r>
  <r>
    <s v="494"/>
    <d v="2022-03-11T00:00:00"/>
    <s v="2022038417"/>
    <x v="4"/>
    <x v="0"/>
    <s v="0803829-81.2021.8.15.0371"/>
    <s v=" MARIA DO SOCORRO FERREIRA DA SILVA"/>
    <s v="MUNICIPIO DE SOUSA"/>
    <x v="1"/>
    <s v="021.205.144-02"/>
    <x v="5"/>
    <s v="LAUDO DE INSALUBRIDADE E/OU PERICULOSIDADE, CONFORME NORMAS DA ABNT RESPECTIVAS"/>
    <n v="11"/>
    <n v="370"/>
    <n v="370"/>
    <s v="OK"/>
    <m/>
    <m/>
    <s v=""/>
    <s v=""/>
    <x v="160"/>
    <n v="370"/>
    <n v="0"/>
  </r>
  <r>
    <s v="495"/>
    <d v="2022-03-16T00:00:00"/>
    <s v="2022040174"/>
    <x v="42"/>
    <x v="12"/>
    <s v="0001816-47.2012.8.15.0731"/>
    <s v="MARIA DAS DORES ROSELY FALCONI DE OLIVEIRA"/>
    <s v="ARTUR CORREIA DE BRITO FILHO"/>
    <x v="1"/>
    <s v="021.205.144-02"/>
    <x v="5"/>
    <s v="LAUDO DE INSALUBRIDADE E/OU PERICULOSIDADE, CONFORME NORMAS DA ABNT RESPECTIVAS"/>
    <n v="11"/>
    <n v="370"/>
    <n v="300"/>
    <s v="OK"/>
    <m/>
    <m/>
    <s v=""/>
    <s v=""/>
    <x v="161"/>
    <n v="300"/>
    <n v="0"/>
  </r>
  <r>
    <s v="496"/>
    <d v="2022-03-03T00:00:00"/>
    <s v="2022032797"/>
    <x v="39"/>
    <x v="18"/>
    <s v="0800984-98.2021.8.15.0881"/>
    <s v=" EUCILENE DANTAS PEREIRA"/>
    <s v="ERICA DAYANE DANTAS DOS SANTOS"/>
    <x v="97"/>
    <s v="753.109.024-49"/>
    <x v="0"/>
    <s v="LAUDO EM INTERDIÇÃO/DNA"/>
    <n v="13"/>
    <n v="370"/>
    <n v="370"/>
    <s v="OK"/>
    <m/>
    <m/>
    <s v=""/>
    <s v=""/>
    <x v="161"/>
    <n v="370"/>
    <n v="0"/>
  </r>
  <r>
    <s v="497"/>
    <d v="2022-03-11T00:00:00"/>
    <s v="2022038351"/>
    <x v="4"/>
    <x v="0"/>
    <s v="0802648-45.2021.8.15.0371"/>
    <s v=" MARIA DOS REMEDIOS XAVIER LACERDA"/>
    <s v="MUNICIPIO DE SOUSA"/>
    <x v="1"/>
    <s v="021.205.144-02"/>
    <x v="5"/>
    <s v="LAUDO DE INSALUBRIDADE E/OU PERICULOSIDADE, CONFORME NORMAS DA ABNT RESPECTIVAS"/>
    <n v="11"/>
    <n v="370"/>
    <n v="370"/>
    <s v="OK"/>
    <m/>
    <m/>
    <s v=""/>
    <s v=""/>
    <x v="160"/>
    <n v="370"/>
    <n v="0"/>
  </r>
  <r>
    <s v="498"/>
    <d v="2022-03-15T00:00:00"/>
    <s v="2022039862"/>
    <x v="5"/>
    <x v="4"/>
    <s v="0828313-77.2019.8.15.0001"/>
    <s v="KLEVERTON HARTUR FERREIRA MIRANDA"/>
    <s v="ODONTO_x000a_SYSTEM PLANOS"/>
    <x v="116"/>
    <s v="069.915.284-47"/>
    <x v="0"/>
    <s v="OUTRAS"/>
    <n v="15"/>
    <n v="370"/>
    <n v="370"/>
    <s v="OK"/>
    <m/>
    <m/>
    <s v=""/>
    <s v=""/>
    <x v="162"/>
    <n v="370"/>
    <n v="0"/>
  </r>
  <r>
    <s v="499"/>
    <d v="2022-03-17T00:00:00"/>
    <s v="2022041200"/>
    <x v="50"/>
    <x v="21"/>
    <s v="0000326-57.2011.815.0041"/>
    <s v=" ANTÔNIO_x000a_JOSÉ DA SILVA"/>
    <s v="INSS"/>
    <x v="76"/>
    <s v="094.143.164-93"/>
    <x v="0"/>
    <s v="OUTRAS"/>
    <n v="15"/>
    <n v="370"/>
    <n v="300"/>
    <s v="OK"/>
    <m/>
    <m/>
    <s v=""/>
    <s v=""/>
    <x v="161"/>
    <n v="300"/>
    <n v="0"/>
  </r>
  <r>
    <s v="500"/>
    <d v="2022-03-17T00:00:00"/>
    <s v="2022041226"/>
    <x v="50"/>
    <x v="21"/>
    <s v=" 0800525-36.2017.815.0041"/>
    <s v="ANTONIO RODRIGUES MARTINS"/>
    <s v="INSS"/>
    <x v="76"/>
    <s v="094.143.164-93"/>
    <x v="0"/>
    <s v="OUTRAS"/>
    <n v="15"/>
    <n v="370"/>
    <n v="300"/>
    <s v="OK"/>
    <m/>
    <m/>
    <s v=""/>
    <s v=""/>
    <x v="161"/>
    <n v="300"/>
    <n v="0"/>
  </r>
  <r>
    <s v="501"/>
    <d v="2022-03-14T00:00:00"/>
    <s v="2022039225"/>
    <x v="4"/>
    <x v="0"/>
    <s v="0803859-19.2021.8.15.0371"/>
    <s v="DENIS ALEXANDRE TARGINO_x000a_LACEERDA"/>
    <s v="MUNICIPIO DE SOUSA"/>
    <x v="1"/>
    <s v="021.205.144-02"/>
    <x v="5"/>
    <s v="LAUDO DE INSALUBRIDADE E/OU PERICULOSIDADE, CONFORME NORMAS DA ABNT RESPECTIVAS"/>
    <n v="11"/>
    <n v="370"/>
    <n v="370"/>
    <s v="OK"/>
    <m/>
    <m/>
    <s v=""/>
    <s v=""/>
    <x v="161"/>
    <n v="370"/>
    <n v="0"/>
  </r>
  <r>
    <s v="502"/>
    <d v="2022-03-29T00:00:00"/>
    <s v="2022047508"/>
    <x v="0"/>
    <x v="0"/>
    <s v="0802623-32.2021.8.15.0371"/>
    <s v=" ANA_x000a_PAULA MARQUES GUIMARÂES"/>
    <s v=" MUNICÍPIO DE APARECIDA"/>
    <x v="1"/>
    <s v="021.205.144-02"/>
    <x v="5"/>
    <s v="LAUDO DE INSALUBRIDADE E/OU PERICULOSIDADE, CONFORME NORMAS DA ABNT RESPECTIVAS"/>
    <n v="11"/>
    <n v="370"/>
    <n v="370"/>
    <s v="OK"/>
    <m/>
    <m/>
    <s v=""/>
    <s v=""/>
    <x v="163"/>
    <n v="370"/>
    <n v="0"/>
  </r>
  <r>
    <s v="503"/>
    <d v="2022-02-04T00:00:00"/>
    <s v="2022017807"/>
    <x v="0"/>
    <x v="0"/>
    <s v="0804117-29.2021.8.15.0371"/>
    <s v="FRANCISCA MARIA ALFREDO e outros"/>
    <s v=" MUNICÍPIO DE VIEIRÓPOLIS"/>
    <x v="1"/>
    <s v="021.205.144-02"/>
    <x v="5"/>
    <s v="LAUDO DE INSALUBRIDADE E/OU PERICULOSIDADE, CONFORME NORMAS DA ABNT RESPECTIVAS"/>
    <n v="11"/>
    <n v="370"/>
    <n v="370"/>
    <s v="OK"/>
    <m/>
    <m/>
    <s v=""/>
    <s v=""/>
    <x v="164"/>
    <n v="370"/>
    <n v="0"/>
  </r>
  <r>
    <s v="504"/>
    <d v="2022-03-18T00:00:00"/>
    <s v="2022041793 "/>
    <x v="68"/>
    <x v="12"/>
    <s v="0000146-47.2016.8.15.1211"/>
    <s v="Simone Ferreira da Cruz"/>
    <s v="Município de LUCENA"/>
    <x v="117"/>
    <s v="185.804.594-00"/>
    <x v="0"/>
    <s v="OUTRAS"/>
    <n v="15"/>
    <n v="370"/>
    <n v="750"/>
    <s v="OK"/>
    <m/>
    <m/>
    <s v=""/>
    <s v=""/>
    <x v="152"/>
    <n v="750"/>
    <n v="0"/>
  </r>
  <r>
    <s v="505"/>
    <d v="2022-03-25T00:00:00"/>
    <s v="2022045467"/>
    <x v="62"/>
    <x v="6"/>
    <s v="0800154-63.2020.8.15.0301"/>
    <s v="FRANCISCA MARIA DA COSTA"/>
    <s v="banco pan"/>
    <x v="1"/>
    <s v="021.205.144-02"/>
    <x v="1"/>
    <s v="LAUDO GRAFOTÉCNICO"/>
    <n v="1"/>
    <n v="300"/>
    <n v="300"/>
    <s v="OK"/>
    <m/>
    <m/>
    <s v=""/>
    <s v=""/>
    <x v="165"/>
    <n v="300"/>
    <n v="0"/>
  </r>
  <r>
    <s v="506"/>
    <d v="2022-03-25T00:00:00"/>
    <s v="2022045506"/>
    <x v="4"/>
    <x v="0"/>
    <s v="0802714-25.2021.8.15.0371"/>
    <s v="ANNA KARLA NOGUEIRA LOPES"/>
    <s v="MUNICIPIO DE SANTA CRUZ"/>
    <x v="1"/>
    <s v="021.205.144-02"/>
    <x v="5"/>
    <s v="LAUDO DE INSALUBRIDADE E/OU PERICULOSIDADE, CONFORME NORMAS DA ABNT RESPECTIVAS"/>
    <n v="11"/>
    <n v="370"/>
    <n v="370"/>
    <s v="OK"/>
    <m/>
    <m/>
    <s v=""/>
    <s v=""/>
    <x v="165"/>
    <n v="370"/>
    <n v="0"/>
  </r>
  <r>
    <s v="507"/>
    <d v="2022-04-01T00:00:00"/>
    <s v="2022050219"/>
    <x v="0"/>
    <x v="0"/>
    <s v="0803370-_x000a_79.2021.8.15.0371"/>
    <s v="MARCELO ABRANTES PEREIRA e outro"/>
    <s v=" MUNICIPIO DE_x000a_NAZAREZINHO"/>
    <x v="1"/>
    <s v="021.205.144-02"/>
    <x v="5"/>
    <s v="LAUDO DE INSALUBRIDADE E/OU PERICULOSIDADE, CONFORME NORMAS DA ABNT RESPECTIVAS"/>
    <n v="11"/>
    <n v="370"/>
    <n v="370"/>
    <s v="OK"/>
    <m/>
    <m/>
    <s v=""/>
    <s v=""/>
    <x v="166"/>
    <n v="370"/>
    <n v="0"/>
  </r>
  <r>
    <s v="508"/>
    <d v="2022-03-18T00:00:00"/>
    <s v="2022042059"/>
    <x v="0"/>
    <x v="0"/>
    <s v="0802636-31.2021.8.15.0371"/>
    <s v="DIRCEU PEREIRA BRASILEIRO"/>
    <s v="MUNICIPIO DE SOUSA"/>
    <x v="1"/>
    <s v="021.205.144-02"/>
    <x v="5"/>
    <s v="LAUDO DE INSALUBRIDADE E/OU PERICULOSIDADE, CONFORME NORMAS DA ABNT RESPECTIVAS"/>
    <n v="11"/>
    <n v="370"/>
    <n v="370"/>
    <s v="OK"/>
    <m/>
    <m/>
    <s v=""/>
    <s v=""/>
    <x v="167"/>
    <n v="370"/>
    <n v="0"/>
  </r>
  <r>
    <s v="509"/>
    <d v="2022-04-07T00:00:00"/>
    <s v="2022053024"/>
    <x v="29"/>
    <x v="4"/>
    <s v="0807055-40.2021.8.15.0001"/>
    <s v="GILVANDRO DE LIRA SANTOS"/>
    <s v="GERLANY PEREIRA DOS SANTOS"/>
    <x v="91"/>
    <s v=" 086792134-03"/>
    <x v="4"/>
    <m/>
    <n v="16"/>
    <n v="300"/>
    <n v="300"/>
    <s v="OK"/>
    <m/>
    <m/>
    <s v=""/>
    <s v=""/>
    <x v="164"/>
    <n v="300"/>
    <n v="0"/>
  </r>
  <r>
    <s v="510"/>
    <d v="2022-04-07T00:00:00"/>
    <s v="2022052917"/>
    <x v="4"/>
    <x v="0"/>
    <s v="0805080-08.2019.8.15.0371"/>
    <s v="R ELIZIANA DE SOUSA AIRES"/>
    <s v="MUNICIPIO DE SANTA CRUZ"/>
    <x v="1"/>
    <s v="021.205.144-02"/>
    <x v="5"/>
    <s v="LAUDO DE INSALUBRIDADE E/OU PERICULOSIDADE, CONFORME NORMAS DA ABNT RESPECTIVAS"/>
    <n v="11"/>
    <n v="370"/>
    <n v="370"/>
    <s v="OK"/>
    <m/>
    <m/>
    <s v=""/>
    <s v=""/>
    <x v="167"/>
    <n v="370"/>
    <n v="0"/>
  </r>
  <r>
    <s v="511"/>
    <d v="2021-05-25T00:00:00"/>
    <s v="2021064065"/>
    <x v="46"/>
    <x v="4"/>
    <s v="0827689-28.2019.8.15.0001"/>
    <s v=" Maria_x000a_Aparecida da Silva"/>
    <s v="Heron Andrade Marinho"/>
    <x v="33"/>
    <s v="027.494.154-62"/>
    <x v="5"/>
    <s v="LAUDO PERICIAL DAS CONDIÇÕES ESTRUTURAIS DE SEGURNÇA E SOLIDEZ DE IMÓVEL, CONFORME NORMA DA ABNT RESPECTIVAS"/>
    <n v="8"/>
    <n v="370"/>
    <n v="1200"/>
    <s v="OK"/>
    <m/>
    <m/>
    <s v=""/>
    <s v=""/>
    <x v="168"/>
    <n v="1200"/>
    <n v="0"/>
  </r>
  <r>
    <s v="512"/>
    <d v="2019-07-26T00:00:00"/>
    <s v="2019153223"/>
    <x v="9"/>
    <x v="4"/>
    <s v="0804373-83.2019.8.15.0001"/>
    <s v="JANAILMA AIRES BARBOSA"/>
    <s v="JONATHAS DO_x000a_NASCIMENTO ALMEIDA"/>
    <x v="118"/>
    <s v="804.539.294-00"/>
    <x v="3"/>
    <s v="ESTUDO SOCIAL"/>
    <n v="17"/>
    <n v="300"/>
    <n v="450"/>
    <s v="OK"/>
    <m/>
    <m/>
    <s v=""/>
    <s v=""/>
    <x v="168"/>
    <n v="450"/>
    <n v="0"/>
  </r>
  <r>
    <s v="513"/>
    <d v="2021-04-28T00:00:00"/>
    <s v="2021051965"/>
    <x v="1"/>
    <x v="1"/>
    <s v=" 0809043-_x000a_59.2020.8.15.0251"/>
    <s v="GIRLANE MEDEIROS PALMEIRA"/>
    <s v="BANCO DAYCOVAL S/A"/>
    <x v="1"/>
    <s v="021.205.144-02"/>
    <x v="1"/>
    <s v="LAUDO GRAFOTÉCNICO"/>
    <n v="1"/>
    <n v="300"/>
    <n v="300"/>
    <s v="OK"/>
    <m/>
    <m/>
    <s v=""/>
    <s v=""/>
    <x v="168"/>
    <n v="300"/>
    <n v="0"/>
  </r>
  <r>
    <s v="514"/>
    <d v="2021-02-25T00:00:00"/>
    <s v="2021027382"/>
    <x v="69"/>
    <x v="29"/>
    <s v=" 0002632-_x000a_92.2012.815.0031"/>
    <s v="Danyelle Cunha de Andrade"/>
    <s v=" Maria Lúcia Gomes Oliveira e Silva"/>
    <x v="119"/>
    <s v="798.029.744-04"/>
    <x v="5"/>
    <s v="OUTRAS"/>
    <n v="10"/>
    <n v="870"/>
    <n v="2000"/>
    <s v="OK"/>
    <m/>
    <m/>
    <s v=""/>
    <s v=""/>
    <x v="168"/>
    <n v="2000"/>
    <n v="0"/>
  </r>
  <r>
    <s v="515"/>
    <d v="2021-12-02T00:00:00"/>
    <s v="2021153829"/>
    <x v="28"/>
    <x v="16"/>
    <s v="0801325-_x000a_83.2017.8.15.0261"/>
    <s v="PEDRO CARVALHO DE SOUZA"/>
    <s v="Francisco Leite Melo (Vulgo - Chico_x000a_Melo) e Cleonice Sampaio Leite (REU)."/>
    <x v="1"/>
    <s v="021.205.144-02"/>
    <x v="5"/>
    <s v="OUTRAS"/>
    <n v="10"/>
    <n v="870"/>
    <n v="870"/>
    <s v="OK"/>
    <m/>
    <m/>
    <s v=""/>
    <s v=""/>
    <x v="168"/>
    <n v="870"/>
    <n v="0"/>
  </r>
  <r>
    <s v="516"/>
    <d v="2021-03-09T00:00:00"/>
    <s v="2021032669"/>
    <x v="4"/>
    <x v="0"/>
    <s v="0800317-_x000a_26.2018.8.15.0491"/>
    <s v="MARIA FERNANDES DE SOUSA"/>
    <s v="BANCO BMG SA"/>
    <x v="1"/>
    <s v="021.205.144-02"/>
    <x v="5"/>
    <s v="LAUDO DE INSALUBRIDADE E/OU PERICULOSIDADE, CONFORME NORMAS DA ABNT RESPECTIVAS"/>
    <n v="11"/>
    <n v="370"/>
    <n v="700"/>
    <s v="OK"/>
    <m/>
    <m/>
    <s v=""/>
    <s v=""/>
    <x v="168"/>
    <n v="700"/>
    <n v="0"/>
  </r>
  <r>
    <s v="517"/>
    <d v="2021-07-05T00:00:00"/>
    <s v="2021085535"/>
    <x v="17"/>
    <x v="4"/>
    <s v="0802613-75.2014.8.15.0001"/>
    <s v=" ANA PAULA DE SOUZA COSTA e outro"/>
    <s v="ESPÓLIO DE JOSÉ EPAMINONDAS BRAGA, ROBERTO MAGNO_x000a_MEIRA BRAGA e UNIDADE ENGENHARIA LTDA."/>
    <x v="33"/>
    <s v="027.494.154-62"/>
    <x v="5"/>
    <s v="LAUDO PERICIAL DAS CONDIÇÕES ESTRUTURAIS DE SEGURNÇA E SOLIDEZ DE IMÓVEL, CONFORME NORMA DA ABNT RESPECTIVAS"/>
    <n v="8"/>
    <n v="370"/>
    <n v="740"/>
    <s v="OK"/>
    <m/>
    <m/>
    <s v=""/>
    <s v=""/>
    <x v="168"/>
    <n v="740"/>
    <n v="0"/>
  </r>
  <r>
    <s v="518"/>
    <d v="2022-04-12T00:00:00"/>
    <s v="2022055284"/>
    <x v="21"/>
    <x v="11"/>
    <s v="0800128-71.2019.815.0181"/>
    <s v="GERALDO TELES DE ARAUJO"/>
    <s v="BANCO ITAÚ CONSIGNADO S.A"/>
    <x v="1"/>
    <s v="021.205.144-02"/>
    <x v="1"/>
    <s v="LAUDO GRAFOTÉCNICO"/>
    <n v="1"/>
    <n v="300"/>
    <n v="300"/>
    <s v="OK"/>
    <m/>
    <m/>
    <s v=""/>
    <s v=""/>
    <x v="169"/>
    <n v="300"/>
    <n v="0"/>
  </r>
  <r>
    <s v="519"/>
    <d v="2022-04-12T00:00:00"/>
    <s v="2022054982"/>
    <x v="1"/>
    <x v="1"/>
    <s v="0803189-50.2021.8.15.0251,"/>
    <s v="Maria Nilda Nunes de Araújo"/>
    <s v="Banco Itaú Consignado S.A"/>
    <x v="1"/>
    <s v="021.205.144-02"/>
    <x v="1"/>
    <s v="LAUDO GRAFOTÉCNICO"/>
    <n v="1"/>
    <n v="300"/>
    <n v="300"/>
    <s v="OK"/>
    <m/>
    <m/>
    <s v=""/>
    <s v=""/>
    <x v="169"/>
    <n v="300"/>
    <n v="0"/>
  </r>
  <r>
    <s v="520"/>
    <d v="2022-04-07T00:00:00"/>
    <s v="2022052925"/>
    <x v="4"/>
    <x v="0"/>
    <s v="0801693-14.2021.8.15.0371"/>
    <s v=" JOSE GELSON DOS SANTOS"/>
    <s v="MUNICÍPIO DE SOUSA"/>
    <x v="1"/>
    <s v="021.205.144-02"/>
    <x v="5"/>
    <s v="LAUDO DE INSALUBRIDADE E/OU PERICULOSIDADE, CONFORME NORMAS DA ABNT RESPECTIVAS"/>
    <n v="11"/>
    <n v="300"/>
    <n v="300"/>
    <s v="OK"/>
    <m/>
    <m/>
    <s v=""/>
    <s v=""/>
    <x v="169"/>
    <n v="300"/>
    <n v="0"/>
  </r>
  <r>
    <s v="521"/>
    <d v="2022-04-12T00:00:00"/>
    <s v="2022054974"/>
    <x v="4"/>
    <x v="0"/>
    <s v="0804961-76.2021.8.15.0371"/>
    <s v=" EDNA FERREIRA DA_x000a_SILVA"/>
    <s v="MUNICÍPIO DE SANTA CRUZ"/>
    <x v="1"/>
    <s v="021.205.144-02"/>
    <x v="5"/>
    <s v="LAUDO DE INSALUBRIDADE E/OU PERICULOSIDADE, CONFORME NORMAS DA ABNT RESPECTIVAS"/>
    <n v="11"/>
    <n v="300"/>
    <n v="300"/>
    <s v="OK"/>
    <m/>
    <m/>
    <s v=""/>
    <s v=""/>
    <x v="169"/>
    <n v="300"/>
    <n v="0"/>
  </r>
  <r>
    <s v="522"/>
    <d v="2022-02-03T00:00:00"/>
    <s v="2022017657"/>
    <x v="39"/>
    <x v="18"/>
    <s v="0801024-51.2019.8.15.0881"/>
    <s v="GUTEFRAN DA SILVA LUCIO"/>
    <s v="DAMIANA RITA DA SILVA LUCIO."/>
    <x v="97"/>
    <s v="753.109.024-49"/>
    <x v="0"/>
    <s v="OUTRAS"/>
    <n v="15"/>
    <n v="370"/>
    <n v="370"/>
    <s v="OK"/>
    <m/>
    <m/>
    <s v=""/>
    <s v=""/>
    <x v="170"/>
    <n v="370"/>
    <n v="0"/>
  </r>
  <r>
    <s v="523"/>
    <d v="2022-04-25T00:00:00"/>
    <s v="2022059138"/>
    <x v="70"/>
    <x v="30"/>
    <s v="0800134-_x000a_52.2018.8.15.1171"/>
    <s v="MARIA MONTEIRO DA SILVA"/>
    <s v="ANA LUCIA MONTEIRO DA SILVA"/>
    <x v="97"/>
    <s v="753.109.024-49"/>
    <x v="0"/>
    <s v="OUTRAS"/>
    <n v="15"/>
    <n v="370"/>
    <n v="370"/>
    <s v="OK"/>
    <m/>
    <m/>
    <s v=""/>
    <s v=""/>
    <x v="170"/>
    <n v="370"/>
    <n v="0"/>
  </r>
  <r>
    <s v="524"/>
    <d v="2022-02-04T00:00:00"/>
    <s v="2022018248"/>
    <x v="0"/>
    <x v="0"/>
    <s v="800147-54.2018.8.15.0491"/>
    <s v="FRANCISCA GOMES DE SOUSA"/>
    <s v="OLAVO ROMÃO DANTAS E MARIA DO SOCORRO BRASIL"/>
    <x v="1"/>
    <s v="021.205.144-02"/>
    <x v="5"/>
    <s v="LAUDO PERICIAL EM AÇÃO DEMARCATÓRIA"/>
    <n v="10"/>
    <n v="870"/>
    <n v="370"/>
    <s v="OK"/>
    <m/>
    <m/>
    <s v=""/>
    <s v=""/>
    <x v="170"/>
    <n v="370"/>
    <n v="0"/>
  </r>
  <r>
    <s v="525"/>
    <d v="2022-04-24T00:00:00"/>
    <s v="2022058957"/>
    <x v="64"/>
    <x v="4"/>
    <s v="0819056-28.2019.8.15.0001"/>
    <s v="Josete Alves de Luna"/>
    <s v="IPSEM - Instituto de Previdência dos Servidores Municipais de Campina Grande"/>
    <x v="120"/>
    <s v="028.634.594-30"/>
    <x v="0"/>
    <s v="OUTRAS"/>
    <n v="15"/>
    <n v="370"/>
    <n v="370"/>
    <s v="OK"/>
    <m/>
    <m/>
    <s v=""/>
    <s v=""/>
    <x v="171"/>
    <n v="370"/>
    <n v="0"/>
  </r>
  <r>
    <s v="526"/>
    <d v="2022-04-26T00:00:00"/>
    <s v="2022059785"/>
    <x v="21"/>
    <x v="11"/>
    <s v="0805159-_x000a_38.2020.8.15.0181"/>
    <s v="EVERALDO FERREIRA DA SILVA"/>
    <s v="BANCO BMG S.A._x000a_"/>
    <x v="1"/>
    <s v="021.205.144-02"/>
    <x v="1"/>
    <s v="LAUDO GRAFOTÉCNICO"/>
    <n v="1"/>
    <n v="300"/>
    <n v="300"/>
    <s v="OK"/>
    <m/>
    <m/>
    <s v=""/>
    <s v=""/>
    <x v="171"/>
    <n v="300"/>
    <n v="0"/>
  </r>
  <r>
    <s v="527"/>
    <d v="2022-04-27T00:00:00"/>
    <s v="2022060917"/>
    <x v="27"/>
    <x v="4"/>
    <s v="0816394-91.2019.8.15.0001"/>
    <s v="JOSE BALBINO DA SILVA"/>
    <s v="Banco Pan"/>
    <x v="1"/>
    <s v="021.205.144-02"/>
    <x v="1"/>
    <s v="LAUDO GRAFOTÉCNICO"/>
    <n v="1"/>
    <n v="300"/>
    <n v="300"/>
    <s v="OK"/>
    <m/>
    <m/>
    <s v=""/>
    <s v=""/>
    <x v="172"/>
    <n v="300"/>
    <n v="0"/>
  </r>
  <r>
    <s v="528"/>
    <d v="2022-04-28T00:00:00"/>
    <s v="2022061240"/>
    <x v="25"/>
    <x v="14"/>
    <s v="0000919-26.2014.8.15.0221"/>
    <s v="Maria Alves de Sousa"/>
    <s v="Ionara Alves de Sousa"/>
    <x v="31"/>
    <s v="053.027.324-16"/>
    <x v="0"/>
    <s v="OUTRAS"/>
    <n v="15"/>
    <n v="370"/>
    <n v="370"/>
    <s v="OK"/>
    <m/>
    <m/>
    <s v=""/>
    <s v=""/>
    <x v="172"/>
    <n v="370"/>
    <n v="0"/>
  </r>
  <r>
    <s v="529"/>
    <d v="2021-10-27T00:00:00"/>
    <s v="2021139316"/>
    <x v="29"/>
    <x v="31"/>
    <s v="0824365-93.2020.8.15.0001"/>
    <s v="RUBENS ALVES DA SILVA"/>
    <s v="INGRID SANTOS OLIVEIRA"/>
    <x v="91"/>
    <s v="086792134-03"/>
    <x v="4"/>
    <m/>
    <n v="16"/>
    <n v="300"/>
    <n v="300"/>
    <s v="OK"/>
    <m/>
    <m/>
    <s v=""/>
    <s v=""/>
    <x v="172"/>
    <n v="300"/>
    <n v="0"/>
  </r>
  <r>
    <s v="530"/>
    <d v="2021-10-27T00:00:00"/>
    <s v="2021139308"/>
    <x v="29"/>
    <x v="4"/>
    <s v="0808920-35.2020.8.15.0001"/>
    <s v="Flávio Roberto de Arruda Ribeiro"/>
    <s v="Jéssica Louise Gomes dos Santos_x000a_"/>
    <x v="91"/>
    <s v="086792134-03"/>
    <x v="4"/>
    <m/>
    <n v="16"/>
    <n v="300"/>
    <n v="300"/>
    <s v="OK"/>
    <m/>
    <m/>
    <s v=""/>
    <s v=""/>
    <x v="172"/>
    <n v="300"/>
    <n v="0"/>
  </r>
  <r>
    <s v="531"/>
    <d v="2022-04-29T00:00:00"/>
    <s v="2022062038"/>
    <x v="27"/>
    <x v="4"/>
    <s v="0803862-51.2020.8.15.0001"/>
    <s v="Lindalva Pereira da Costa"/>
    <s v="Banco Bradesco"/>
    <x v="1"/>
    <s v="021.205.144-02"/>
    <x v="1"/>
    <s v="LAUDO GRAFOTÉCNICO"/>
    <n v="1"/>
    <n v="300"/>
    <n v="300"/>
    <s v="OK"/>
    <m/>
    <m/>
    <s v=""/>
    <s v=""/>
    <x v="173"/>
    <n v="300"/>
    <n v="0"/>
  </r>
  <r>
    <s v="532"/>
    <d v="2022-04-29T00:00:00"/>
    <s v="2022062095"/>
    <x v="1"/>
    <x v="1"/>
    <s v="0805513-13.2021.8.15.0251"/>
    <s v="Manuel Barbosa"/>
    <s v=" Banco Itau Consignado S.A"/>
    <x v="1"/>
    <s v="021.205.144-02"/>
    <x v="1"/>
    <s v="LAUDO GRAFOTÉCNICO"/>
    <n v="1"/>
    <n v="300"/>
    <n v="300"/>
    <s v="OK"/>
    <m/>
    <m/>
    <s v=""/>
    <s v=""/>
    <x v="173"/>
    <n v="300"/>
    <n v="0"/>
  </r>
  <r>
    <s v="533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534"/>
    <m/>
    <m/>
    <x v="67"/>
    <x v="28"/>
    <m/>
    <m/>
    <m/>
    <x v="115"/>
    <m/>
    <x v="8"/>
    <m/>
    <m/>
    <m/>
    <m/>
    <m/>
    <m/>
    <m/>
    <m/>
    <m/>
    <x v="118"/>
    <m/>
    <m/>
  </r>
  <r>
    <s v="535"/>
    <d v="2022-04-22T00:00:00"/>
    <s v="2022058797"/>
    <x v="27"/>
    <x v="4"/>
    <s v="0814708-93.2021.8.15.0001"/>
    <s v="Maria do Socorro Diniz Pereira Teófilo"/>
    <s v="Banco Mercantil do_x000a_Brasil S.A._x000a_"/>
    <x v="1"/>
    <s v="021.205.144-02"/>
    <x v="1"/>
    <s v="LAUDO GRAFOTÉCNICO"/>
    <n v="1"/>
    <n v="300"/>
    <n v="300"/>
    <s v="OK"/>
    <m/>
    <m/>
    <s v=""/>
    <s v=""/>
    <x v="174"/>
    <n v="300"/>
    <n v="0"/>
  </r>
  <r>
    <s v="536"/>
    <d v="2022-04-11T00:00:00"/>
    <s v="2022054829"/>
    <x v="71"/>
    <x v="4"/>
    <s v="0820646-45.2016.8.15.0001"/>
    <s v="WENNIA KALLINE DE_x000a_OLIVEIRA SANTOS"/>
    <s v=" EDVANDRO BARBOSA DE SANTANA"/>
    <x v="121"/>
    <s v="096.877.954-92"/>
    <x v="5"/>
    <s v="LAUDO PERICIAL DAS CONDIÇÕES ESTRUTURAIS DE SEGURNÇA E SOLIDEZ DE IMÓVEL, CONFORME NORMA DA ABNT RESPECTIVAS"/>
    <n v="8"/>
    <n v="370"/>
    <n v="370"/>
    <s v="OK"/>
    <m/>
    <m/>
    <s v=""/>
    <s v=""/>
    <x v="175"/>
    <n v="370"/>
    <n v="0"/>
  </r>
  <r>
    <s v="537"/>
    <d v="2021-07-29T00:00:00"/>
    <s v="2021097184"/>
    <x v="14"/>
    <x v="9"/>
    <s v="0817892-_x000a_13.2017.8.15.2001"/>
    <s v=" RAIMUNDO NONATO MOTA"/>
    <s v=" RUTH BEZERRA MOTA"/>
    <x v="122"/>
    <s v="009.416.684-60"/>
    <x v="5"/>
    <s v="LAUDO DE AVALIAÇÃO DE BENS FUNGÍVEIS/IMÓVEL RURAL/URBANO, CONFORME NORMAS DA ABNT RESPECTIVAS"/>
    <n v="9"/>
    <n v="700"/>
    <n v="370"/>
    <s v="OK"/>
    <m/>
    <m/>
    <s v=""/>
    <s v=""/>
    <x v="176"/>
    <n v="370"/>
    <n v="0"/>
  </r>
  <r>
    <s v="538"/>
    <d v="2022-05-03T00:00:00"/>
    <s v="2022063508"/>
    <x v="50"/>
    <x v="21"/>
    <s v="0800462-_x000a_69.2021.8.15.0041"/>
    <s v="Carlos Alberto de Brito"/>
    <s v=" Rosilda Miranda de Brito"/>
    <x v="78"/>
    <s v="070.453.594-70"/>
    <x v="0"/>
    <s v="OUTRAS"/>
    <n v="15"/>
    <n v="370"/>
    <n v="370"/>
    <s v="OK"/>
    <m/>
    <m/>
    <s v=""/>
    <s v=""/>
    <x v="175"/>
    <n v="370"/>
    <n v="0"/>
  </r>
  <r>
    <s v="539"/>
    <d v="2022-01-18T00:00:00"/>
    <s v="2022008339"/>
    <x v="68"/>
    <x v="12"/>
    <s v="0801649-79.2021.8.15.0731"/>
    <s v="LAYZZA SEVERO DA SILVA"/>
    <s v="Município de Cabedelo"/>
    <x v="1"/>
    <s v="021.205.144-02"/>
    <x v="5"/>
    <s v="LAUDO DE INSALUBRIDADE E/OU PERICULOSIDADE, CONFORME NORMAS DA ABNT RESPECTIVAS"/>
    <n v="11"/>
    <n v="300"/>
    <n v="300"/>
    <s v="OK"/>
    <m/>
    <m/>
    <s v=""/>
    <s v=""/>
    <x v="175"/>
    <n v="300"/>
    <n v="0"/>
  </r>
  <r>
    <s v="540"/>
    <d v="2021-12-07T00:00:00"/>
    <s v="2021156165"/>
    <x v="21"/>
    <x v="11"/>
    <s v="0803843-24.2019.8.15.0181"/>
    <s v="JOSE ROBERTO MENDONCA DE_x000a_OLIVEIRA"/>
    <s v="BANCO BMG SA."/>
    <x v="1"/>
    <s v="021.205.144-02"/>
    <x v="1"/>
    <s v="LAUDO GRAFOTÉCNICO"/>
    <n v="1"/>
    <n v="300"/>
    <n v="370"/>
    <s v="OK"/>
    <m/>
    <m/>
    <s v=""/>
    <s v=""/>
    <x v="177"/>
    <n v="370"/>
    <n v="0"/>
  </r>
  <r>
    <s v="541"/>
    <d v="2021-10-29T00:00:00"/>
    <s v="2021140291"/>
    <x v="41"/>
    <x v="11"/>
    <s v=" 0800121-45.2020.815.0181"/>
    <s v="MARIA_x000a_APARECIDA ARAUJO GALVAO"/>
    <s v="BANCO BMG S.A."/>
    <x v="1"/>
    <s v="021.205.144-02"/>
    <x v="1"/>
    <s v="LAUDO GRAFOTÉCNICO"/>
    <n v="1"/>
    <n v="300"/>
    <n v="300"/>
    <s v="OK"/>
    <m/>
    <m/>
    <s v=""/>
    <s v=""/>
    <x v="177"/>
    <n v="300"/>
    <n v="0"/>
  </r>
  <r>
    <s v="542"/>
    <d v="2022-03-08T00:00:00"/>
    <s v="2022035826"/>
    <x v="21"/>
    <x v="11"/>
    <s v=" 0800127-86.2019.815.0181"/>
    <s v="GERALDO TELES DE ARAUJO"/>
    <s v="BANCO ITAU CONSIGNADO S.A."/>
    <x v="1"/>
    <s v="021.205.144-02"/>
    <x v="1"/>
    <s v="LAUDO GRAFOTÉCNICO"/>
    <n v="1"/>
    <n v="300"/>
    <n v="370"/>
    <s v="OK"/>
    <m/>
    <m/>
    <s v=""/>
    <s v=""/>
    <x v="177"/>
    <n v="370"/>
    <n v="0"/>
  </r>
  <r>
    <s v="543"/>
    <d v="2019-04-29T00:00:00"/>
    <s v="2019084960"/>
    <x v="4"/>
    <x v="0"/>
    <s v="0003046-69.2014.8.15.0371"/>
    <s v="MARIA BETANIA DE LIRA NOGUEIRA"/>
    <s v="Município de Sousa"/>
    <x v="1"/>
    <s v="021.205.144-02"/>
    <x v="5"/>
    <s v="LAUDO DE INSALUBRIDADE E/OU PERICULOSIDADE, CONFORME NORMAS DA ABNT RESPECTIVAS"/>
    <n v="11"/>
    <n v="300"/>
    <n v="622"/>
    <s v="OK"/>
    <m/>
    <m/>
    <s v=""/>
    <s v=""/>
    <x v="177"/>
    <n v="622"/>
    <n v="0"/>
  </r>
  <r>
    <s v="544"/>
    <d v="2019-04-29T00:00:00"/>
    <s v="2019084960"/>
    <x v="4"/>
    <x v="0"/>
    <s v="0000199-60.2015.8.15.0371"/>
    <s v="ANTONIA FURTADO DO NASCIMENTO e outros"/>
    <s v="Município de lastro"/>
    <x v="1"/>
    <s v="021.205.144-02"/>
    <x v="5"/>
    <s v="LAUDO DE INSALUBRIDADE E/OU PERICULOSIDADE, CONFORME NORMAS DA ABNT RESPECTIVAS"/>
    <n v="11"/>
    <n v="300"/>
    <n v="622"/>
    <s v="OK"/>
    <m/>
    <m/>
    <s v=""/>
    <s v=""/>
    <x v="177"/>
    <n v="622"/>
    <n v="0"/>
  </r>
  <r>
    <s v="545"/>
    <d v="2019-04-29T00:00:00"/>
    <s v="2019084960"/>
    <x v="4"/>
    <x v="0"/>
    <s v="0003252-_x000a_88.2011.8.15.0371"/>
    <s v="ELANIA CRISTINA DA SILVA"/>
    <s v="MUNICIPIO DE NAZAREZINHO"/>
    <x v="1"/>
    <s v="021.205.144-02"/>
    <x v="5"/>
    <s v="LAUDO DE INSALUBRIDADE E/OU PERICULOSIDADE, CONFORME NORMAS DA ABNT RESPECTIVAS"/>
    <n v="11"/>
    <n v="300"/>
    <n v="622"/>
    <s v="OK"/>
    <m/>
    <m/>
    <s v=""/>
    <s v=""/>
    <x v="177"/>
    <n v="622"/>
    <n v="0"/>
  </r>
  <r>
    <s v="546"/>
    <d v="2021-12-09T00:00:00"/>
    <s v="2021157300"/>
    <x v="41"/>
    <x v="11"/>
    <s v="0008459-80.2016.815.0181"/>
    <s v=" Maria José de Souza"/>
    <s v="Banco Bradesco_x000a_Financiamentos S/A"/>
    <x v="1"/>
    <s v="021.205.144-02"/>
    <x v="1"/>
    <s v="LAUDO GRAFOTÉCNICO"/>
    <n v="1"/>
    <n v="300"/>
    <n v="370"/>
    <s v="OK"/>
    <m/>
    <m/>
    <s v=""/>
    <s v=""/>
    <x v="177"/>
    <n v="370"/>
    <n v="0"/>
  </r>
  <r>
    <s v="547"/>
    <d v="2020-11-16T00:00:00"/>
    <s v="2020166615"/>
    <x v="72"/>
    <x v="8"/>
    <s v="0801267-82.2017.8.15.0131"/>
    <s v="ORBERLANGE ALVES E LUIZ MACENA ARAGAO JUNIOR"/>
    <s v=" MARIA JOSE QUIRINO DE SOUZA"/>
    <x v="8"/>
    <s v="34.746.608/0001-81"/>
    <x v="5"/>
    <s v="LAUDO PERICIAL DAS CONDIÇÕES ESTRUTURAIS DE SEGURNÇA E SOLIDEZ DE IMÓVEL, CONFORME NORMA DA ABNT RESPECTIVAS"/>
    <n v="9"/>
    <n v="700"/>
    <n v="850"/>
    <s v="OK"/>
    <m/>
    <m/>
    <s v=""/>
    <s v=""/>
    <x v="177"/>
    <n v="850"/>
    <n v="0"/>
  </r>
  <r>
    <s v="548"/>
    <d v="2022-05-06T00:00:00"/>
    <s v="2022065149"/>
    <x v="1"/>
    <x v="1"/>
    <s v=" 0804409-83.2021.8.15.0251"/>
    <s v="Maria Avani Cabral Leite"/>
    <s v=" Banco C6 Consignado"/>
    <x v="1"/>
    <s v="021.205.144-02"/>
    <x v="1"/>
    <s v="LAUDO GRAFOTÉCNICO"/>
    <n v="1"/>
    <n v="300"/>
    <n v="300"/>
    <s v="OK"/>
    <m/>
    <m/>
    <s v=""/>
    <s v=""/>
    <x v="177"/>
    <n v="300"/>
    <n v="0"/>
  </r>
  <r>
    <s v="549"/>
    <d v="2022-05-06T00:00:00"/>
    <s v="2022063102"/>
    <x v="28"/>
    <x v="16"/>
    <s v="0800108-_x000a_84.2018.815.1161"/>
    <s v="Carlos Manoel Martins Da Silva"/>
    <s v="INSS"/>
    <x v="123"/>
    <s v="052.668.804-14"/>
    <x v="0"/>
    <s v="OUTRAS"/>
    <n v="15"/>
    <n v="370"/>
    <n v="400"/>
    <s v="OK"/>
    <m/>
    <m/>
    <s v=""/>
    <s v=""/>
    <x v="177"/>
    <n v="400"/>
    <n v="0"/>
  </r>
  <r>
    <s v="550"/>
    <d v="2022-05-22T00:00:00"/>
    <s v="2022072237"/>
    <x v="27"/>
    <x v="4"/>
    <s v="0808828-57.2020.8.15.0001"/>
    <s v="AGAMENON MEDEIROS"/>
    <s v="CENTRO DE ASSISTENCIA AO_x000a_SERVIDOR"/>
    <x v="1"/>
    <s v="021.205.144-02"/>
    <x v="1"/>
    <s v="LAUDO GRAFOTÉCNICO"/>
    <n v="1"/>
    <n v="300"/>
    <n v="300"/>
    <s v="OK"/>
    <m/>
    <m/>
    <s v=""/>
    <s v=""/>
    <x v="178"/>
    <n v="300"/>
    <n v="0"/>
  </r>
  <r>
    <s v="551"/>
    <d v="2022-05-18T00:00:00"/>
    <s v="2022070549"/>
    <x v="59"/>
    <x v="26"/>
    <s v="0001066-35.2015.8.15.0571"/>
    <s v="Reginaldo Cavalcante de Oliveira"/>
    <s v="Município de Pedras de_x000a_Fogo"/>
    <x v="60"/>
    <s v="097.100.844-29"/>
    <x v="5"/>
    <s v="LAUDO DE INSALUBRIDADE E/OU PERICULOSIDADE, CONFORME NORMAS DA ABNT RESPECTIVAS"/>
    <n v="11"/>
    <n v="370"/>
    <n v="300"/>
    <s v="OK"/>
    <m/>
    <m/>
    <s v=""/>
    <s v=""/>
    <x v="178"/>
    <n v="300"/>
    <n v="0"/>
  </r>
  <r>
    <s v="552"/>
    <d v="2022-01-10T00:00:00"/>
    <s v="2022002555"/>
    <x v="48"/>
    <x v="9"/>
    <s v="0840938-65.2016.815.2001"/>
    <s v="Froisvaldo Maranhão"/>
    <s v="Pierrey Gonçalves de_x000a_Abrantes"/>
    <x v="124"/>
    <s v="007.852.074-04"/>
    <x v="6"/>
    <s v="LAUDO EM AÇÃO REVISIONAL ENVOLVENDO NEGÓCIOS BANCÁRIOS ATÉ 4 (QUATRO) CONTRATOS"/>
    <n v="2"/>
    <n v="370"/>
    <n v="442.93"/>
    <s v="OK"/>
    <m/>
    <m/>
    <s v=""/>
    <s v=""/>
    <x v="179"/>
    <n v="442.93"/>
    <n v="0"/>
  </r>
  <r>
    <s v="553"/>
    <d v="2022-05-26T00:00:00"/>
    <s v="2022075000"/>
    <x v="27"/>
    <x v="4"/>
    <s v="0806654-41.2021.8.15.0001"/>
    <s v="SEVERINO HONÓRIO DA SILVA"/>
    <s v="BANCO BMG S.A"/>
    <x v="1"/>
    <s v="021.205.144-02"/>
    <x v="1"/>
    <s v="LAUDO GRAFOTÉCNICO"/>
    <n v="1"/>
    <n v="300"/>
    <n v="300"/>
    <s v="OK"/>
    <m/>
    <m/>
    <s v=""/>
    <s v=""/>
    <x v="180"/>
    <n v="300"/>
    <n v="0"/>
  </r>
  <r>
    <s v="554"/>
    <d v="2021-11-16T00:00:00"/>
    <s v="2021146313"/>
    <x v="31"/>
    <x v="10"/>
    <s v="0803233-92.2019.8.15.0751"/>
    <s v="ANTÔNIOS DOS SANTOS"/>
    <s v="AIG SEGUROS BRASIL S.A."/>
    <x v="38"/>
    <s v="051.944.134-_x000a_67"/>
    <x v="0"/>
    <s v="OUTRAS"/>
    <n v="15"/>
    <n v="370"/>
    <n v="200"/>
    <s v="OK"/>
    <m/>
    <m/>
    <s v=""/>
    <s v=""/>
    <x v="180"/>
    <n v="200"/>
    <n v="0"/>
  </r>
  <r>
    <s v="555"/>
    <d v="2022-05-31T00:00:00"/>
    <s v="2022076842"/>
    <x v="68"/>
    <x v="12"/>
    <s v=" 0810339-_x000a_34.2020.8.15.0731"/>
    <s v="SIMONE DE BARROS SILVA"/>
    <s v="MUNICIPIO DE CABEDELO"/>
    <x v="1"/>
    <s v="021.205.144-02"/>
    <x v="5"/>
    <s v="LAUDO DE INSALUBRIDADE E/OU PERICULOSIDADE, CONFORME NORMAS DA ABNT RESPECTIVAS"/>
    <n v="11"/>
    <n v="300"/>
    <n v="370"/>
    <s v="OK"/>
    <m/>
    <m/>
    <s v=""/>
    <s v=""/>
    <x v="181"/>
    <n v="370"/>
    <n v="0"/>
  </r>
  <r>
    <s v="556"/>
    <d v="2022-05-31T00:00:00"/>
    <s v="2022076826"/>
    <x v="4"/>
    <x v="0"/>
    <s v="0806693-_x000a_92.2021.8.15.0371"/>
    <s v=" Maria Noilda de Oliveira"/>
    <s v="Município de Sousa"/>
    <x v="1"/>
    <s v="021.205.144-02"/>
    <x v="5"/>
    <s v="LAUDO DE INSALUBRIDADE E/OU PERICULOSIDADE, CONFORME NORMAS DA ABNT RESPECTIVAS"/>
    <n v="11"/>
    <n v="300"/>
    <n v="370"/>
    <s v="OK"/>
    <m/>
    <m/>
    <s v=""/>
    <s v=""/>
    <x v="181"/>
    <n v="370"/>
    <n v="0"/>
  </r>
  <r>
    <s v="557"/>
    <d v="2022-06-02T00:00:00"/>
    <s v="2022078651"/>
    <x v="27"/>
    <x v="4"/>
    <s v="0821938-60.2019.815.0001"/>
    <s v="Reinaldo do Nascimento"/>
    <s v=" Banco Itaú Unibanco S.A"/>
    <x v="1"/>
    <s v="021.205.144-02"/>
    <x v="5"/>
    <s v="LAUDO DE INSALUBRIDADE E/OU PERICULOSIDADE, CONFORME NORMAS DA ABNT RESPECTIVAS"/>
    <n v="11"/>
    <n v="300"/>
    <n v="370"/>
    <s v="OK"/>
    <m/>
    <m/>
    <s v=""/>
    <s v=""/>
    <x v="182"/>
    <n v="370"/>
    <n v="0"/>
  </r>
  <r>
    <s v="558"/>
    <d v="2022-06-02T00:00:00"/>
    <s v="2022078598"/>
    <x v="27"/>
    <x v="4"/>
    <s v="0806588-61.2021.8.15.0001"/>
    <s v=" Maria Salomé de Lima"/>
    <s v="Banco BMG S.A"/>
    <x v="1"/>
    <s v="021.205.144-02"/>
    <x v="1"/>
    <s v="LAUDO GRAFOTÉCNICO"/>
    <n v="1"/>
    <n v="300"/>
    <n v="300"/>
    <s v="OK"/>
    <m/>
    <m/>
    <s v=""/>
    <s v=""/>
    <x v="182"/>
    <n v="300"/>
    <n v="0"/>
  </r>
  <r>
    <s v="559"/>
    <d v="2022-06-02T00:00:00"/>
    <s v="2022078678"/>
    <x v="50"/>
    <x v="21"/>
    <s v="0800061-_x000a_41.2019.815.0041"/>
    <s v="Aldiane Stefane Coutinho da Silva"/>
    <s v=" Maria José Gonçalves da Silva"/>
    <x v="78"/>
    <s v="070.453.594-70"/>
    <x v="0"/>
    <s v="LAUDO EM INTERDIÇÃO/DNA"/>
    <n v="13"/>
    <n v="370"/>
    <n v="370"/>
    <s v="OK"/>
    <m/>
    <m/>
    <s v=""/>
    <s v=""/>
    <x v="182"/>
    <n v="370"/>
    <n v="0"/>
  </r>
  <r>
    <s v="560"/>
    <d v="2022-06-02T00:00:00"/>
    <s v="2022078299"/>
    <x v="39"/>
    <x v="18"/>
    <s v="0800498-16.2021.8.15.0881"/>
    <s v="LIDIANE FERNANDES DOS SANTOS"/>
    <s v="DEUZIVAN RIBEIRO_x000a_DA SILVA."/>
    <x v="63"/>
    <s v="075.538.374-58"/>
    <x v="3"/>
    <s v="ESTUDO SOCIAL"/>
    <n v="17"/>
    <n v="300"/>
    <n v="300"/>
    <s v="OK"/>
    <m/>
    <m/>
    <s v=""/>
    <s v=""/>
    <x v="182"/>
    <n v="300"/>
    <n v="0"/>
  </r>
  <r>
    <s v="561"/>
    <d v="2022-05-28T00:00:00"/>
    <s v="2022075712"/>
    <x v="41"/>
    <x v="11"/>
    <s v=" 0800230-_x000a_59.2020.8.15.0181"/>
    <s v="Valdeci Rodrigues de Sousa"/>
    <s v="Banco Bradesco Financiamentos S.A"/>
    <x v="1"/>
    <s v="021.205.144-02"/>
    <x v="1"/>
    <s v="LAUDO GRAFOTÉCNICO"/>
    <n v="1"/>
    <n v="300"/>
    <n v="300"/>
    <s v="OK"/>
    <m/>
    <m/>
    <s v=""/>
    <s v=""/>
    <x v="183"/>
    <n v="300"/>
    <n v="0"/>
  </r>
  <r>
    <s v="562"/>
    <d v="2021-02-22T00:00:00"/>
    <s v="2021025194"/>
    <x v="50"/>
    <x v="21"/>
    <s v=" 0800136-17.2018.8.15.0041"/>
    <s v="CICERO_x000a_GALDINO DA SILVA"/>
    <s v="INSS"/>
    <x v="78"/>
    <s v="070.453.594-70"/>
    <x v="0"/>
    <s v="LAUDO EM INTERDIÇÃO/DNA"/>
    <n v="13"/>
    <n v="370"/>
    <n v="300"/>
    <s v="OK"/>
    <m/>
    <m/>
    <s v=""/>
    <s v=""/>
    <x v="183"/>
    <n v="300"/>
    <n v="0"/>
  </r>
  <r>
    <s v="563"/>
    <d v="2022-03-22T00:00:00"/>
    <s v="2022043607"/>
    <x v="0"/>
    <x v="0"/>
    <s v="0802717-77.2021.8.15.0371"/>
    <s v=" Adriana Calisto Severiano e outro"/>
    <s v="Município de Aparecida"/>
    <x v="1"/>
    <s v="021.205.144-02"/>
    <x v="5"/>
    <s v="LAUDO DE INSALUBRIDADE E/OU PERICULOSIDADE, CONFORME NORMAS DA ABNT RESPECTIVAS"/>
    <n v="11"/>
    <n v="300"/>
    <n v="370"/>
    <s v="OK"/>
    <m/>
    <m/>
    <s v=""/>
    <s v=""/>
    <x v="184"/>
    <n v="370"/>
    <n v="0"/>
  </r>
  <r>
    <s v="564"/>
    <d v="2022-05-12T00:00:00"/>
    <s v="2022067857"/>
    <x v="62"/>
    <x v="6"/>
    <s v="0801262-_x000a_93.2021.8.15.0301"/>
    <s v="Maria Izabel Neta"/>
    <s v="Banco Bradesco."/>
    <x v="1"/>
    <s v="021.205.144-02"/>
    <x v="1"/>
    <s v="LAUDO GRAFOTÉCNICO"/>
    <n v="1"/>
    <n v="300"/>
    <n v="300"/>
    <s v="OK"/>
    <m/>
    <m/>
    <s v=""/>
    <s v=""/>
    <x v="185"/>
    <n v="300"/>
    <n v="0"/>
  </r>
  <r>
    <s v="565"/>
    <d v="2022-05-12T00:00:00"/>
    <s v="2022068147"/>
    <x v="62"/>
    <x v="6"/>
    <s v=" 0800136-_x000a_81.2016.8.15.0301"/>
    <s v="Maria Aparecida Urtiga Formiga"/>
    <s v="Banco BMG S.A"/>
    <x v="1"/>
    <s v="021.205.144-02"/>
    <x v="1"/>
    <s v="LAUDO GRAFOTÉCNICO"/>
    <n v="1"/>
    <n v="300"/>
    <n v="300"/>
    <s v="OK"/>
    <m/>
    <m/>
    <s v=""/>
    <s v=""/>
    <x v="185"/>
    <n v="300"/>
    <n v="0"/>
  </r>
  <r>
    <s v="566"/>
    <d v="2022-05-17T00:00:00"/>
    <s v="2022069720"/>
    <x v="28"/>
    <x v="16"/>
    <s v=" 0800233-_x000a_02.2019.8.15.0261"/>
    <s v="BENEDITA SOARES DE SOUZA"/>
    <s v="GLADIMARES SOARES DE_x000a_LACERDA."/>
    <x v="34"/>
    <s v="061.721.584-73"/>
    <x v="0"/>
    <s v="OUTRAS"/>
    <n v="15"/>
    <n v="370"/>
    <n v="370"/>
    <s v="OK"/>
    <m/>
    <m/>
    <s v=""/>
    <s v=""/>
    <x v="186"/>
    <n v="370"/>
    <n v="0"/>
  </r>
  <r>
    <s v="567"/>
    <d v="2022-05-17T00:00:00"/>
    <s v="2022069762"/>
    <x v="28"/>
    <x v="16"/>
    <s v="0801322-31.2017.8.15.0261"/>
    <s v="ANIZIO FELIX_x000a_QUIDUTE FILHO"/>
    <s v="GABRIEL ALVES FRANCISCO"/>
    <x v="34"/>
    <s v="061.721.584-73"/>
    <x v="0"/>
    <s v="OUTRAS"/>
    <n v="15"/>
    <n v="370"/>
    <n v="370"/>
    <s v="OK"/>
    <m/>
    <m/>
    <s v=""/>
    <s v=""/>
    <x v="186"/>
    <n v="370"/>
    <n v="0"/>
  </r>
  <r>
    <s v="568"/>
    <d v="2022-05-17T00:00:00"/>
    <s v="2022069711"/>
    <x v="28"/>
    <x v="16"/>
    <s v="0800293-88.2019.8.15.1161"/>
    <s v="FRANCISCA_x000a_IRENE DA SILVA"/>
    <s v="JOELMA FRANCISCA DA SILVA"/>
    <x v="34"/>
    <s v="061.721.584-73"/>
    <x v="0"/>
    <s v="OUTRAS"/>
    <n v="15"/>
    <n v="370"/>
    <n v="370"/>
    <s v="OK"/>
    <m/>
    <m/>
    <s v=""/>
    <s v=""/>
    <x v="186"/>
    <n v="370"/>
    <n v="0"/>
  </r>
  <r>
    <s v="569"/>
    <d v="2022-04-27T00:00:00"/>
    <s v="2022060706"/>
    <x v="56"/>
    <x v="9"/>
    <s v="0803265-32.2016.8.15.2003"/>
    <s v="João Bosco Castro Teixeira Júnior"/>
    <s v="Idea do Brasil - Ar Condicionado S.A."/>
    <x v="125"/>
    <s v="052.220.744-80"/>
    <x v="5"/>
    <s v="LAUDO DE AVALIAÇÃO DE BENS FUNGÍVEIS/IMÓVEL RURAL/URBANO, CONFORME NORMAS DA ABNT RESPECTIVAS"/>
    <n v="9"/>
    <n v="700"/>
    <n v="370"/>
    <s v="OK"/>
    <m/>
    <m/>
    <s v=""/>
    <s v=""/>
    <x v="187"/>
    <n v="370"/>
    <n v="0"/>
  </r>
  <r>
    <s v="570"/>
    <d v="2022-03-18T00:00:00"/>
    <s v="2021140066"/>
    <x v="0"/>
    <x v="0"/>
    <s v="0803886-02.2021.8.15.0371"/>
    <s v=" EVA_x000a_JANUARIA SARMENTO"/>
    <s v="MUNICIPIO DO LASTRO"/>
    <x v="1"/>
    <s v="021.205.144-02"/>
    <x v="5"/>
    <s v="LAUDO DE INSALUBRIDADE E/OU PERICULOSIDADE, CONFORME NORMAS DA ABNT RESPECTIVAS"/>
    <n v="11"/>
    <n v="300"/>
    <n v="370"/>
    <s v="OK"/>
    <m/>
    <m/>
    <s v=""/>
    <s v=""/>
    <x v="184"/>
    <n v="370"/>
    <n v="0"/>
  </r>
  <r>
    <s v="571"/>
    <d v="2022-03-25T00:00:00"/>
    <s v="2022045400"/>
    <x v="0"/>
    <x v="0"/>
    <s v="0803887-84.2021.8.15.0371"/>
    <s v="POLIANA BENIGNA SARMENTO"/>
    <s v="MUNICIPIO DO LASTRO"/>
    <x v="1"/>
    <s v="021.205.144-02"/>
    <x v="5"/>
    <s v="LAUDO DE INSALUBRIDADE E/OU PERICULOSIDADE, CONFORME NORMAS DA ABNT RESPECTIVAS"/>
    <n v="11"/>
    <n v="300"/>
    <n v="370"/>
    <s v="OK"/>
    <m/>
    <m/>
    <s v=""/>
    <s v=""/>
    <x v="184"/>
    <n v="370"/>
    <n v="0"/>
  </r>
  <r>
    <s v="572"/>
    <d v="2021-12-16T00:00:00"/>
    <s v="2021160299"/>
    <x v="23"/>
    <x v="1"/>
    <s v="0805575-53.2021.815.0251"/>
    <s v=" MARIA JOSÉ GOMES DE SOUSA"/>
    <s v="BANCO MERCANTIL DO BRASIL S.A."/>
    <x v="100"/>
    <s v="061.473.314-69"/>
    <x v="1"/>
    <s v="LAUDO GRAFOTÉCNICO"/>
    <n v="1"/>
    <n v="300"/>
    <n v="300"/>
    <s v="OK"/>
    <m/>
    <m/>
    <s v=""/>
    <s v=""/>
    <x v="188"/>
    <n v="300"/>
    <n v="0"/>
  </r>
  <r>
    <s v="573"/>
    <d v="2022-06-10T00:00:00"/>
    <s v="2022083681"/>
    <x v="20"/>
    <x v="10"/>
    <s v="0800052-54.2017.815.0751"/>
    <s v="ANGELITA TAVARES GOMES"/>
    <s v=" MUNICÍPIO DE BAYEUX"/>
    <x v="73"/>
    <s v="104.955.027-74"/>
    <x v="5"/>
    <s v="LAUDO DE INSALUBRIDADE E/OU PERICULOSIDADE, CONFORME NORMAS DA ABNT RESPECTIVAS"/>
    <n v="11"/>
    <n v="370"/>
    <n v="370"/>
    <s v="OK"/>
    <m/>
    <m/>
    <s v=""/>
    <s v=""/>
    <x v="189"/>
    <n v="370"/>
    <n v="0"/>
  </r>
  <r>
    <s v="574"/>
    <d v="2021-11-01T00:00:00"/>
    <s v="2021140777"/>
    <x v="31"/>
    <x v="10"/>
    <s v="0801402-48.2015.8.15.0751"/>
    <s v="JEFFERSON BATISTA DE AMORIM"/>
    <s v="NOVO MUNDO FERRAGENS LTDA"/>
    <x v="126"/>
    <s v="142.072.064-34"/>
    <x v="5"/>
    <s v="LAUDO PERICIAL DAS CONDIÇÕES ESTRUTURAIS DE SEGURNÇA E SOLIDEZ DE IMÓVEL, CONFORME NORMA DA ABNT RESPECTIVAS"/>
    <n v="8"/>
    <n v="370"/>
    <n v="4500"/>
    <s v="ACIMA"/>
    <m/>
    <m/>
    <s v=""/>
    <s v=""/>
    <x v="188"/>
    <n v="4500"/>
    <n v="0"/>
  </r>
  <r>
    <s v="575"/>
    <d v="2019-08-23T00:00:00"/>
    <s v="2019176545"/>
    <x v="4"/>
    <x v="0"/>
    <s v="0801057-_x000a_24.2016.8.15.037"/>
    <s v="Raimundo Serafim de Sousa"/>
    <s v="Município de Lastro"/>
    <x v="1"/>
    <s v="021.205.144-02"/>
    <x v="5"/>
    <s v="LAUDO DE INSALUBRIDADE E/OU PERICULOSIDADE, CONFORME NORMAS DA ABNT RESPECTIVAS"/>
    <n v="11"/>
    <n v="300"/>
    <n v="370"/>
    <s v="OK"/>
    <m/>
    <m/>
    <s v=""/>
    <s v=""/>
    <x v="188"/>
    <n v="370"/>
    <n v="0"/>
  </r>
  <r>
    <s v="576"/>
    <d v="2021-02-23T00:00:00"/>
    <s v="2021025629"/>
    <x v="17"/>
    <x v="4"/>
    <s v="0813157-20.2017.8.15.0001"/>
    <s v="SANDRA MARIA SOARES DE SOUZA"/>
    <s v="ERICH PEREIRA DE ALBUQUERQUE"/>
    <x v="127"/>
    <s v="036.625.504-58"/>
    <x v="5"/>
    <s v="LAUDO PERICIAL DAS CONDIÇÕES ESTRUTURAIS DE SEGURNÇA E SOLIDEZ DE IMÓVEL, CONFORME NORMA DA ABNT RESPECTIVAS"/>
    <n v="8"/>
    <n v="370"/>
    <n v="740"/>
    <s v="OK"/>
    <m/>
    <m/>
    <s v=""/>
    <s v=""/>
    <x v="188"/>
    <n v="740"/>
    <n v="0"/>
  </r>
  <r>
    <s v="577"/>
    <d v="2020-10-21T00:00:00"/>
    <s v="2020152677"/>
    <x v="17"/>
    <x v="4"/>
    <s v="0800949-09.2014.8.15.0001"/>
    <s v="Geralda Gomes da Silva"/>
    <s v="Cícero Medeiros da Silva"/>
    <x v="42"/>
    <s v=" 047.164.824-80"/>
    <x v="5"/>
    <s v="LAUDO PERICIAL DAS CONDIÇÕES ESTRUTURAIS DE SEGURNÇA E SOLIDEZ DE IMÓVEL, CONFORME NORMA DA ABNT RESPECTIVAS"/>
    <n v="8"/>
    <n v="370"/>
    <n v="740"/>
    <s v="OK"/>
    <m/>
    <m/>
    <s v=""/>
    <s v=""/>
    <x v="188"/>
    <n v="740"/>
    <n v="0"/>
  </r>
  <r>
    <s v="578"/>
    <d v="2022-04-21T00:00:00"/>
    <s v="2021049046"/>
    <x v="42"/>
    <x v="12"/>
    <s v="0802124-40.2018.8.15.0731"/>
    <s v="JULIO CESAR TRAVASSOS DE SOUZA"/>
    <s v="ALLIANZ SEGUROS S/A"/>
    <x v="114"/>
    <s v=" 008.076.984-_x000a_58"/>
    <x v="5"/>
    <s v="OUTRAS"/>
    <n v="12"/>
    <n v="370"/>
    <n v="7000"/>
    <s v="ACIMA"/>
    <m/>
    <m/>
    <s v=""/>
    <s v=""/>
    <x v="188"/>
    <n v="7000"/>
    <n v="0"/>
  </r>
  <r>
    <s v="579"/>
    <d v="2022-04-23T00:00:00"/>
    <s v="2021050462"/>
    <x v="73"/>
    <x v="9"/>
    <s v="0814347-_x000a_61.2019.8.15.2001"/>
    <s v="LIZONETE FERRAZ DE LIMA COSTA"/>
    <s v="UNIMED JOAO PESSOA_x000a_COOPERATIVA DE TRABALHO MEDICO_x000a_ UNIMED JOAO PESSOA_x000a_COOPERATIVA DE TRABALHO MEDICO_x000a_"/>
    <x v="128"/>
    <s v="032.733.404-52_x000a_"/>
    <x v="6"/>
    <s v="LAUDO EM AÇÃO REVISIONAL ENVOLVENDO NEGÓCIOS BANCÁRIOS ATÉ 4 (QUATRO) CONTRATOS"/>
    <n v="2"/>
    <n v="370"/>
    <n v="1850"/>
    <s v="OK"/>
    <m/>
    <m/>
    <s v=""/>
    <s v=""/>
    <x v="188"/>
    <n v="1850"/>
    <n v="0"/>
  </r>
  <r>
    <s v="580"/>
    <d v="2021-11-24T00:00:00"/>
    <s v="2021150213"/>
    <x v="14"/>
    <x v="9"/>
    <s v="0011455-91.2014.8.15.2001"/>
    <s v="EDNALDO ULISSES_x000a_DA SILVA"/>
    <s v=" BANCO ITAUCARD S.A."/>
    <x v="98"/>
    <s v="011.948.398-00"/>
    <x v="6"/>
    <s v="LAUDO EM AÇÃO REVISIONAL ENVOLVENDO NEGÓCIOS BANCÁRIOS ATÉ 4 (QUATRO) CONTRATOS"/>
    <n v="2"/>
    <n v="370"/>
    <n v="885.86"/>
    <s v="OK"/>
    <m/>
    <m/>
    <s v=""/>
    <s v=""/>
    <x v="188"/>
    <n v="885.86"/>
    <n v="0"/>
  </r>
  <r>
    <s v="581"/>
    <d v="2021-05-27T00:00:00"/>
    <s v="2021066401"/>
    <x v="1"/>
    <x v="1"/>
    <s v="0800929-97.2021.8.15.0251"/>
    <s v="MARIA FERNANDES BIZERRA SILVA "/>
    <s v="BANCO J. SAFRA S.A"/>
    <x v="1"/>
    <s v="021.205.144-02"/>
    <x v="1"/>
    <s v="LAUDO GRAFOTÉCNICO"/>
    <n v="1"/>
    <n v="300"/>
    <n v="1000"/>
    <s v="OK"/>
    <m/>
    <m/>
    <s v=""/>
    <s v=""/>
    <x v="188"/>
    <n v="1000"/>
    <n v="0"/>
  </r>
  <r>
    <s v="582"/>
    <d v="2021-08-16T00:00:00"/>
    <s v="2021104940"/>
    <x v="17"/>
    <x v="4"/>
    <s v="0807956-_x000a_18.2015.8.15.0001"/>
    <s v="ALEXSANDRO SOARES DE MELO"/>
    <s v="TERRACO CONSTRUCOES_x000a_E EMPREENDIMENTOS IMOBILIARIOS LTDA - ME"/>
    <x v="129"/>
    <s v="541.926.504-44"/>
    <x v="5"/>
    <s v="OUTRAS"/>
    <n v="12"/>
    <n v="370"/>
    <n v="740"/>
    <s v="OK"/>
    <m/>
    <m/>
    <s v=""/>
    <s v=""/>
    <x v="188"/>
    <n v="740"/>
    <n v="0"/>
  </r>
  <r>
    <s v="583"/>
    <d v="2021-12-12T00:00:00"/>
    <s v="2021157949"/>
    <x v="41"/>
    <x v="11"/>
    <s v=" 0802669-77.2019.815.0181"/>
    <s v="JOSE GERALDO DA SILVA MELO"/>
    <s v=" BANCO ITAU CONSIGNADO S/A"/>
    <x v="1"/>
    <s v="021.205.144-02"/>
    <x v="1"/>
    <s v="LAUDO GRAFOTÉCNICO"/>
    <n v="1"/>
    <n v="300"/>
    <n v="370"/>
    <s v="OK"/>
    <m/>
    <m/>
    <s v=""/>
    <s v=""/>
    <x v="188"/>
    <n v="370"/>
    <n v="0"/>
  </r>
  <r>
    <s v="584"/>
    <d v="2021-11-11T00:00:00"/>
    <s v="2021145271"/>
    <x v="56"/>
    <x v="9"/>
    <s v="0811040-64.2017.8.15.2003"/>
    <s v=" IVONETE PEREIRA DA SILVA"/>
    <s v="BANCO ITAU CONSIGNADO S.A"/>
    <x v="61"/>
    <s v="701.876.111-57"/>
    <x v="1"/>
    <s v="LAUDO GRAFOTÉCNICO"/>
    <n v="1"/>
    <n v="300"/>
    <n v="370"/>
    <s v="OK"/>
    <m/>
    <m/>
    <s v=""/>
    <s v=""/>
    <x v="188"/>
    <n v="370"/>
    <n v="0"/>
  </r>
  <r>
    <s v="585"/>
    <d v="2019-08-23T00:00:00"/>
    <s v="2019176658"/>
    <x v="4"/>
    <x v="0"/>
    <s v="0804063-_x000a_39.2016.8.15.0371"/>
    <s v="CLÁUDIA MARIA DE SOUSA"/>
    <s v=" MUNICIPIO DE SOUSA"/>
    <x v="1"/>
    <s v="021.205.144-02"/>
    <x v="5"/>
    <s v="LAUDO DE INSALUBRIDADE E/OU PERICULOSIDADE, CONFORME NORMAS DA ABNT RESPECTIVAS"/>
    <n v="11"/>
    <n v="300"/>
    <n v="600"/>
    <s v="OK"/>
    <m/>
    <m/>
    <s v=""/>
    <s v=""/>
    <x v="188"/>
    <n v="600"/>
    <n v="0"/>
  </r>
  <r>
    <s v="586"/>
    <d v="2021-10-15T00:00:00"/>
    <s v="2021134640"/>
    <x v="40"/>
    <x v="9"/>
    <s v="0815779-52.2018.8.15.2001"/>
    <s v="PAULO BATISTA DA_x000a_SILVA"/>
    <s v=" BANCO BMG AS"/>
    <x v="1"/>
    <s v="021.205.144-02"/>
    <x v="1"/>
    <s v="LAUDO GRAFOTÉCNICO"/>
    <n v="1"/>
    <n v="300"/>
    <n v="1000"/>
    <s v="OK"/>
    <m/>
    <m/>
    <s v=""/>
    <s v=""/>
    <x v="188"/>
    <n v="1000"/>
    <n v="0"/>
  </r>
  <r>
    <s v="587"/>
    <d v="2022-04-18T00:00:00"/>
    <s v="2022056767"/>
    <x v="1"/>
    <x v="1"/>
    <s v="0806206-36.2017.8.15.0251"/>
    <s v="OLAVO DA COSTA"/>
    <s v="VOLKSWAGEN DO BRASIL INDUSTRIA DE VEICULOS AUTOMOTORES LTDA"/>
    <x v="114"/>
    <s v="008.076.984-58"/>
    <x v="5"/>
    <s v="OUTRAS"/>
    <n v="12"/>
    <n v="370"/>
    <n v="1500"/>
    <s v="OK"/>
    <m/>
    <m/>
    <s v=""/>
    <s v=""/>
    <x v="188"/>
    <n v="1500"/>
    <n v="0"/>
  </r>
  <r>
    <s v="588"/>
    <d v="2022-04-04T00:00:00"/>
    <s v="2022050632"/>
    <x v="7"/>
    <x v="6"/>
    <s v=" 0800727-09.2017.8.15.0301"/>
    <s v="ANTONIETA DA SILVA_x000a_FREIRE"/>
    <s v="MILTON CESAR FREIRE"/>
    <x v="34"/>
    <s v="061.721.584-73"/>
    <x v="0"/>
    <s v="LAUDO EM INTERDIÇÃO/DNA"/>
    <n v="13"/>
    <n v="370"/>
    <n v="740"/>
    <s v="OK"/>
    <m/>
    <m/>
    <s v=""/>
    <s v=""/>
    <x v="188"/>
    <n v="740"/>
    <n v="0"/>
  </r>
  <r>
    <s v="589"/>
    <d v="2021-12-07T00:00:00"/>
    <s v="2021156229"/>
    <x v="21"/>
    <x v="11"/>
    <s v="0800544-68.2021.8.15.0181"/>
    <s v="LUZIA MARIA DA SILVA SANTOS"/>
    <s v="BANCO ITAU CONSIGNADO S.A."/>
    <x v="1"/>
    <s v="021.205.144-02"/>
    <x v="1"/>
    <s v="LAUDO GRAFOTÉCNICO"/>
    <n v="1"/>
    <n v="300"/>
    <n v="370"/>
    <s v="OK"/>
    <m/>
    <m/>
    <s v=""/>
    <s v=""/>
    <x v="188"/>
    <n v="370"/>
    <n v="0"/>
  </r>
  <r>
    <s v="590"/>
    <d v="2020-07-13T00:00:00"/>
    <s v="2020101183"/>
    <x v="0"/>
    <x v="0"/>
    <s v="0803674-54.2016.8.15.0371"/>
    <s v=" DENIS ALEXANDRE TARGINO LACERDA"/>
    <s v="MUNICÍPIO DE SOUSA"/>
    <x v="1"/>
    <s v="021.205.144-02"/>
    <x v="5"/>
    <s v="LAUDO DE INSALUBRIDADE E/OU PERICULOSIDADE, CONFORME NORMAS DA ABNT RESPECTIVAS"/>
    <n v="11"/>
    <n v="300"/>
    <n v="622"/>
    <s v="OK"/>
    <m/>
    <m/>
    <s v=""/>
    <s v=""/>
    <x v="188"/>
    <n v="622"/>
    <n v="0"/>
  </r>
  <r>
    <s v="591"/>
    <d v="2021-06-01T00:00:00"/>
    <s v="2021069617"/>
    <x v="26"/>
    <x v="15"/>
    <s v="0001196-57.2011.8.15.0541"/>
    <s v=" Fernando Inocêncio Júnior"/>
    <s v="INSS"/>
    <x v="32"/>
    <s v="051.447.734-27"/>
    <x v="0"/>
    <s v="OUTRAS"/>
    <n v="15"/>
    <n v="370"/>
    <n v="500"/>
    <s v="OK"/>
    <m/>
    <m/>
    <s v=""/>
    <s v=""/>
    <x v="190"/>
    <n v="500"/>
    <n v="0"/>
  </r>
  <r>
    <s v="592"/>
    <d v="2021-06-08T00:00:00"/>
    <s v="2021073351"/>
    <x v="1"/>
    <x v="1"/>
    <s v="0812710-53.2020.8.15.0251"/>
    <s v="MARIA DE FATIMA BEZERRA"/>
    <s v="BANCO CREFISA "/>
    <x v="1"/>
    <s v="021.205.144-02"/>
    <x v="1"/>
    <s v="LAUDO GRAFOTÉCNICO"/>
    <n v="1"/>
    <n v="300"/>
    <n v="1000"/>
    <s v="OK"/>
    <m/>
    <m/>
    <s v=""/>
    <s v=""/>
    <x v="188"/>
    <n v="1000"/>
    <n v="0"/>
  </r>
  <r>
    <s v="593"/>
    <d v="2021-02-01T00:00:00"/>
    <s v="2021013826"/>
    <x v="9"/>
    <x v="4"/>
    <s v=" 0806928-73.2019.8.15.0001"/>
    <s v=" MARIA DE FÁTIMA ARAÚJO DA SILVA"/>
    <s v="EDSON BRUNO DE LIMA"/>
    <x v="11"/>
    <s v="397.520.114-20"/>
    <x v="3"/>
    <s v="ESTUDO SOCIAL"/>
    <n v="17"/>
    <n v="300"/>
    <n v="450"/>
    <s v="OK"/>
    <m/>
    <m/>
    <s v=""/>
    <s v=""/>
    <x v="188"/>
    <n v="450"/>
    <n v="0"/>
  </r>
  <r>
    <s v="594"/>
    <d v="2022-02-04T00:00:00"/>
    <s v="2022018336"/>
    <x v="35"/>
    <x v="4"/>
    <s v="0803968-86.2015.8.15.0001"/>
    <s v="DENISE MARQUES DA NOBREGA"/>
    <s v="WEBJET.COM"/>
    <x v="130"/>
    <s v="097.097.924-07"/>
    <x v="7"/>
    <s v="Tradução"/>
    <n v="19"/>
    <n v="330"/>
    <n v="750"/>
    <s v="OK"/>
    <m/>
    <m/>
    <s v=""/>
    <s v=""/>
    <x v="188"/>
    <n v="750"/>
    <n v="0"/>
  </r>
  <r>
    <s v="595"/>
    <d v="2021-04-19T00:00:00"/>
    <s v="2021047798"/>
    <x v="9"/>
    <x v="4"/>
    <s v="0826884-75.2019.8.15.0001_x000a_"/>
    <s v="WANDERSON OLIVEIRA SANTOS"/>
    <s v="EMILLY ARAUJO MARQUES e outra"/>
    <x v="11"/>
    <s v="397.520.114-20"/>
    <x v="3"/>
    <s v="ESTUDO SOCIAL"/>
    <n v="17"/>
    <n v="300"/>
    <n v="450"/>
    <s v="OK"/>
    <m/>
    <m/>
    <s v=""/>
    <s v=""/>
    <x v="188"/>
    <n v="450"/>
    <n v="0"/>
  </r>
  <r>
    <s v="596"/>
    <d v="2021-02-02T00:00:00"/>
    <s v="2021014851"/>
    <x v="34"/>
    <x v="9"/>
    <s v="0820625-20.2015.8.15.2001"/>
    <s v="MARIA LUCIA DE FIGUEIREDO MOREIRA"/>
    <s v="e ROSELMA_x000a_GOMES DO PRADO"/>
    <x v="67"/>
    <s v="054.931.394-05"/>
    <x v="1"/>
    <s v="LAUDO GRAFOTÉCNICO"/>
    <n v="1"/>
    <n v="300"/>
    <n v="740"/>
    <s v="OK"/>
    <m/>
    <m/>
    <s v=""/>
    <s v=""/>
    <x v="188"/>
    <n v="740"/>
    <n v="0"/>
  </r>
  <r>
    <s v="597"/>
    <d v="2021-10-26T00:00:00"/>
    <s v="2021138436"/>
    <x v="21"/>
    <x v="11"/>
    <s v=" 0805312-37.2021.8.15.0181"/>
    <s v="RENATO AUGUSTO GUILHERME"/>
    <s v="BANCO MERCANTIL DO BRASIL S.A"/>
    <x v="1"/>
    <s v="021.205.144-02"/>
    <x v="1"/>
    <s v="LAUDO GRAFOTÉCNICO"/>
    <n v="1"/>
    <n v="300"/>
    <n v="370"/>
    <s v="OK"/>
    <m/>
    <m/>
    <s v=""/>
    <s v=""/>
    <x v="188"/>
    <n v="370"/>
    <n v="0"/>
  </r>
  <r>
    <s v="598"/>
    <d v="2019-04-29T00:00:00"/>
    <s v="2019084986"/>
    <x v="4"/>
    <x v="0"/>
    <s v="0001939-53.2015.8.15.0371"/>
    <s v="GIORGGIO ABRANTES PORDEUS"/>
    <s v="Município de Aparecida_x000a_"/>
    <x v="1"/>
    <s v="021.205.144-02"/>
    <x v="5"/>
    <s v="LAUDO DE INSALUBRIDADE E/OU PERICULOSIDADE, CONFORME NORMAS DA ABNT RESPECTIVAS"/>
    <n v="11"/>
    <n v="300"/>
    <n v="622"/>
    <s v="OK"/>
    <m/>
    <m/>
    <s v=""/>
    <s v=""/>
    <x v="188"/>
    <n v="622"/>
    <n v="0"/>
  </r>
  <r>
    <s v="599"/>
    <d v="2017-12-13T00:00:00"/>
    <s v="2017236129"/>
    <x v="16"/>
    <x v="4"/>
    <s v="0806616-39.2015.8.15.0001"/>
    <s v="EDINEUZA MARIA BARBOSA"/>
    <s v="ADONIS ROCHA DE OLIVEIRA"/>
    <x v="20"/>
    <m/>
    <x v="3"/>
    <s v="ESTUDO SOCIAL"/>
    <n v="17"/>
    <n v="300"/>
    <n v="442.93"/>
    <s v="OK"/>
    <m/>
    <m/>
    <s v=""/>
    <s v=""/>
    <x v="188"/>
    <n v="442.93"/>
    <n v="0"/>
  </r>
  <r>
    <s v="600"/>
    <d v="2022-03-07T00:00:00"/>
    <s v="2022034866"/>
    <x v="1"/>
    <x v="1"/>
    <s v="0802484-52.2021.8.15.0251"/>
    <s v="ADRIANA LUCENA MENDES DE LIMA"/>
    <s v="Gouveia Construcoes_x000a_Eireli - EPP e THOMPSON JORGE GOUVEIA CAVALCANTI"/>
    <x v="131"/>
    <s v="046.386.874-90"/>
    <x v="5"/>
    <s v="LAUDO PERICIAL DAS CONDIÇÕES ESTRUTURAIS DE SEGURNÇA E SOLIDEZ DE IMÓVEL, CONFORME NORMA DA ABNT RESPECTIVAS"/>
    <n v="8"/>
    <n v="370"/>
    <n v="1100"/>
    <s v="OK"/>
    <m/>
    <m/>
    <s v=""/>
    <s v=""/>
    <x v="188"/>
    <n v="1100"/>
    <n v="0"/>
  </r>
  <r>
    <s v="601"/>
    <d v="2021-06-01T00:00:00"/>
    <s v="2021069519"/>
    <x v="5"/>
    <x v="4"/>
    <s v="0814269-24.2017.8.15.0001"/>
    <s v="JACILANE LOPES NUNES"/>
    <s v="CLINICA SANTA MARIA LTDA e_x000a_MÁRCIO ROGÉRIO ONOFRE DUARTE_x000a_"/>
    <x v="132"/>
    <s v="053.383.744-80_x000a_"/>
    <x v="0"/>
    <s v="OUTRAS"/>
    <n v="15"/>
    <n v="370"/>
    <n v="622"/>
    <s v="OK"/>
    <m/>
    <m/>
    <s v=""/>
    <s v=""/>
    <x v="188"/>
    <n v="622"/>
    <n v="0"/>
  </r>
  <r>
    <s v="602"/>
    <d v="2022-03-23T00:00:00"/>
    <s v="2022043666"/>
    <x v="74"/>
    <x v="23"/>
    <s v="0802389-_x000a_61.2021.8.15.0141"/>
    <s v="João Guerra Rodrigues"/>
    <s v="Banco Daycoval S.A."/>
    <x v="1"/>
    <s v="021.205.144-02"/>
    <x v="1"/>
    <s v="LAUDO GRAFOTÉCNICO"/>
    <n v="1"/>
    <n v="300"/>
    <n v="370"/>
    <s v="OK"/>
    <m/>
    <m/>
    <s v=""/>
    <s v=""/>
    <x v="188"/>
    <n v="370"/>
    <n v="0"/>
  </r>
  <r>
    <s v="603"/>
    <d v="2022-06-30T00:00:00"/>
    <s v="2022091712"/>
    <x v="1"/>
    <x v="1"/>
    <s v="0806619-_x000a_78.2019.8.15.02511"/>
    <s v="Carlos Afonso Soares Cavalcanti"/>
    <s v="Banco Bradesco Financiamentos S.A"/>
    <x v="1"/>
    <s v="021.205.144-02"/>
    <x v="1"/>
    <s v="LAUDO GRAFOTÉCNICO"/>
    <n v="1"/>
    <n v="300"/>
    <n v="300"/>
    <s v="OK"/>
    <m/>
    <m/>
    <s v=""/>
    <s v=""/>
    <x v="191"/>
    <n v="300"/>
    <n v="0"/>
  </r>
  <r>
    <s v="604"/>
    <d v="2022-06-27T00:00:00"/>
    <s v="2022089068"/>
    <x v="4"/>
    <x v="0"/>
    <s v="0801933-_x000a_08.2018.8.15.0371"/>
    <s v="FALYSSON GUSTAVO CORDEIRO GADELHA DE AS"/>
    <s v="PREFEITURA_x000a_MUNICIPAL DE SOUSA._x000a_"/>
    <x v="1"/>
    <s v="021.205.144-02"/>
    <x v="5"/>
    <s v="LAUDO DE INSALUBRIDADE E/OU PERICULOSIDADE, CONFORME NORMAS DA ABNT RESPECTIVAS"/>
    <n v="11"/>
    <n v="300"/>
    <n v="370"/>
    <s v="OK"/>
    <m/>
    <m/>
    <s v=""/>
    <s v=""/>
    <x v="192"/>
    <n v="370"/>
    <n v="0"/>
  </r>
  <r>
    <s v="605"/>
    <d v="2022-06-28T00:00:00"/>
    <s v="2022090195"/>
    <x v="25"/>
    <x v="14"/>
    <s v="0800206-71.2021.8.15.0221"/>
    <s v="MINISTÉRIO PÚBLICO DO ESTADO DA PARAIBA"/>
    <s v="FRANCISCO CLAUDINO DE OLIVEIRA."/>
    <x v="31"/>
    <s v="053.027.324-16"/>
    <x v="0"/>
    <s v="LAUDO EM INTERDIÇÃO/DNA"/>
    <n v="13"/>
    <n v="370"/>
    <n v="370"/>
    <s v="OK"/>
    <m/>
    <m/>
    <s v=""/>
    <s v=""/>
    <x v="192"/>
    <n v="370"/>
    <n v="0"/>
  </r>
  <r>
    <s v="606"/>
    <d v="2022-06-27T00:00:00"/>
    <s v="2022089759"/>
    <x v="27"/>
    <x v="4"/>
    <s v="0828567-50.2019.8.15.0001"/>
    <s v="IVONETE DOS SANTOS LIMA"/>
    <s v=" BANCO BS2 S.A."/>
    <x v="1"/>
    <s v="021.205.144-02"/>
    <x v="1"/>
    <s v="LAUDO GRAFOTÉCNICO"/>
    <n v="1"/>
    <n v="300"/>
    <n v="300"/>
    <s v="OK"/>
    <m/>
    <m/>
    <s v=""/>
    <s v=""/>
    <x v="193"/>
    <n v="300"/>
    <n v="0"/>
  </r>
  <r>
    <s v="607"/>
    <d v="2022-06-27T00:00:00"/>
    <s v="2022089775"/>
    <x v="27"/>
    <x v="4"/>
    <s v="0821526-37.2016.8.15.0001"/>
    <s v="GERALDA DO NASCIMENTO"/>
    <s v=" BANCO MERCANTIL DO_x000a_BRASIL S.A._x000a_"/>
    <x v="1"/>
    <s v="021.205.144-02"/>
    <x v="1"/>
    <s v="LAUDO GRAFOTÉCNICO"/>
    <n v="1"/>
    <n v="300"/>
    <n v="300"/>
    <s v="OK"/>
    <m/>
    <m/>
    <s v=""/>
    <s v=""/>
    <x v="193"/>
    <n v="300"/>
    <n v="0"/>
  </r>
  <r>
    <s v="608"/>
    <d v="2022-06-15T00:00:00"/>
    <s v="2022085950"/>
    <x v="25"/>
    <x v="14"/>
    <s v="0000329-65.2013.8.15.0421"/>
    <s v="Cícero Gabriel de Oliveira"/>
    <s v=" José Carlos Pereira de Oliveira._x000a_"/>
    <x v="31"/>
    <s v="053.027.324-16"/>
    <x v="0"/>
    <s v="LAUDO EM INTERDIÇÃO/DNA"/>
    <n v="13"/>
    <n v="370"/>
    <n v="370"/>
    <s v="OK"/>
    <m/>
    <m/>
    <s v=""/>
    <s v=""/>
    <x v="194"/>
    <n v="370"/>
    <n v="0"/>
  </r>
  <r>
    <s v="609"/>
    <d v="2022-06-15T00:00:00"/>
    <s v="2022085976"/>
    <x v="25"/>
    <x v="14"/>
    <s v="0802982-_x000a_78.2020.8.15.0221"/>
    <s v="ALZIRA CARDOSO DOS SANTOS"/>
    <s v=" MARIA IRLANDIA CARDOSO DOS_x000a_SANTOS"/>
    <x v="31"/>
    <s v="053.027.324-16"/>
    <x v="0"/>
    <s v="LAUDO EM INTERDIÇÃO/DNA"/>
    <n v="13"/>
    <n v="370"/>
    <n v="370"/>
    <s v="OK"/>
    <m/>
    <m/>
    <s v=""/>
    <s v=""/>
    <x v="194"/>
    <n v="370"/>
    <n v="0"/>
  </r>
  <r>
    <s v="610"/>
    <d v="2022-06-08T00:00:00"/>
    <s v="2022082550"/>
    <x v="50"/>
    <x v="21"/>
    <s v="0000716-61.2010.815.0041"/>
    <s v="Rose Mary Borba Rodrigues"/>
    <s v="INSS"/>
    <x v="78"/>
    <s v="070.453.594-_x000a_70"/>
    <x v="0"/>
    <s v="OUTRAS"/>
    <n v="15"/>
    <n v="370"/>
    <n v="300"/>
    <s v="OK"/>
    <m/>
    <m/>
    <s v=""/>
    <s v=""/>
    <x v="195"/>
    <n v="300"/>
    <n v="0"/>
  </r>
  <r>
    <s v="611"/>
    <d v="2021-11-16T00:00:00"/>
    <s v="2021146811"/>
    <x v="29"/>
    <x v="4"/>
    <s v="0825438-03.2020.8.15.0001"/>
    <s v="Iraildo José da Silva Pontes"/>
    <s v=" Dayany Micaely Nunes Pereira._x000a_"/>
    <x v="91"/>
    <s v=" 086792134-_x000a_03"/>
    <x v="4"/>
    <m/>
    <n v="16"/>
    <n v="300"/>
    <n v="300"/>
    <s v="OK"/>
    <m/>
    <m/>
    <s v=""/>
    <s v=""/>
    <x v="196"/>
    <n v="300"/>
    <n v="0"/>
  </r>
  <r>
    <s v="612"/>
    <d v="2022-04-25T00:00:00"/>
    <s v="2022058981"/>
    <x v="39"/>
    <x v="18"/>
    <s v="0801010-96.2021.8.15.0881"/>
    <s v="Luzinete Mendes de Lima"/>
    <s v="Maria Lima de Castro"/>
    <x v="133"/>
    <s v="086.027.234-66"/>
    <x v="3"/>
    <s v="ESTUDO SOCIAL"/>
    <n v="17"/>
    <n v="300"/>
    <n v="300"/>
    <s v="OK"/>
    <m/>
    <m/>
    <s v=""/>
    <s v=""/>
    <x v="196"/>
    <n v="300"/>
    <n v="0"/>
  </r>
  <r>
    <s v="613"/>
    <d v="2022-04-27T00:00:00"/>
    <s v="2022060780"/>
    <x v="39"/>
    <x v="18"/>
    <s v="0800400-94.2022.8.15.0881"/>
    <s v="Cibele Azevedo da Silva"/>
    <s v=" Francisca Azevedo da_x000a_Silva"/>
    <x v="47"/>
    <s v="044.220.834-06"/>
    <x v="3"/>
    <s v="ESTUDO SOCIAL"/>
    <n v="17"/>
    <n v="300"/>
    <n v="300"/>
    <s v="OK"/>
    <m/>
    <m/>
    <s v=""/>
    <s v=""/>
    <x v="196"/>
    <n v="300"/>
    <n v="0"/>
  </r>
  <r>
    <s v="614"/>
    <d v="2022-02-25T00:00:00"/>
    <s v="2022031567"/>
    <x v="39"/>
    <x v="18"/>
    <s v="0800236-74.2018.8.15.1171"/>
    <s v="FRANCISCA GERACINA NETA"/>
    <s v="ANTONIO ALVARES DE FARIA"/>
    <x v="97"/>
    <s v="753.109.024-49"/>
    <x v="0"/>
    <s v="LAUDO EM INTERDIÇÃO/DNA"/>
    <n v="13"/>
    <n v="370"/>
    <n v="370"/>
    <s v="OK"/>
    <m/>
    <m/>
    <s v=""/>
    <s v=""/>
    <x v="196"/>
    <n v="370"/>
    <n v="0"/>
  </r>
  <r>
    <s v="615"/>
    <d v="2022-07-05T00:00:00"/>
    <s v="2022094506"/>
    <x v="27"/>
    <x v="4"/>
    <s v="0821636-60.2021.8.15.0001"/>
    <s v="HERMES PARAIBA DE VASCONCELOS"/>
    <s v=" BANCO MERCANTIL DO_x000a_BRASIL S.A._x000a_"/>
    <x v="1"/>
    <s v="021.205.144-02"/>
    <x v="1"/>
    <s v="LAUDO GRAFOTÉCNICO"/>
    <n v="1"/>
    <n v="300"/>
    <n v="300"/>
    <s v="OK"/>
    <m/>
    <m/>
    <s v=""/>
    <s v=""/>
    <x v="197"/>
    <n v="300"/>
    <n v="0"/>
  </r>
  <r>
    <s v="616"/>
    <d v="2022-07-04T00:00:00"/>
    <s v="2022093894"/>
    <x v="50"/>
    <x v="21"/>
    <s v="0800469-61.2021.8.15.0041"/>
    <s v="FLAVIO JOSE DE LIMA"/>
    <s v="ESTADO DA PARAIBA"/>
    <x v="76"/>
    <s v="094.143.164-93"/>
    <x v="0"/>
    <s v="OUTRAS"/>
    <n v="15"/>
    <n v="370"/>
    <n v="300"/>
    <s v="OK"/>
    <m/>
    <m/>
    <s v=""/>
    <s v=""/>
    <x v="198"/>
    <n v="300"/>
    <n v="0"/>
  </r>
  <r>
    <s v="617"/>
    <d v="2022-07-04T00:00:00"/>
    <s v="2022093941"/>
    <x v="54"/>
    <x v="24"/>
    <s v="0801009-_x000a_63.2017.8.15.0231"/>
    <s v="João Lemos da Silva"/>
    <s v="Claro S.A"/>
    <x v="1"/>
    <s v="021.205.144-02"/>
    <x v="1"/>
    <s v="LAUDO GRAFOTÉCNICO"/>
    <n v="1"/>
    <n v="300"/>
    <n v="300"/>
    <s v="OK"/>
    <m/>
    <m/>
    <s v=""/>
    <s v=""/>
    <x v="198"/>
    <n v="300"/>
    <n v="0"/>
  </r>
  <r>
    <s v="618"/>
    <d v="2022-07-04T00:00:00"/>
    <s v="2022093950"/>
    <x v="50"/>
    <x v="21"/>
    <s v="0800029-_x000a_02.2020.8.15.0041"/>
    <s v="ANA MARIA MARQUES DA SILVA DE SOUZA"/>
    <s v="JARDSON DERSULINO_x000a_DA SILVA"/>
    <x v="78"/>
    <s v="070.453.594-_x000a_70"/>
    <x v="0"/>
    <s v="LAUDO EM INTERDIÇÃO/DNA"/>
    <n v="13"/>
    <n v="370"/>
    <n v="300"/>
    <s v="OK"/>
    <m/>
    <m/>
    <s v=""/>
    <s v=""/>
    <x v="198"/>
    <n v="300"/>
    <n v="0"/>
  </r>
  <r>
    <s v="619"/>
    <d v="2022-07-04T00:00:00"/>
    <s v="2022093992"/>
    <x v="50"/>
    <x v="21"/>
    <s v="0800169-_x000a_03.2019.8.15.0031"/>
    <s v="MARIA DE LOURDES NASCIMENTO"/>
    <s v="ANTONIO HENRIQUE DE_x000a_SOUSA"/>
    <x v="78"/>
    <s v="070.453.594-_x000a_70"/>
    <x v="0"/>
    <s v="LAUDO EM INTERDIÇÃO/DNA"/>
    <n v="13"/>
    <n v="370"/>
    <n v="300"/>
    <s v="OK"/>
    <m/>
    <m/>
    <s v=""/>
    <s v=""/>
    <x v="198"/>
    <n v="300"/>
    <n v="0"/>
  </r>
  <r>
    <s v="620"/>
    <d v="2022-07-04T00:00:00"/>
    <s v="2022094008"/>
    <x v="50"/>
    <x v="21"/>
    <s v="0800370-33.2017.8.15.0041"/>
    <s v="JOSÉ FELIPE EDUARDO DE PONTES"/>
    <s v="INSS"/>
    <x v="76"/>
    <s v="094.143.164-93"/>
    <x v="0"/>
    <s v="OUTRAS"/>
    <n v="15"/>
    <n v="370"/>
    <n v="300"/>
    <s v="OK"/>
    <m/>
    <m/>
    <s v=""/>
    <s v=""/>
    <x v="198"/>
    <n v="300"/>
    <n v="0"/>
  </r>
  <r>
    <s v="621"/>
    <d v="2022-07-04T00:00:00"/>
    <s v="2022093976"/>
    <x v="50"/>
    <x v="21"/>
    <s v="0800640-18.2021.8.15.0041"/>
    <s v="JOSE FERREIRA FILHO"/>
    <s v="INSS"/>
    <x v="76"/>
    <s v="094.143.164-93"/>
    <x v="0"/>
    <s v="OUTRAS"/>
    <n v="15"/>
    <n v="370"/>
    <n v="370"/>
    <s v="OK"/>
    <m/>
    <m/>
    <s v=""/>
    <s v=""/>
    <x v="198"/>
    <n v="370"/>
    <n v="0"/>
  </r>
  <r>
    <s v="622"/>
    <d v="2022-07-06T00:00:00"/>
    <s v="2022095433"/>
    <x v="50"/>
    <x v="21"/>
    <s v="0801058-_x000a_87.2020.8.15.0041"/>
    <s v="MARIA RITA DA SILVA"/>
    <s v="Maria Rita da Silva"/>
    <x v="78"/>
    <s v="070.453.594-_x000a_70"/>
    <x v="0"/>
    <s v="OUTRAS"/>
    <n v="15"/>
    <n v="370"/>
    <n v="370"/>
    <s v="OK"/>
    <m/>
    <m/>
    <s v=""/>
    <s v=""/>
    <x v="199"/>
    <n v="370"/>
    <n v="0"/>
  </r>
  <r>
    <s v="623"/>
    <d v="2022-07-06T00:00:00"/>
    <s v="2022095556"/>
    <x v="62"/>
    <x v="6"/>
    <s v="0800284-53.2020.8.15.0301"/>
    <s v="AVANI URTIGA DA COSTA ALVES"/>
    <s v="B A N C O I T A U C O N S_x000a_I G N A D O S . A. "/>
    <x v="1"/>
    <s v="021.205.144-02"/>
    <x v="1"/>
    <s v="LAUDO GRAFOTÉCNICO"/>
    <n v="1"/>
    <n v="300"/>
    <n v="300"/>
    <s v="OK"/>
    <m/>
    <m/>
    <s v=""/>
    <s v=""/>
    <x v="199"/>
    <n v="300"/>
    <n v="0"/>
  </r>
  <r>
    <s v="624"/>
    <d v="2021-01-15T00:00:00"/>
    <s v="2021006005"/>
    <x v="17"/>
    <x v="4"/>
    <s v="0802313-45.2016.8.15.0001"/>
    <s v="ANIZIO JOAQUIM ALVES NETO"/>
    <s v="CENTRO DE MATERIAL DE CONSTRUCAO LTDA e outro"/>
    <x v="36"/>
    <s v="048.870.264-04"/>
    <x v="1"/>
    <s v="LAUDO GRAFOTÉCNICO"/>
    <n v="1"/>
    <n v="300"/>
    <n v="300"/>
    <s v="OK"/>
    <m/>
    <m/>
    <s v=""/>
    <s v=""/>
    <x v="199"/>
    <n v="300"/>
    <n v="0"/>
  </r>
  <r>
    <s v="625"/>
    <d v="2021-10-28T00:00:00"/>
    <s v="2021139994 "/>
    <x v="29"/>
    <x v="4"/>
    <s v="0804629-89.2020.8.15.0001"/>
    <s v="JOSE RICARDO PEQUENO"/>
    <s v="PRISCILA LINHARES DA SILVA NEVES PEQUENO"/>
    <x v="91"/>
    <s v=" 086792134-_x000a_03"/>
    <x v="4"/>
    <m/>
    <n v="16"/>
    <n v="300"/>
    <n v="300"/>
    <s v="OK"/>
    <m/>
    <m/>
    <s v=""/>
    <s v=""/>
    <x v="200"/>
    <n v="300"/>
    <n v="0"/>
  </r>
  <r>
    <s v="626"/>
    <d v="2021-10-27T00:00:00"/>
    <s v="2021139285"/>
    <x v="29"/>
    <x v="4"/>
    <s v="0813321-77.2020.8.15.0001"/>
    <s v="JASON DUARTE DE MEDEIROs"/>
    <s v="TATIANA BARROS SANTANA"/>
    <x v="91"/>
    <s v=" 086792134-_x000a_03"/>
    <x v="4"/>
    <m/>
    <n v="16"/>
    <n v="300"/>
    <n v="300"/>
    <s v="OK"/>
    <m/>
    <m/>
    <s v=""/>
    <s v=""/>
    <x v="201"/>
    <n v="300"/>
    <n v="0"/>
  </r>
  <r>
    <s v="627"/>
    <d v="2022-07-20T00:00:00"/>
    <s v="2022103245"/>
    <x v="26"/>
    <x v="15"/>
    <s v="0800131-47.2018.8.15.0541"/>
    <s v="Ednaldo José da Silva"/>
    <s v="Erica Cardoso de Andrade."/>
    <x v="134"/>
    <s v="072.546.204-30"/>
    <x v="5"/>
    <s v="LAUDO DE AVALIAÇÃO DE BENS FUNGÍVEIS/IMÓVEL RURAL/URBANO, CONFORME NORMAS DA ABNT RESPECTIVAS"/>
    <n v="9"/>
    <n v="700"/>
    <n v="430"/>
    <s v="OK"/>
    <m/>
    <m/>
    <s v=""/>
    <s v=""/>
    <x v="202"/>
    <n v="430"/>
    <n v="0"/>
  </r>
  <r>
    <s v="628"/>
    <d v="2022-08-03T00:00:00"/>
    <s v="2022109137"/>
    <x v="4"/>
    <x v="0"/>
    <s v="0806313-_x000a_69.2021.8.15.0371"/>
    <s v="Ana Maria da Conceição Silva"/>
    <s v="Município de Santa Cruz"/>
    <x v="1"/>
    <s v="021.205.144-02"/>
    <x v="5"/>
    <s v="LAUDO DE INSALUBRIDADE E/OU PERICULOSIDADE, CONFORME NORMAS DA ABNT RESPECTIVAS"/>
    <n v="11"/>
    <n v="300"/>
    <n v="370"/>
    <s v="OK"/>
    <m/>
    <m/>
    <s v=""/>
    <s v=""/>
    <x v="203"/>
    <n v="370"/>
    <n v="0"/>
  </r>
  <r>
    <s v="629"/>
    <d v="2022-08-09T00:00:00"/>
    <s v="2022111132"/>
    <x v="4"/>
    <x v="0"/>
    <s v="0801320-_x000a_80.2021.8.15.0371"/>
    <s v="Fabiola Alves"/>
    <s v="Município de Sousa"/>
    <x v="1"/>
    <s v="021.205.144-02"/>
    <x v="5"/>
    <s v="LAUDO DE INSALUBRIDADE E/OU PERICULOSIDADE, CONFORME NORMAS DA ABNT RESPECTIVAS"/>
    <n v="11"/>
    <n v="300"/>
    <n v="370"/>
    <s v="OK"/>
    <m/>
    <m/>
    <s v=""/>
    <s v=""/>
    <x v="204"/>
    <n v="370"/>
    <n v="0"/>
  </r>
  <r>
    <s v="630"/>
    <d v="2022-08-02T00:00:00"/>
    <s v="2022107955"/>
    <x v="56"/>
    <x v="9"/>
    <s v="0808519-_x000a_83.2016.8.15.2003"/>
    <s v="Lucas Felix Galdino de Lima"/>
    <s v="Josefa Felix Galdino"/>
    <x v="1"/>
    <s v="021.205.144-02"/>
    <x v="1"/>
    <s v="LAUDO GRAFOTÉCNICO"/>
    <n v="1"/>
    <n v="300"/>
    <n v="300"/>
    <s v="OK"/>
    <m/>
    <m/>
    <s v=""/>
    <s v=""/>
    <x v="205"/>
    <n v="300"/>
    <n v="0"/>
  </r>
  <r>
    <s v="631"/>
    <d v="2022-08-03T00:00:00"/>
    <s v="2022109161"/>
    <x v="4"/>
    <x v="0"/>
    <s v="0806313-_x000a_69.2021.8.15.0371"/>
    <s v="Rejane Leandro de Sousa Barros"/>
    <s v="município de Sousa."/>
    <x v="1"/>
    <s v="021.205.144-02"/>
    <x v="5"/>
    <s v="LAUDO DE INSALUBRIDADE E/OU PERICULOSIDADE, CONFORME NORMAS DA ABNT RESPECTIVAS"/>
    <n v="11"/>
    <n v="300"/>
    <n v="370"/>
    <s v="OK"/>
    <m/>
    <m/>
    <s v=""/>
    <s v=""/>
    <x v="203"/>
    <n v="370"/>
    <n v="0"/>
  </r>
  <r>
    <s v="632"/>
    <d v="2022-08-02T00:00:00"/>
    <s v="2022108691"/>
    <x v="26"/>
    <x v="15"/>
    <s v="0800452-_x000a_82.2018.8.15.0541"/>
    <s v="Gilvaneide dos Santos Oliveira"/>
    <s v="Paulo Martins de Oliveira"/>
    <x v="32"/>
    <s v="051.447.734-27"/>
    <x v="0"/>
    <s v="OUTRAS"/>
    <n v="15"/>
    <n v="370"/>
    <n v="370"/>
    <s v="OK"/>
    <m/>
    <m/>
    <s v=""/>
    <s v=""/>
    <x v="206"/>
    <n v="370"/>
    <n v="0"/>
  </r>
  <r>
    <s v="633"/>
    <d v="2022-08-03T00:00:00"/>
    <s v="2022109196"/>
    <x v="4"/>
    <x v="0"/>
    <s v="0807024-_x000a_74.2021.8.15.0371"/>
    <s v="Francisca Maria Ponciano Garrido"/>
    <s v="município de Sousa."/>
    <x v="1"/>
    <s v="021.205.144-02"/>
    <x v="5"/>
    <s v="LAUDO DE INSALUBRIDADE E/OU PERICULOSIDADE, CONFORME NORMAS DA ABNT RESPECTIVAS"/>
    <n v="11"/>
    <n v="300"/>
    <n v="370"/>
    <s v="OK"/>
    <m/>
    <m/>
    <s v=""/>
    <s v=""/>
    <x v="203"/>
    <n v="370"/>
    <n v="0"/>
  </r>
  <r>
    <s v="634"/>
    <d v="2022-02-11T00:00:00"/>
    <s v="2022023622"/>
    <x v="75"/>
    <x v="32"/>
    <s v="0800688-40.2021.8.15.0311"/>
    <s v="MARCIO PEREIRA_x000a_DA SILVA"/>
    <s v="INSS"/>
    <x v="32"/>
    <s v="051.447.734-27"/>
    <x v="0"/>
    <s v="OUTRAS"/>
    <n v="15"/>
    <n v="370"/>
    <n v="250"/>
    <s v="OK"/>
    <m/>
    <m/>
    <s v=""/>
    <s v=""/>
    <x v="206"/>
    <n v="250"/>
    <n v="0"/>
  </r>
  <r>
    <s v="635"/>
    <d v="2022-08-10T00:00:00"/>
    <s v="2022111663"/>
    <x v="27"/>
    <x v="4"/>
    <s v="0806388-25.2019.8.15.0001"/>
    <s v="Maria de Lourdes Teixeira dos Reis"/>
    <s v="_x000a_Financeira S.A. Credito, Financiamento e Investimento_x000a_"/>
    <x v="1"/>
    <s v="021.205.144-02"/>
    <x v="1"/>
    <s v="LAUDO GRAFOTÉCNICO"/>
    <n v="1"/>
    <n v="300"/>
    <n v="300"/>
    <s v="OK"/>
    <m/>
    <m/>
    <s v=""/>
    <s v=""/>
    <x v="204"/>
    <n v="300"/>
    <n v="0"/>
  </r>
  <r>
    <s v="636"/>
    <d v="2022-08-11T00:00:00"/>
    <s v="2022112519"/>
    <x v="4"/>
    <x v="0"/>
    <s v="0802609-53.2018.8.15.0371"/>
    <s v="CLEIDE SARMENTO DE MELO"/>
    <s v="município de Sousa."/>
    <x v="1"/>
    <s v="021.205.144-02"/>
    <x v="5"/>
    <s v="LAUDO DE INSALUBRIDADE E/OU PERICULOSIDADE, CONFORME NORMAS DA ABNT RESPECTIVAS"/>
    <n v="11"/>
    <n v="300"/>
    <n v="370"/>
    <s v="OK"/>
    <m/>
    <m/>
    <s v=""/>
    <s v=""/>
    <x v="207"/>
    <n v="370"/>
    <n v="0"/>
  </r>
  <r>
    <s v="637"/>
    <d v="2022-08-11T00:00:00"/>
    <s v="2022112527"/>
    <x v="4"/>
    <x v="0"/>
    <s v=" 0805249-92.2019.8.15.0371"/>
    <s v="ANA LUCIA LEANDRO DIAS"/>
    <s v="município de Sousa."/>
    <x v="1"/>
    <s v="021.205.144-02"/>
    <x v="5"/>
    <s v="LAUDO DE INSALUBRIDADE E/OU PERICULOSIDADE, CONFORME NORMAS DA ABNT RESPECTIVAS"/>
    <n v="11"/>
    <n v="300"/>
    <n v="370"/>
    <s v="OK"/>
    <m/>
    <m/>
    <s v=""/>
    <s v=""/>
    <x v="207"/>
    <n v="370"/>
    <n v="0"/>
  </r>
  <r>
    <s v="638"/>
    <d v="2022-08-11T00:00:00"/>
    <s v="2022112498"/>
    <x v="4"/>
    <x v="0"/>
    <s v="0807059-34.2021.8.15.0371"/>
    <s v="ADALGIZA ALMEIDA PINTO"/>
    <s v="município de Sousa."/>
    <x v="1"/>
    <s v="021.205.144-02"/>
    <x v="5"/>
    <s v="LAUDO DE INSALUBRIDADE E/OU PERICULOSIDADE, CONFORME NORMAS DA ABNT RESPECTIVAS"/>
    <n v="11"/>
    <n v="300"/>
    <n v="370"/>
    <s v="OK"/>
    <m/>
    <m/>
    <s v=""/>
    <s v=""/>
    <x v="207"/>
    <n v="370"/>
    <n v="0"/>
  </r>
  <r>
    <s v="639"/>
    <d v="2022-08-20T00:00:00"/>
    <s v="2019172399"/>
    <x v="4"/>
    <x v="0"/>
    <s v=" 0802526-71.2017.8.15.0371"/>
    <s v="LUZINETE ALVES SOARES GADELHA"/>
    <s v="município de Sousa."/>
    <x v="1"/>
    <s v="021.205.144-02"/>
    <x v="5"/>
    <s v="LAUDO DE INSALUBRIDADE E/OU PERICULOSIDADE, CONFORME NORMAS DA ABNT RESPECTIVAS"/>
    <n v="11"/>
    <n v="300"/>
    <n v="622"/>
    <s v="OK"/>
    <m/>
    <m/>
    <s v=""/>
    <s v=""/>
    <x v="207"/>
    <n v="622"/>
    <n v="0"/>
  </r>
  <r>
    <s v="640"/>
    <d v="2022-08-11T00:00:00"/>
    <s v="2022112543"/>
    <x v="4"/>
    <x v="0"/>
    <s v="0807028-_x000a_14.2021.8.15.0371"/>
    <s v="Jane Cleide Alexandre de Lira"/>
    <s v="município de Sousa."/>
    <x v="1"/>
    <s v="021.205.144-02"/>
    <x v="5"/>
    <s v="LAUDO DE INSALUBRIDADE E/OU PERICULOSIDADE, CONFORME NORMAS DA ABNT RESPECTIVAS"/>
    <n v="11"/>
    <n v="300"/>
    <n v="622"/>
    <s v="OK"/>
    <m/>
    <m/>
    <s v=""/>
    <s v=""/>
    <x v="207"/>
    <n v="622"/>
    <n v="0"/>
  </r>
  <r>
    <s v="641"/>
    <d v="2022-08-11T00:00:00"/>
    <s v="2022112551"/>
    <x v="4"/>
    <x v="0"/>
    <s v="0807088-_x000a_84.2021.8.15.0371"/>
    <s v=" Ivanilda Fernandes da Silva"/>
    <s v="município de Sousa."/>
    <x v="1"/>
    <s v="021.205.144-02"/>
    <x v="5"/>
    <s v="LAUDO DE INSALUBRIDADE E/OU PERICULOSIDADE, CONFORME NORMAS DA ABNT RESPECTIVAS"/>
    <n v="11"/>
    <n v="300"/>
    <n v="622"/>
    <s v="OK"/>
    <m/>
    <m/>
    <s v=""/>
    <s v=""/>
    <x v="207"/>
    <n v="622"/>
    <n v="0"/>
  </r>
  <r>
    <s v="642"/>
    <d v="2022-04-04T00:00:00"/>
    <s v="2022050745"/>
    <x v="7"/>
    <x v="6"/>
    <s v="0800947-07.2017.8.15.0301"/>
    <s v=" PEDRO DA SILVA LUNA"/>
    <s v=" PATRÍCIA DA SILVA LUNA"/>
    <x v="34"/>
    <s v="061.721.584-73"/>
    <x v="0"/>
    <s v="LAUDO EM INTERDIÇÃO/DNA"/>
    <n v="13"/>
    <n v="370"/>
    <n v="740"/>
    <s v="OK"/>
    <m/>
    <m/>
    <s v=""/>
    <s v=""/>
    <x v="207"/>
    <n v="740"/>
    <n v="0"/>
  </r>
  <r>
    <s v="643"/>
    <d v="2022-05-24T00:00:00"/>
    <s v="2022073609"/>
    <x v="7"/>
    <x v="6"/>
    <s v="0800580-_x000a_46.2018.8.15.0301"/>
    <s v="Tereza da Silva Ribeiro"/>
    <s v="Douglas Batista da Silva"/>
    <x v="34"/>
    <s v="061.721.584-73"/>
    <x v="0"/>
    <s v="LAUDO EM INTERDIÇÃO/DNA"/>
    <n v="13"/>
    <n v="370"/>
    <n v="740"/>
    <s v="OK"/>
    <m/>
    <m/>
    <s v=""/>
    <s v=""/>
    <x v="207"/>
    <n v="740"/>
    <n v="0"/>
  </r>
  <r>
    <s v="644"/>
    <d v="2022-05-24T00:00:00"/>
    <s v="2022073594"/>
    <x v="7"/>
    <x v="6"/>
    <s v="0800130-_x000a_74.2016.8.15.0301"/>
    <s v="Jacinta Maria dos Santos de Lima"/>
    <s v="Maria Jacileide dos Santos Lima"/>
    <x v="34"/>
    <s v="061.721.584-73"/>
    <x v="0"/>
    <s v="LAUDO EM INTERDIÇÃO/DNA"/>
    <n v="13"/>
    <n v="370"/>
    <n v="740"/>
    <s v="OK"/>
    <m/>
    <m/>
    <s v=""/>
    <s v=""/>
    <x v="207"/>
    <n v="740"/>
    <n v="0"/>
  </r>
  <r>
    <s v="645"/>
    <d v="2022-04-07T00:00:00"/>
    <s v="2022053266"/>
    <x v="7"/>
    <x v="6"/>
    <s v="0000288-65.2016.8.15.0301"/>
    <s v="R MARIA CAVALCANTE_x000a_DUARTE"/>
    <s v="GERLANDIA CAVALCANTE DUARTE"/>
    <x v="34"/>
    <s v="061.721.584-73"/>
    <x v="0"/>
    <s v="LAUDO EM INTERDIÇÃO/DNA"/>
    <n v="13"/>
    <n v="370"/>
    <n v="740"/>
    <s v="OK"/>
    <m/>
    <m/>
    <s v=""/>
    <s v=""/>
    <x v="207"/>
    <n v="740"/>
    <n v="0"/>
  </r>
  <r>
    <s v="646"/>
    <d v="2022-05-23T00:00:00"/>
    <s v="2022072500"/>
    <x v="76"/>
    <x v="4"/>
    <s v="0010026-89.2007.815.0011"/>
    <s v="ESTADO_x000a_DA PARAÍBA"/>
    <s v="GERLANDIA CAVALCANTE DUARTE"/>
    <x v="135"/>
    <s v="044.836.274-06"/>
    <x v="5"/>
    <s v="LAUDO DE AVALIAÇÃO DE IMÓVEL URBANO, CONFORME NORMAS DA ABNT RESPECTIVA"/>
    <n v="6"/>
    <n v="430"/>
    <n v="3010"/>
    <s v="ACIMA"/>
    <m/>
    <m/>
    <s v=""/>
    <s v=""/>
    <x v="207"/>
    <n v="3010"/>
    <n v="0"/>
  </r>
  <r>
    <s v="647"/>
    <d v="2022-02-08T00:00:00"/>
    <s v="2022020708"/>
    <x v="46"/>
    <x v="4"/>
    <s v="0805530-28.2018.8.15.0001"/>
    <s v="RENATA TITO DE PAULA"/>
    <s v="ENERGISA BORBOREMA DISTRIBUIDORA DE ENERGIA S.A."/>
    <x v="86"/>
    <s v="053.883.634- 22"/>
    <x v="5"/>
    <s v="OUTRAS"/>
    <n v="12"/>
    <n v="370"/>
    <n v="1480"/>
    <s v="OK"/>
    <m/>
    <m/>
    <s v=""/>
    <s v=""/>
    <x v="207"/>
    <n v="1480"/>
    <n v="0"/>
  </r>
  <r>
    <s v="648"/>
    <d v="2022-08-11T00:00:00"/>
    <s v="2022112650"/>
    <x v="64"/>
    <x v="4"/>
    <s v=" 0813347-_x000a_46.2018.8.15.0001"/>
    <s v="CARLA KELLI ALVES DE SOUZA"/>
    <s v="Município de Campina Grande"/>
    <x v="136"/>
    <s v="035.276.864-95"/>
    <x v="0"/>
    <s v="OUTRAS"/>
    <n v="15"/>
    <n v="370"/>
    <n v="370"/>
    <s v="OK"/>
    <m/>
    <m/>
    <s v=""/>
    <s v=""/>
    <x v="207"/>
    <n v="370"/>
    <n v="0"/>
  </r>
  <r>
    <s v="649"/>
    <d v="2021-10-25T00:00:00"/>
    <s v="2021138209"/>
    <x v="34"/>
    <x v="9"/>
    <s v="0869982-27.2019.8.15.2001"/>
    <s v="RENATO SERGIO CARNEIRO DA CUNHA DE MIRANDA"/>
    <s v="BANCO BRADESCO SA"/>
    <x v="2"/>
    <s v="34.352.738/0001-30"/>
    <x v="6"/>
    <s v="LAUDO EM AÇÃO REVISIONAL ENVOLVENDO NEGÓCIOS BANCÁRIOS ATÉ 4 (QUATRO) CONTRATOS"/>
    <n v="2"/>
    <n v="370"/>
    <n v="388.21"/>
    <s v="OK"/>
    <m/>
    <m/>
    <s v=""/>
    <s v=""/>
    <x v="207"/>
    <n v="388.21"/>
    <n v="0"/>
  </r>
  <r>
    <s v="650"/>
    <d v="2022-05-25T00:00:00"/>
    <s v="2022073828"/>
    <x v="42"/>
    <x v="12"/>
    <s v="0803791-61.2018.8.15.0731"/>
    <s v="Maria das Graças do Nascimento Bezerra"/>
    <s v=" Marconi Water da_x000a_Fonseca"/>
    <x v="94"/>
    <s v="023.230.684-23"/>
    <x v="5"/>
    <s v="LAUDO PERICIAL DAS CONDIÇÕES ESTRUTURAIS DE SEGURNÇA E SOLIDEZ DE IMÓVEL, CONFORME NORMA DA ABNT RESPECTIVAS"/>
    <n v="11"/>
    <n v="370"/>
    <n v="1750"/>
    <s v="OK"/>
    <m/>
    <m/>
    <s v=""/>
    <s v=""/>
    <x v="207"/>
    <n v="1750"/>
    <n v="0"/>
  </r>
  <r>
    <s v="651"/>
    <d v="2022-05-18T00:00:00"/>
    <s v="2022070524"/>
    <x v="60"/>
    <x v="9"/>
    <s v="0844887-58.2020.815.2001"/>
    <s v="Severino Silva Cavalcant"/>
    <s v="Banco Pan"/>
    <x v="61"/>
    <s v="701.876.111-57"/>
    <x v="1"/>
    <s v="LAUDO GRAFOTÉCNICO"/>
    <n v="1"/>
    <n v="300"/>
    <n v="1850"/>
    <s v="ACIMA"/>
    <m/>
    <m/>
    <s v=""/>
    <s v=""/>
    <x v="207"/>
    <n v="1850"/>
    <n v="0"/>
  </r>
  <r>
    <s v="652"/>
    <d v="2020-06-19T00:00:00"/>
    <s v="2020093384"/>
    <x v="10"/>
    <x v="4"/>
    <s v="0819826-21.2019.8.15.0001"/>
    <s v="ALBERTO JORGE MARQUES PEREIRA"/>
    <s v="VOLKSWAGEN DO_x000a_BRASIL INDUSTRIA DE VEICULOS AUTOMOTORES LTDA"/>
    <x v="17"/>
    <m/>
    <x v="5"/>
    <s v="OUTRAS"/>
    <n v="12"/>
    <n v="370"/>
    <n v="522.5"/>
    <s v="OK"/>
    <m/>
    <m/>
    <s v=""/>
    <s v=""/>
    <x v="207"/>
    <n v="522.5"/>
    <n v="0"/>
  </r>
  <r>
    <s v="653"/>
    <d v="2022-08-12T00:00:00"/>
    <s v="2022113146"/>
    <x v="0"/>
    <x v="0"/>
    <s v="0801549-_x000a_40.2021.8.15.0371"/>
    <s v="Maria Estrela Bezerra"/>
    <s v="Banco C6 Consignado"/>
    <x v="1"/>
    <s v="021.205.144-02"/>
    <x v="1"/>
    <s v="LAUDO GRAFOTÉCNICO"/>
    <n v="1"/>
    <n v="300"/>
    <n v="300"/>
    <s v="OK"/>
    <m/>
    <m/>
    <s v=""/>
    <s v=""/>
    <x v="208"/>
    <n v="300"/>
    <n v="0"/>
  </r>
  <r>
    <s v="654"/>
    <d v="2022-09-06T00:00:00"/>
    <s v="2022125016"/>
    <x v="27"/>
    <x v="4"/>
    <s v="0812156-58.2021.8.15.0001"/>
    <s v="ELINETE MENDES BARBOSA"/>
    <s v=" Banco C6 Consignado"/>
    <x v="1"/>
    <s v="021.205.144-02"/>
    <x v="1"/>
    <s v="LAUDO GRAFOTÉCNICO"/>
    <n v="1"/>
    <n v="300"/>
    <n v="300"/>
    <s v="OK"/>
    <m/>
    <m/>
    <s v=""/>
    <s v=""/>
    <x v="209"/>
    <n v="300"/>
    <n v="0"/>
  </r>
  <r>
    <s v="655"/>
    <d v="2022-09-06T00:00:00"/>
    <s v="2022124992"/>
    <x v="4"/>
    <x v="0"/>
    <s v=" 0804050-_x000a_35.2019.8.15.0371"/>
    <s v="Antonia Crispim da Silva"/>
    <s v=" Município de Vieropolis"/>
    <x v="1"/>
    <s v="021.205.144-02"/>
    <x v="5"/>
    <s v="LAUDO DE INSALUBRIDADE E/OU PERICULOSIDADE, CONFORME NORMAS DA ABNT RESPECTIVAS"/>
    <n v="11"/>
    <n v="300"/>
    <n v="370"/>
    <s v="OK"/>
    <m/>
    <m/>
    <s v=""/>
    <s v=""/>
    <x v="210"/>
    <n v="370"/>
    <n v="0"/>
  </r>
  <r>
    <s v="656"/>
    <d v="2022-09-15T00:00:00"/>
    <s v="2022128871"/>
    <x v="4"/>
    <x v="0"/>
    <s v="0800024-_x000a_86.2022.8.15.0371"/>
    <s v="Francisco Roque da Silva"/>
    <s v=" Município de Marizópolis"/>
    <x v="1"/>
    <s v="021.205.144-02"/>
    <x v="5"/>
    <s v="LAUDO DE INSALUBRIDADE E/OU PERICULOSIDADE, CONFORME NORMAS DA ABNT RESPECTIVAS"/>
    <n v="11"/>
    <n v="300"/>
    <n v="370"/>
    <s v="OK"/>
    <m/>
    <m/>
    <s v=""/>
    <s v=""/>
    <x v="211"/>
    <n v="370"/>
    <n v="0"/>
  </r>
  <r>
    <s v="657"/>
    <d v="2022-09-15T00:00:00"/>
    <s v="2022129077"/>
    <x v="4"/>
    <x v="0"/>
    <s v=" 0800835-17.2020.8.15.0371"/>
    <s v="CARLOS FREDERICO NOGUEIRA_x000a_DONATO"/>
    <s v=" Município de Sousa"/>
    <x v="1"/>
    <s v="021.205.144-02"/>
    <x v="5"/>
    <s v="LAUDO DE INSALUBRIDADE E/OU PERICULOSIDADE, CONFORME NORMAS DA ABNT RESPECTIVAS"/>
    <n v="11"/>
    <n v="300"/>
    <n v="370"/>
    <s v="OK"/>
    <m/>
    <m/>
    <s v=""/>
    <s v=""/>
    <x v="211"/>
    <n v="370"/>
    <n v="0"/>
  </r>
  <r>
    <s v="658"/>
    <d v="2022-09-15T00:00:00"/>
    <s v="2022129028"/>
    <x v="4"/>
    <x v="0"/>
    <s v="0806694-77.2021.8.15.0371"/>
    <s v=" JOCILEUMA SARMENTO LOPES PEREIRA"/>
    <s v=" Município de Sousa"/>
    <x v="1"/>
    <s v="021.205.144-02"/>
    <x v="5"/>
    <s v="LAUDO DE INSALUBRIDADE E/OU PERICULOSIDADE, CONFORME NORMAS DA ABNT RESPECTIVAS"/>
    <n v="11"/>
    <n v="300"/>
    <n v="370"/>
    <s v="OK"/>
    <m/>
    <m/>
    <s v=""/>
    <s v=""/>
    <x v="211"/>
    <n v="370"/>
    <n v="0"/>
  </r>
  <r>
    <s v="659"/>
    <d v="2022-09-15T00:00:00"/>
    <s v="2022129093"/>
    <x v="4"/>
    <x v="0"/>
    <s v="0804136-35.2021.8.15.0371"/>
    <s v="ELISIANA QUEIROGA DA_x000a_CONCEICAO ABRANTES"/>
    <s v=" Município de Vieropolis"/>
    <x v="1"/>
    <s v="021.205.144-02"/>
    <x v="5"/>
    <s v="LAUDO DE INSALUBRIDADE E/OU PERICULOSIDADE, CONFORME NORMAS DA ABNT RESPECTIVAS"/>
    <n v="11"/>
    <n v="300"/>
    <n v="370"/>
    <s v="OK"/>
    <m/>
    <m/>
    <s v=""/>
    <s v=""/>
    <x v="211"/>
    <n v="370"/>
    <n v="0"/>
  </r>
  <r>
    <s v="660"/>
    <d v="2022-09-15T00:00:00"/>
    <s v="2022128880"/>
    <x v="4"/>
    <x v="0"/>
    <s v="0801583-78.2022.8.15.0371"/>
    <s v=" CARLENILSON ALVES DE MORAIS"/>
    <s v=" Município de Sousa"/>
    <x v="1"/>
    <s v="021.205.144-02"/>
    <x v="5"/>
    <s v="LAUDO DE INSALUBRIDADE E/OU PERICULOSIDADE, CONFORME NORMAS DA ABNT RESPECTIVAS"/>
    <n v="11"/>
    <n v="300"/>
    <n v="370"/>
    <s v="OK"/>
    <m/>
    <m/>
    <s v=""/>
    <s v=""/>
    <x v="211"/>
    <n v="370"/>
    <n v="0"/>
  </r>
  <r>
    <s v="661"/>
    <d v="2022-07-19T00:00:00"/>
    <s v="2022102009"/>
    <x v="0"/>
    <x v="0"/>
    <s v="0805442-39.2021.8.15.0371"/>
    <s v="FRANCINALDA FERREIRA DA SILVA ALVES"/>
    <s v=" Município de Sousa"/>
    <x v="1"/>
    <s v="021.205.144-02"/>
    <x v="5"/>
    <s v="LAUDO DE INSALUBRIDADE E/OU PERICULOSIDADE, CONFORME NORMAS DA ABNT RESPECTIVAS"/>
    <n v="11"/>
    <n v="300"/>
    <n v="370"/>
    <s v="OK"/>
    <m/>
    <m/>
    <s v=""/>
    <s v=""/>
    <x v="212"/>
    <n v="370"/>
    <n v="0"/>
  </r>
  <r>
    <s v="662"/>
    <d v="2022-09-15T00:00:00"/>
    <s v="2022113363"/>
    <x v="0"/>
    <x v="0"/>
    <s v="0803699-91.2021.8.15.0371"/>
    <s v=" Joebson Martins Nóbrega"/>
    <s v=" Município de Sousa"/>
    <x v="1"/>
    <s v="021.205.144-02"/>
    <x v="5"/>
    <s v="LAUDO DE INSALUBRIDADE E/OU PERICULOSIDADE, CONFORME NORMAS DA ABNT RESPECTIVAS"/>
    <n v="11"/>
    <n v="300"/>
    <n v="370"/>
    <s v="OK"/>
    <m/>
    <m/>
    <s v=""/>
    <s v=""/>
    <x v="212"/>
    <n v="370"/>
    <n v="0"/>
  </r>
  <r>
    <s v="663"/>
    <d v="2022-08-12T00:00:00"/>
    <s v="2022113291"/>
    <x v="0"/>
    <x v="0"/>
    <s v="0807089-_x000a_69.2021.8.15.0371"/>
    <s v="Maria Aparecida de Aquino"/>
    <s v=" Município de Sousa"/>
    <x v="1"/>
    <s v="021.205.144-02"/>
    <x v="5"/>
    <s v="LAUDO DE INSALUBRIDADE E/OU PERICULOSIDADE, CONFORME NORMAS DA ABNT RESPECTIVAS"/>
    <n v="11"/>
    <n v="300"/>
    <n v="370"/>
    <s v="OK"/>
    <m/>
    <m/>
    <s v=""/>
    <s v=""/>
    <x v="212"/>
    <n v="370"/>
    <n v="0"/>
  </r>
  <r>
    <s v="664"/>
    <d v="2022-09-20T00:00:00"/>
    <s v="2022131248"/>
    <x v="62"/>
    <x v="6"/>
    <s v="0800341-76.2017.815.0301"/>
    <s v="ANTÔNIO MARCOS FERNANDES_x000a_DOS SANTOs"/>
    <s v="FACE DE BANCO SEMEAR S/A"/>
    <x v="1"/>
    <s v="021.205.144-02"/>
    <x v="1"/>
    <s v="LAUDO GRAFOTÉCNICO"/>
    <n v="1"/>
    <n v="300"/>
    <n v="300"/>
    <s v="OK"/>
    <m/>
    <m/>
    <s v=""/>
    <s v=""/>
    <x v="213"/>
    <n v="300"/>
    <n v="0"/>
  </r>
  <r>
    <s v="665"/>
    <d v="2022-09-16T00:00:00"/>
    <s v="2022129606"/>
    <x v="4"/>
    <x v="0"/>
    <s v="0800767-_x000a_96.2022.8.15.0371"/>
    <s v=" VALDENA MATIAS DA SILVA"/>
    <s v=" Município de Sousa"/>
    <x v="1"/>
    <s v="021.205.144-02"/>
    <x v="5"/>
    <s v="LAUDO DE INSALUBRIDADE E/OU PERICULOSIDADE, CONFORME NORMAS DA ABNT RESPECTIVAS"/>
    <n v="11"/>
    <n v="300"/>
    <n v="370"/>
    <s v="OK"/>
    <m/>
    <m/>
    <s v=""/>
    <s v=""/>
    <x v="214"/>
    <n v="370"/>
    <n v="0"/>
  </r>
  <r>
    <s v="666"/>
    <d v="2022-09-16T00:00:00"/>
    <s v="2022129614"/>
    <x v="4"/>
    <x v="0"/>
    <s v="0800569-_x000a_30.2020.8.15.0371"/>
    <s v=" Maria Adriana Domingos da Silva"/>
    <s v=" Município de Sousa"/>
    <x v="1"/>
    <s v="021.205.144-02"/>
    <x v="5"/>
    <s v="LAUDO DE INSALUBRIDADE E/OU PERICULOSIDADE, CONFORME NORMAS DA ABNT RESPECTIVAS"/>
    <n v="11"/>
    <n v="300"/>
    <n v="370"/>
    <s v="OK"/>
    <m/>
    <m/>
    <s v=""/>
    <s v=""/>
    <x v="214"/>
    <n v="370"/>
    <n v="0"/>
  </r>
  <r>
    <s v="667"/>
    <d v="2022-09-16T00:00:00"/>
    <s v="2022129591"/>
    <x v="4"/>
    <x v="0"/>
    <s v="0801069-_x000a_28.2022.8.15.0371"/>
    <s v="Cleoneide marques Sarmento de Morais"/>
    <s v=" Município de Sousa"/>
    <x v="1"/>
    <s v="021.205.144-02"/>
    <x v="5"/>
    <s v="LAUDO DE INSALUBRIDADE E/OU PERICULOSIDADE, CONFORME NORMAS DA ABNT RESPECTIVAS"/>
    <n v="11"/>
    <n v="300"/>
    <n v="370"/>
    <s v="OK"/>
    <m/>
    <m/>
    <s v=""/>
    <s v=""/>
    <x v="214"/>
    <n v="370"/>
    <n v="0"/>
  </r>
  <r>
    <s v="668"/>
    <d v="2022-09-15T00:00:00"/>
    <s v="2022129454"/>
    <x v="27"/>
    <x v="4"/>
    <s v="0815198-91.2016.8.15.0001"/>
    <s v="MARIA JOSE CABRAL DE BRITO"/>
    <s v="FACE DO BANCO BMG AS"/>
    <x v="1"/>
    <s v="021.205.144-02"/>
    <x v="1"/>
    <s v="LAUDO GRAFOTÉCNICO"/>
    <n v="1"/>
    <n v="300"/>
    <n v="300"/>
    <s v="OK"/>
    <m/>
    <m/>
    <s v=""/>
    <s v=""/>
    <x v="215"/>
    <n v="300"/>
    <n v="0"/>
  </r>
  <r>
    <s v="669"/>
    <d v="2022-07-11T00:00:00"/>
    <s v="2022097943"/>
    <x v="0"/>
    <x v="0"/>
    <s v="0806876-_x000a_63.2021.8.15.0371"/>
    <s v="EUNICE SOARES DA SILVA"/>
    <s v=" Município de Sousa"/>
    <x v="1"/>
    <s v="021.205.144-02"/>
    <x v="5"/>
    <s v="LAUDO DE INSALUBRIDADE E/OU PERICULOSIDADE, CONFORME NORMAS DA ABNT RESPECTIVAS"/>
    <n v="11"/>
    <n v="300"/>
    <n v="370"/>
    <s v="OK"/>
    <m/>
    <m/>
    <s v=""/>
    <s v=""/>
    <x v="215"/>
    <n v="370"/>
    <n v="0"/>
  </r>
  <r>
    <s v="670"/>
    <d v="2022-06-02T00:00:00"/>
    <s v="2022078563"/>
    <x v="73"/>
    <x v="9"/>
    <s v="0800487-_x000a_56.2020.815.2001"/>
    <s v="Júlia Pereira Alves"/>
    <s v=" Banco Bradesco S.A., Banco Santander (Brasil) S.A."/>
    <x v="137"/>
    <s v="047.599.419-16"/>
    <x v="1"/>
    <s v="LAUDO GRAFOTÉCNICO"/>
    <n v="1"/>
    <n v="300"/>
    <n v="300"/>
    <s v="OK"/>
    <m/>
    <m/>
    <s v=""/>
    <s v=""/>
    <x v="216"/>
    <n v="300"/>
    <n v="0"/>
  </r>
  <r>
    <s v="671"/>
    <d v="2022-08-23T00:00:00"/>
    <s v="2022117864"/>
    <x v="4"/>
    <x v="0"/>
    <s v="0801367-_x000a_20.2022.8.15.0371"/>
    <s v="Francisca Mendes Meira"/>
    <s v="Município de Sousa."/>
    <x v="1"/>
    <s v="021.205.144-02"/>
    <x v="5"/>
    <s v="LAUDO DE INSALUBRIDADE E/OU PERICULOSIDADE, CONFORME NORMAS DA ABNT RESPECTIVAS"/>
    <n v="11"/>
    <n v="300"/>
    <n v="370"/>
    <s v="OK"/>
    <m/>
    <m/>
    <s v=""/>
    <s v=""/>
    <x v="216"/>
    <n v="370"/>
    <n v="0"/>
  </r>
  <r>
    <s v="672"/>
    <d v="2022-08-30T00:00:00"/>
    <s v="2022121402"/>
    <x v="4"/>
    <x v="0"/>
    <s v="0807058-49.2021.8.15.0371"/>
    <s v="MARIA IRANETE DE OLIVEIRA MORAIS"/>
    <s v="Município de Sousa."/>
    <x v="1"/>
    <s v="021.205.144-02"/>
    <x v="5"/>
    <s v="LAUDO DE INSALUBRIDADE E/OU PERICULOSIDADE, CONFORME NORMAS DA ABNT RESPECTIVAS"/>
    <n v="11"/>
    <n v="300"/>
    <n v="370"/>
    <s v="OK"/>
    <m/>
    <m/>
    <s v=""/>
    <s v=""/>
    <x v="216"/>
    <n v="370"/>
    <n v="0"/>
  </r>
  <r>
    <s v="673"/>
    <d v="2022-07-29T00:00:00"/>
    <s v="2022106649"/>
    <x v="39"/>
    <x v="18"/>
    <s v="0801596-70.2020.8.15.0881"/>
    <s v="JOHNY_x000a_ALLEF NOGUEIRA DA SILVA"/>
    <s v="JOSE SANTANA DE CASTRO FILHO"/>
    <x v="97"/>
    <s v="753.109.024-49"/>
    <x v="0"/>
    <s v="OUTRAS"/>
    <n v="15"/>
    <n v="370"/>
    <n v="350"/>
    <s v="OK"/>
    <m/>
    <m/>
    <s v=""/>
    <s v=""/>
    <x v="217"/>
    <n v="350"/>
    <n v="0"/>
  </r>
  <r>
    <s v="674"/>
    <d v="2022-08-29T00:00:00"/>
    <s v="2022120560"/>
    <x v="51"/>
    <x v="22"/>
    <s v="0801081-_x000a_03.2019.8.15.0321"/>
    <s v="Reginaldo Luiz de Farias"/>
    <s v="SEGURADORA LÍDER DOS CONSÓRCIOS_x000a_DO SEGURO DPVAT S.A."/>
    <x v="138"/>
    <s v="028.675.435-50"/>
    <x v="0"/>
    <s v="OUTRAS"/>
    <n v="15"/>
    <n v="370"/>
    <n v="370"/>
    <s v="OK"/>
    <m/>
    <m/>
    <s v=""/>
    <s v=""/>
    <x v="217"/>
    <n v="370"/>
    <n v="0"/>
  </r>
  <r>
    <s v="675"/>
    <d v="2022-09-02T00:00:00"/>
    <s v="2022122815"/>
    <x v="39"/>
    <x v="18"/>
    <s v="0800940-_x000a_79.2021.8.15.0881"/>
    <s v="GLICIA DANTAS DE ARAUJO"/>
    <s v="MARIA DO SOCORRO SILVA"/>
    <x v="97"/>
    <s v="753.109.024-49"/>
    <x v="0"/>
    <s v="OUTRAS"/>
    <n v="15"/>
    <n v="370"/>
    <n v="350"/>
    <s v="OK"/>
    <m/>
    <m/>
    <s v=""/>
    <s v=""/>
    <x v="218"/>
    <n v="350"/>
    <n v="0"/>
  </r>
  <r>
    <s v="676"/>
    <d v="2022-09-02T00:00:00"/>
    <s v="2022122807"/>
    <x v="39"/>
    <x v="18"/>
    <s v="0800510-_x000a_64.2020.8.15.0881"/>
    <s v="MARIA HELENA DE ALMEIDA"/>
    <s v="ANDREIA DE ALMEIDA."/>
    <x v="97"/>
    <s v="753.109.024-49"/>
    <x v="0"/>
    <s v="OUTRAS"/>
    <n v="15"/>
    <n v="370"/>
    <n v="350"/>
    <s v="OK"/>
    <m/>
    <m/>
    <s v=""/>
    <s v=""/>
    <x v="218"/>
    <n v="350"/>
    <n v="0"/>
  </r>
  <r>
    <s v="677"/>
    <d v="2022-09-02T00:00:00"/>
    <s v="2022123133"/>
    <x v="77"/>
    <x v="33"/>
    <s v="0802320-42.2020.8.15.0051"/>
    <s v="VERA LUCIA SOARES DANTAS"/>
    <s v="SEBASTIANA_x000a_SOARES DANTAS"/>
    <x v="97"/>
    <s v="753.109.024-49"/>
    <x v="0"/>
    <s v="OUTRAS"/>
    <n v="15"/>
    <n v="370"/>
    <n v="370"/>
    <s v="OK"/>
    <m/>
    <m/>
    <s v=""/>
    <s v=""/>
    <x v="219"/>
    <n v="370"/>
    <n v="0"/>
  </r>
  <r>
    <s v="678"/>
    <d v="2022-09-06T00:00:00"/>
    <s v="2022124329"/>
    <x v="77"/>
    <x v="33"/>
    <s v="0800007-11.2020.815.0051"/>
    <s v="Ministério Público do Estado da Paraíba"/>
    <s v="Justina Maria da Conceição. "/>
    <x v="97"/>
    <s v="753.109.024-49"/>
    <x v="0"/>
    <s v="OUTRAS"/>
    <n v="15"/>
    <n v="370"/>
    <n v="370"/>
    <s v="OK"/>
    <m/>
    <m/>
    <s v=""/>
    <s v=""/>
    <x v="219"/>
    <n v="370"/>
    <n v="0"/>
  </r>
  <r>
    <s v="679"/>
    <d v="2022-09-06T00:00:00"/>
    <s v="2022124520"/>
    <x v="77"/>
    <x v="33"/>
    <s v="0801506-64.2019.815.0051"/>
    <s v=" MARIA DE_x000a_LOURDES DE ABREU ALEXANDRE"/>
    <s v="Justina Maria da Conceição. "/>
    <x v="97"/>
    <s v="753.109.024-49"/>
    <x v="0"/>
    <s v="OUTRAS"/>
    <n v="15"/>
    <n v="370"/>
    <n v="370"/>
    <s v="OK"/>
    <m/>
    <m/>
    <s v=""/>
    <s v=""/>
    <x v="219"/>
    <n v="370"/>
    <n v="0"/>
  </r>
  <r>
    <s v="680"/>
    <d v="2022-09-06T00:00:00"/>
    <s v="2022124538"/>
    <x v="77"/>
    <x v="33"/>
    <s v=" 0800510-95.2021.815.0051"/>
    <s v=" MARIA JOSÉ RAÍSSA BATISTA_x000a_FERNANDES"/>
    <s v="JOSÉ FERNANDES DE OLIVEIRA. "/>
    <x v="97"/>
    <s v="753.109.024-49"/>
    <x v="0"/>
    <s v="OUTRAS"/>
    <n v="15"/>
    <n v="370"/>
    <n v="370"/>
    <s v="OK"/>
    <m/>
    <m/>
    <s v=""/>
    <s v=""/>
    <x v="219"/>
    <n v="370"/>
    <n v="0"/>
  </r>
  <r>
    <s v="681"/>
    <d v="2022-09-06T00:00:00"/>
    <s v="2022124345"/>
    <x v="77"/>
    <x v="33"/>
    <s v="0800246-78.2021.8.15.0051"/>
    <s v=" Maria de Fátima Alves dos Santos"/>
    <s v="Damião Alves dos Santos._x000a_"/>
    <x v="97"/>
    <s v="753.109.024-49"/>
    <x v="0"/>
    <s v="OUTRAS"/>
    <n v="15"/>
    <n v="370"/>
    <n v="370"/>
    <s v="OK"/>
    <m/>
    <m/>
    <s v=""/>
    <s v=""/>
    <x v="219"/>
    <n v="370"/>
    <n v="0"/>
  </r>
  <r>
    <s v="682"/>
    <d v="2022-09-06T00:00:00"/>
    <s v="2022124370"/>
    <x v="77"/>
    <x v="33"/>
    <s v="0802291-89.2020.815.0051"/>
    <s v="Luana Gonçalves de Oliveira"/>
    <s v=" Victor_x000a_Gonçalves de Oliveira."/>
    <x v="97"/>
    <s v="753.109.024-49"/>
    <x v="0"/>
    <s v="OUTRAS"/>
    <n v="15"/>
    <n v="370"/>
    <n v="370"/>
    <s v="OK"/>
    <m/>
    <m/>
    <s v=""/>
    <s v=""/>
    <x v="219"/>
    <n v="370"/>
    <n v="0"/>
  </r>
  <r>
    <s v="683"/>
    <d v="2022-09-06T00:00:00"/>
    <s v="2022124290"/>
    <x v="77"/>
    <x v="33"/>
    <s v="0000095-58.2015.815.0051"/>
    <s v="Maria Lúcia_x000a_Evangelista Rolim. "/>
    <s v="Justina Maria da Conceição. "/>
    <x v="97"/>
    <s v="753.109.024-49"/>
    <x v="0"/>
    <s v="OUTRAS"/>
    <n v="15"/>
    <n v="370"/>
    <n v="370"/>
    <s v="OK"/>
    <m/>
    <m/>
    <s v=""/>
    <s v=""/>
    <x v="219"/>
    <n v="370"/>
    <n v="0"/>
  </r>
  <r>
    <s v="684"/>
    <d v="2022-09-06T00:00:00"/>
    <s v="2022124273"/>
    <x v="77"/>
    <x v="33"/>
    <s v="0800239-52.2022.815.0051"/>
    <s v="Maria do Socorro Dias Braga"/>
    <s v="Maria do Socorro Dias Braga"/>
    <x v="97"/>
    <s v="753.109.024-49"/>
    <x v="0"/>
    <s v="OUTRAS"/>
    <n v="15"/>
    <n v="370"/>
    <n v="370"/>
    <s v="OK"/>
    <m/>
    <m/>
    <s v=""/>
    <s v=""/>
    <x v="219"/>
    <n v="370"/>
    <n v="0"/>
  </r>
  <r>
    <s v="685"/>
    <d v="2022-09-12T00:00:00"/>
    <s v="2022126804"/>
    <x v="77"/>
    <x v="33"/>
    <s v="0800834-27.2020.815.0211"/>
    <s v="MARIA LÚCIA_x000a_BARBOSA GAUDÊNCIO"/>
    <s v="MÁRIO BARBOSA DE SOUSA FILHO"/>
    <x v="97"/>
    <s v="753.109.024-49"/>
    <x v="0"/>
    <s v="OUTRAS"/>
    <n v="15"/>
    <n v="370"/>
    <n v="370"/>
    <s v="OK"/>
    <m/>
    <m/>
    <s v=""/>
    <s v=""/>
    <x v="212"/>
    <n v="370"/>
    <n v="0"/>
  </r>
  <r>
    <s v="686"/>
    <d v="2022-09-16T00:00:00"/>
    <s v="2022129487"/>
    <x v="39"/>
    <x v="18"/>
    <s v="0800206-70.2017.8.15.0881"/>
    <s v="VALTER TARGINO DE SOUSA"/>
    <s v=" INSTITUTO MUNICIPAL DE_x000a_PREVIDENCIA DE SAO BENTO - PB_x000a_"/>
    <x v="97"/>
    <s v="753.109.024-49"/>
    <x v="0"/>
    <s v="OUTRAS"/>
    <n v="15"/>
    <n v="370"/>
    <n v="240"/>
    <s v="OK"/>
    <m/>
    <m/>
    <s v=""/>
    <s v=""/>
    <x v="215"/>
    <n v="240"/>
    <n v="0"/>
  </r>
  <r>
    <s v="687"/>
    <d v="2022-08-11T00:00:00"/>
    <s v="2022112535"/>
    <x v="0"/>
    <x v="0"/>
    <s v="0806684-_x000a_33.2021.8.15.0371"/>
    <s v="Isleide Almeida Barbosa"/>
    <s v=" Município de Sousa."/>
    <x v="1"/>
    <s v="021.205.144-02"/>
    <x v="5"/>
    <s v="LAUDO DE INSALUBRIDADE E/OU PERICULOSIDADE, CONFORME NORMAS DA ABNT RESPECTIVAS"/>
    <n v="11"/>
    <n v="300"/>
    <n v="370"/>
    <s v="OK"/>
    <m/>
    <m/>
    <s v=""/>
    <s v=""/>
    <x v="220"/>
    <n v="370"/>
    <n v="0"/>
  </r>
  <r>
    <s v="688"/>
    <d v="2022-09-09T00:00:00"/>
    <s v="2022125985"/>
    <x v="78"/>
    <x v="34"/>
    <s v="0000992-07.2016.8.15.0551"/>
    <s v="SALETE FRANCISCA DE LIMA"/>
    <s v="INSS"/>
    <x v="139"/>
    <s v="033.000.114-00"/>
    <x v="0"/>
    <s v="OUTRAS"/>
    <n v="15"/>
    <n v="300"/>
    <n v="300"/>
    <s v="OK"/>
    <m/>
    <m/>
    <s v=""/>
    <s v=""/>
    <x v="220"/>
    <n v="300"/>
    <n v="0"/>
  </r>
  <r>
    <s v="689"/>
    <d v="2022-09-01T00:00:00"/>
    <s v="2022122712"/>
    <x v="0"/>
    <x v="0"/>
    <s v="0800574-45.2017.8.15.0181"/>
    <s v="ZILJANE MARQUES AMORIM"/>
    <s v="INSTITUTO DE ASSISTENCIA E PREVIDENCIA MUNICIPAL_x000a_DE GUARABIRA."/>
    <x v="54"/>
    <s v="485.549.104-78"/>
    <x v="0"/>
    <s v="OUTRAS"/>
    <n v="15"/>
    <n v="300"/>
    <n v="370"/>
    <s v="OK"/>
    <m/>
    <m/>
    <s v=""/>
    <s v=""/>
    <x v="213"/>
    <n v="370"/>
    <n v="0"/>
  </r>
  <r>
    <s v="690"/>
    <d v="2022-09-16T00:00:00"/>
    <s v="2022129680"/>
    <x v="29"/>
    <x v="4"/>
    <s v="0805416-84.2021.8.15.0001"/>
    <s v="GUSTAVO RAMOS SALUSTIANO"/>
    <s v="ALICE BRITO MENDES"/>
    <x v="99"/>
    <s v="275.900.448-14"/>
    <x v="4"/>
    <m/>
    <n v="16"/>
    <n v="300"/>
    <n v="300"/>
    <s v="OK"/>
    <m/>
    <m/>
    <s v=""/>
    <s v=""/>
    <x v="215"/>
    <n v="300"/>
    <n v="0"/>
  </r>
  <r>
    <s v="691"/>
    <s v="16-0922"/>
    <s v="2022129751"/>
    <x v="32"/>
    <x v="9"/>
    <s v="0800240-80.2017.8.15.2001"/>
    <s v="FLAVIANA DA SILVA CÂMARA e ANA GLORIA DA SILVA"/>
    <s v="ENERGISA PARAIBA - DISTRIBUIDORA DE ENERGIA S.A."/>
    <x v="125"/>
    <s v="052.220.744-80"/>
    <x v="5"/>
    <s v="OUTRAS"/>
    <n v="12"/>
    <n v="300"/>
    <n v="370"/>
    <s v="OK"/>
    <m/>
    <m/>
    <s v=""/>
    <s v=""/>
    <x v="213"/>
    <n v="370"/>
    <n v="0"/>
  </r>
  <r>
    <s v="692"/>
    <d v="2022-09-12T00:00:00"/>
    <s v="2022126644"/>
    <x v="25"/>
    <x v="14"/>
    <s v="0000272-47.2013.8.15.0421"/>
    <s v="r CÍCERO LUCENA SOMBRA"/>
    <s v=" FRANCISCO_x000a_DOS SANTOS SOMBRA"/>
    <x v="31"/>
    <s v="053.027.324-16"/>
    <x v="0"/>
    <s v="OUTRAS"/>
    <n v="15"/>
    <n v="300"/>
    <n v="370"/>
    <s v="OK"/>
    <m/>
    <m/>
    <s v=""/>
    <s v=""/>
    <x v="212"/>
    <n v="370"/>
    <n v="0"/>
  </r>
  <r>
    <s v="693"/>
    <d v="2022-05-16T00:00:00"/>
    <s v="2022069336"/>
    <x v="30"/>
    <x v="9"/>
    <s v="0844458-28.2019.8.15.2001"/>
    <s v=" SEVERINO RAMOS LOURENCO"/>
    <s v="banco pan"/>
    <x v="61"/>
    <s v="701.876.111-57"/>
    <x v="1"/>
    <s v="LAUDO GRAFOTÉCNICO"/>
    <n v="1"/>
    <n v="300"/>
    <n v="370"/>
    <s v="OK"/>
    <m/>
    <m/>
    <s v=""/>
    <s v=""/>
    <x v="221"/>
    <n v="370"/>
    <n v="0"/>
  </r>
  <r>
    <s v="694"/>
    <d v="2022-06-05T00:00:00"/>
    <s v="2022079556"/>
    <x v="79"/>
    <x v="35"/>
    <s v="0000774-54.2012.8.15.0151"/>
    <s v=" Valnete Rodrigues de Sousa e outros"/>
    <s v="  Sul_x000a_América Nacional de Seguro S/A"/>
    <x v="140"/>
    <s v=" 094.066.344-90"/>
    <x v="5"/>
    <s v="LAUDO PERICIAL DAS CONDIÇÕES ESTRUTURAIS DE SEGURNÇA E SOLIDEZ DE IMÓVEL, CONFORME NORMA DA ABNT RESPECTIVAS"/>
    <n v="8"/>
    <n v="300"/>
    <n v="1850"/>
    <s v="OK"/>
    <m/>
    <m/>
    <s v=""/>
    <s v=""/>
    <x v="221"/>
    <n v="1850"/>
    <n v="0"/>
  </r>
  <r>
    <s v="695"/>
    <d v="2022-06-08T00:00:00"/>
    <s v="2022082120"/>
    <x v="20"/>
    <x v="10"/>
    <s v="0800583-_x000a_77.2016.8.15.0751"/>
    <s v="Claudia dos Santos Alexandre"/>
    <s v=" MUNICÍPIO DE BAYEUX"/>
    <x v="73"/>
    <s v="104.955.027-_x000a_74"/>
    <x v="5"/>
    <s v="LAUDO DE INSALUBRIDADE E/OU PERICULOSIDADE, CONFORME NORMAS DA ABNT RESPECTIVAS"/>
    <n v="11"/>
    <n v="300"/>
    <n v="600"/>
    <s v="OK"/>
    <m/>
    <m/>
    <s v=""/>
    <s v=""/>
    <x v="221"/>
    <n v="600"/>
    <n v="0"/>
  </r>
  <r>
    <s v="696"/>
    <d v="2022-06-07T00:00:00"/>
    <s v="2022080614"/>
    <x v="52"/>
    <x v="23"/>
    <s v="0800114-08.2022.8.15.01411"/>
    <s v=" Edivânia de Figueiredo Melo,"/>
    <s v=" Banco Mercantil do Brasil, S.A"/>
    <x v="1"/>
    <s v="021.205.144-02"/>
    <x v="1"/>
    <s v="LAUDO GRAFOTÉCNICO"/>
    <n v="1"/>
    <n v="300"/>
    <n v="370"/>
    <s v="OK"/>
    <m/>
    <m/>
    <s v=""/>
    <s v=""/>
    <x v="221"/>
    <n v="370"/>
    <n v="0"/>
  </r>
  <r>
    <s v="697"/>
    <d v="2022-09-28T00:00:00"/>
    <s v="2022133889"/>
    <x v="4"/>
    <x v="0"/>
    <s v=" 0805317-71.2021.8.15.0371"/>
    <s v="Maria das Graças de Lima"/>
    <s v="Município de Santa_x000a_Cruz"/>
    <x v="1"/>
    <s v="021.205.144-02"/>
    <x v="5"/>
    <s v="LAUDO DE INSALUBRIDADE E/OU PERICULOSIDADE, CONFORME NORMAS DA ABNT RESPECTIVAS"/>
    <n v="11"/>
    <n v="300"/>
    <n v="370"/>
    <s v="OK"/>
    <m/>
    <m/>
    <s v=""/>
    <s v=""/>
    <x v="222"/>
    <n v="370"/>
    <n v="0"/>
  </r>
  <r>
    <s v="698"/>
    <d v="2022-09-27T00:00:00"/>
    <s v="2022133872"/>
    <x v="4"/>
    <x v="0"/>
    <s v="0805319-_x000a_41.2021.8.15.0371"/>
    <s v="Maria Helena Sarmento"/>
    <s v="Município de Santa_x000a_Cruz"/>
    <x v="1"/>
    <s v="021.205.144-02"/>
    <x v="5"/>
    <s v="LAUDO DE INSALUBRIDADE E/OU PERICULOSIDADE, CONFORME NORMAS DA ABNT RESPECTIVAS"/>
    <n v="11"/>
    <n v="300"/>
    <n v="370"/>
    <s v="OK"/>
    <m/>
    <m/>
    <s v=""/>
    <s v=""/>
    <x v="222"/>
    <n v="370"/>
    <n v="0"/>
  </r>
  <r>
    <s v="699"/>
    <d v="2022-07-19T00:00:00"/>
    <s v="2021092775"/>
    <x v="47"/>
    <x v="9"/>
    <s v=" 0025793-_x000a_75.2011.815.2001"/>
    <s v="JOAO DE BRITO DE ATHAYDE MOURA e outra"/>
    <s v=" CASABLANCA_x000a_CONSTRUÇÕES LTDA e BRUNO STROPP GALIZA."/>
    <x v="1"/>
    <s v="021.205.144-02"/>
    <x v="1"/>
    <s v="LAUDO GRAFOTÉCNICO"/>
    <n v="1"/>
    <n v="300"/>
    <n v="1500"/>
    <s v="OK"/>
    <m/>
    <m/>
    <s v=""/>
    <s v=""/>
    <x v="221"/>
    <n v="1500"/>
    <n v="0"/>
  </r>
  <r>
    <s v="700"/>
    <d v="2022-09-22T00:00:00"/>
    <s v="2022132415"/>
    <x v="4"/>
    <x v="0"/>
    <s v=". 0800497-77.2019.8.15.0371"/>
    <s v="RICARDO VIEIRA PEDROSA"/>
    <s v="MUNICIPIO DE SOUSA"/>
    <x v="1"/>
    <s v="021.205.144-02"/>
    <x v="5"/>
    <s v="LAUDO DE INSALUBRIDADE E/OU PERICULOSIDADE, CONFORME NORMAS DA ABNT RESPECTIVAS"/>
    <n v="11"/>
    <n v="300"/>
    <n v="370"/>
    <s v="OK"/>
    <m/>
    <m/>
    <s v=""/>
    <s v=""/>
    <x v="223"/>
    <n v="370"/>
    <n v="0"/>
  </r>
  <r>
    <s v="701"/>
    <d v="2019-04-29T00:00:00"/>
    <s v="2019084978"/>
    <x v="4"/>
    <x v="0"/>
    <s v="0007026-_x000a_58.2013.8.15.0371"/>
    <s v="JOSEILDO JACOME DE OLIVEIRA"/>
    <s v="MUNICIPIO DE SOUSA"/>
    <x v="1"/>
    <s v="021.205.144-02"/>
    <x v="5"/>
    <s v="LAUDO DE INSALUBRIDADE E/OU PERICULOSIDADE, CONFORME NORMAS DA ABNT RESPECTIVAS"/>
    <n v="11"/>
    <n v="300"/>
    <n v="1866"/>
    <s v="OK"/>
    <m/>
    <m/>
    <s v=""/>
    <s v=""/>
    <x v="221"/>
    <n v="1866"/>
    <n v="0"/>
  </r>
  <r>
    <s v="702"/>
    <d v="2019-04-29T00:00:00"/>
    <s v="2019084978"/>
    <x v="4"/>
    <x v="0"/>
    <s v="; 0001930-_x000a_91.2015.8.15.0371"/>
    <s v="LUIZ CLAUDIO DE SOUSA"/>
    <s v="MUNICIPIO DE Aparecida"/>
    <x v="1"/>
    <s v="021.205.144-02"/>
    <x v="5"/>
    <s v="LAUDO DE INSALUBRIDADE E/OU PERICULOSIDADE, CONFORME NORMAS DA ABNT RESPECTIVAS"/>
    <n v="11"/>
    <n v="300"/>
    <n v="1866"/>
    <s v="OK"/>
    <m/>
    <m/>
    <s v=""/>
    <s v=""/>
    <x v="221"/>
    <n v="1866"/>
    <n v="0"/>
  </r>
  <r>
    <s v="703"/>
    <d v="2019-04-29T00:00:00"/>
    <s v="2019084978"/>
    <x v="4"/>
    <x v="0"/>
    <s v=" 0001989-_x000a_79.2015.8.15.0371"/>
    <s v="ANANELIS FERNANDES DUTRA FERREIRA"/>
    <s v="MUNICIPIO DE Aparecida"/>
    <x v="1"/>
    <s v="021.205.144-02"/>
    <x v="5"/>
    <s v="LAUDO DE INSALUBRIDADE E/OU PERICULOSIDADE, CONFORME NORMAS DA ABNT RESPECTIVAS"/>
    <n v="11"/>
    <n v="300"/>
    <n v="1866"/>
    <s v="OK"/>
    <m/>
    <m/>
    <s v=""/>
    <s v=""/>
    <x v="221"/>
    <n v="1866"/>
    <n v="0"/>
  </r>
  <r>
    <s v="704"/>
    <d v="2022-05-16T00:00:00"/>
    <s v="2022069133"/>
    <x v="52"/>
    <x v="23"/>
    <s v="0803220-_x000a_12.2021.8.15.0141"/>
    <s v="FRANCISCA VANICLEIDE DOS SANTOS"/>
    <s v=" Banco Mercantil do Brasil, S.A"/>
    <x v="1"/>
    <s v="021.205.144-02"/>
    <x v="1"/>
    <s v="LAUDO GRAFOTÉCNICO"/>
    <n v="1"/>
    <n v="300"/>
    <n v="370"/>
    <s v="OK"/>
    <m/>
    <m/>
    <s v=""/>
    <s v=""/>
    <x v="221"/>
    <n v="370"/>
    <n v="0"/>
  </r>
  <r>
    <s v="705"/>
    <d v="2022-08-16T00:00:00"/>
    <s v="2019170645"/>
    <x v="4"/>
    <x v="0"/>
    <s v="0803308-78.2017.8.15.0371"/>
    <s v="ROVILANIO MACIEL LINS"/>
    <s v="MUNICIPIO DE NAZAREZINHO"/>
    <x v="1"/>
    <s v="021.205.144-02"/>
    <x v="5"/>
    <s v="LAUDO PERICIAL DAS CONDIÇÕES ESTRUTURAIS DE SEGURNÇA E SOLIDEZ DE IMÓVEL, CONFORME NORMA DA ABNT RESPECTIVAS"/>
    <n v="8"/>
    <n v="300"/>
    <n v="2960"/>
    <s v="OK"/>
    <m/>
    <m/>
    <s v=""/>
    <s v=""/>
    <x v="221"/>
    <n v="2960"/>
    <n v="0"/>
  </r>
  <r>
    <s v="706"/>
    <d v="2022-04-29T00:00:00"/>
    <s v="2019084994"/>
    <x v="4"/>
    <x v="0"/>
    <s v="0001934-31.2015.8.15.0371"/>
    <s v="VICENTE ANTUNINO DA SILVA"/>
    <s v="MUNICIPIO DE Aparecida"/>
    <x v="1"/>
    <s v="021.205.144-02"/>
    <x v="5"/>
    <s v="LAUDO DE INSALUBRIDADE E/OU PERICULOSIDADE, CONFORME NORMAS DA ABNT RESPECTIVAS"/>
    <n v="11"/>
    <n v="300"/>
    <n v="1866"/>
    <s v="OK"/>
    <m/>
    <m/>
    <s v=""/>
    <s v=""/>
    <x v="221"/>
    <n v="1866"/>
    <n v="0"/>
  </r>
  <r>
    <s v="707"/>
    <d v="2022-04-29T00:00:00"/>
    <s v="2019084994"/>
    <x v="4"/>
    <x v="0"/>
    <s v="0001993-19.2015.8.15.0371"/>
    <s v="NARGUELLTHON GUEB DE ARAUJO"/>
    <s v="MUNICIPIO DE Aparecida"/>
    <x v="1"/>
    <s v="021.205.144-02"/>
    <x v="5"/>
    <s v="LAUDO DE INSALUBRIDADE E/OU PERICULOSIDADE, CONFORME NORMAS DA ABNT RESPECTIVAS"/>
    <n v="11"/>
    <n v="300"/>
    <n v="1866"/>
    <s v="OK"/>
    <m/>
    <m/>
    <s v=""/>
    <s v=""/>
    <x v="221"/>
    <n v="1866"/>
    <n v="0"/>
  </r>
  <r>
    <s v="708"/>
    <d v="2022-04-29T00:00:00"/>
    <s v="2019084994"/>
    <x v="4"/>
    <x v="0"/>
    <s v=" 0001947-30.2015.8.15.0371,"/>
    <s v="MARIA ABRANTES DE FIGUEIREDO"/>
    <s v="MUNICIPIO DE Aparecida"/>
    <x v="1"/>
    <s v="021.205.144-02"/>
    <x v="5"/>
    <s v="LAUDO DE INSALUBRIDADE E/OU PERICULOSIDADE, CONFORME NORMAS DA ABNT RESPECTIVAS"/>
    <n v="11"/>
    <n v="300"/>
    <n v="1866"/>
    <s v="OK"/>
    <m/>
    <m/>
    <s v=""/>
    <s v=""/>
    <x v="221"/>
    <n v="1866"/>
    <n v="0"/>
  </r>
  <r>
    <s v="709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10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11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12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13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14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15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16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17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18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19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20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21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22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23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24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25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26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27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28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29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30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31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32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33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34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35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36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37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38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39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40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41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42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43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44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45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46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47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48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49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50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51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52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53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54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55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56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57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58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59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60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61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62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63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64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65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66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67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68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69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70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71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72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73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74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75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76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77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78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79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80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81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82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83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84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85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86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87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88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89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90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91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92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93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94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95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96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97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98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799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800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801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802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803"/>
    <m/>
    <m/>
    <x v="67"/>
    <x v="28"/>
    <m/>
    <m/>
    <m/>
    <x v="115"/>
    <m/>
    <x v="8"/>
    <m/>
    <m/>
    <s v=""/>
    <m/>
    <s v=""/>
    <m/>
    <m/>
    <s v=""/>
    <s v=""/>
    <x v="118"/>
    <s v=""/>
    <s v=""/>
  </r>
  <r>
    <s v="804"/>
    <m/>
    <m/>
    <x v="67"/>
    <x v="28"/>
    <m/>
    <m/>
    <m/>
    <x v="115"/>
    <m/>
    <x v="8"/>
    <m/>
    <m/>
    <s v=""/>
    <m/>
    <s v=""/>
    <m/>
    <m/>
    <s v=""/>
    <s v=""/>
    <x v="118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" rowHeaderCaption="Comarcas">
  <location ref="A3:B35" firstHeaderRow="1" firstDataRow="1" firstDataCol="1"/>
  <pivotFields count="23">
    <pivotField showAll="0"/>
    <pivotField showAll="0"/>
    <pivotField showAll="0"/>
    <pivotField axis="axisRow" showAll="0">
      <items count="89">
        <item m="1" x="86"/>
        <item x="35"/>
        <item x="33"/>
        <item x="43"/>
        <item x="5"/>
        <item x="37"/>
        <item m="1" x="87"/>
        <item x="16"/>
        <item m="1" x="82"/>
        <item x="34"/>
        <item x="31"/>
        <item x="42"/>
        <item x="11"/>
        <item x="36"/>
        <item x="28"/>
        <item x="7"/>
        <item x="2"/>
        <item x="15"/>
        <item x="13"/>
        <item x="9"/>
        <item x="38"/>
        <item x="27"/>
        <item x="40"/>
        <item x="20"/>
        <item x="22"/>
        <item x="19"/>
        <item x="41"/>
        <item x="4"/>
        <item x="18"/>
        <item x="29"/>
        <item x="21"/>
        <item x="1"/>
        <item x="0"/>
        <item m="1" x="84"/>
        <item x="14"/>
        <item x="23"/>
        <item x="8"/>
        <item x="17"/>
        <item x="32"/>
        <item x="10"/>
        <item x="30"/>
        <item x="12"/>
        <item m="1" x="81"/>
        <item x="44"/>
        <item x="24"/>
        <item x="26"/>
        <item x="39"/>
        <item m="1" x="85"/>
        <item x="25"/>
        <item x="6"/>
        <item x="3"/>
        <item h="1" x="67"/>
        <item x="45"/>
        <item x="46"/>
        <item m="1" x="80"/>
        <item x="47"/>
        <item x="48"/>
        <item x="49"/>
        <item m="1" x="83"/>
        <item x="51"/>
        <item x="52"/>
        <item x="53"/>
        <item x="50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t="default"/>
      </items>
    </pivotField>
    <pivotField axis="axisRow" showAll="0">
      <items count="38">
        <item sd="0" x="19"/>
        <item sd="0" x="10"/>
        <item sd="0" x="13"/>
        <item sd="0" x="12"/>
        <item sd="0" x="8"/>
        <item sd="0" x="4"/>
        <item sd="0" x="11"/>
        <item sd="0" x="7"/>
        <item sd="0" x="17"/>
        <item sd="0" x="9"/>
        <item sd="0" x="1"/>
        <item sd="0" x="16"/>
        <item sd="0" x="15"/>
        <item sd="0" x="6"/>
        <item sd="0" x="2"/>
        <item sd="0" x="18"/>
        <item sd="0" m="1" x="36"/>
        <item sd="0" x="14"/>
        <item sd="0" x="5"/>
        <item sd="0" x="0"/>
        <item sd="0" x="3"/>
        <item sd="0" x="20"/>
        <item sd="0" x="21"/>
        <item sd="0" x="22"/>
        <item sd="0" x="23"/>
        <item sd="0" x="24"/>
        <item sd="0" x="28"/>
        <item sd="0" x="25"/>
        <item sd="0" x="26"/>
        <item sd="0" x="27"/>
        <item sd="0" x="29"/>
        <item sd="0" x="30"/>
        <item sd="0" x="31"/>
        <item x="32"/>
        <item x="33"/>
        <item x="34"/>
        <item x="35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3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Soma de VALOR ARBITRADO" fld="14" baseField="0" baseItem="0" numFmtId="167"/>
  </dataFields>
  <formats count="4">
    <format dxfId="197">
      <pivotArea outline="0" collapsedLevelsAreSubtotals="1" fieldPosition="0"/>
    </format>
    <format dxfId="196">
      <pivotArea dataOnly="0" labelOnly="1" outline="0" axis="axisValues" fieldPosition="0"/>
    </format>
    <format dxfId="195">
      <pivotArea field="4" type="button" dataOnly="0" labelOnly="1" outline="0" axis="axisRow" fieldPosition="0"/>
    </format>
    <format dxfId="194">
      <pivotArea field="4" type="button" dataOnly="0" labelOnly="1" outline="0" axis="axisRow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ela dinâmica2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7" indent="0" outline="1" outlineData="1" multipleFieldFilters="0" chartFormat="1" rowHeaderCaption="Comarcas">
  <location ref="A2:B13" firstHeaderRow="1" firstDataRow="1" firstDataCol="1"/>
  <pivotFields count="23">
    <pivotField showAll="0"/>
    <pivotField showAll="0"/>
    <pivotField showAll="0"/>
    <pivotField showAll="0">
      <items count="89">
        <item m="1" x="86"/>
        <item x="35"/>
        <item x="73"/>
        <item x="33"/>
        <item x="47"/>
        <item m="1" x="80"/>
        <item x="43"/>
        <item x="61"/>
        <item x="5"/>
        <item x="37"/>
        <item m="1" x="87"/>
        <item x="74"/>
        <item x="58"/>
        <item x="16"/>
        <item m="1" x="82"/>
        <item x="54"/>
        <item x="62"/>
        <item x="56"/>
        <item x="57"/>
        <item x="34"/>
        <item x="55"/>
        <item x="64"/>
        <item x="49"/>
        <item x="31"/>
        <item x="42"/>
        <item x="52"/>
        <item x="11"/>
        <item x="36"/>
        <item x="76"/>
        <item x="63"/>
        <item x="28"/>
        <item x="7"/>
        <item x="2"/>
        <item x="77"/>
        <item x="15"/>
        <item x="60"/>
        <item x="68"/>
        <item x="13"/>
        <item x="9"/>
        <item x="38"/>
        <item x="27"/>
        <item x="40"/>
        <item x="20"/>
        <item x="22"/>
        <item x="53"/>
        <item x="19"/>
        <item x="41"/>
        <item x="45"/>
        <item x="4"/>
        <item x="18"/>
        <item x="48"/>
        <item x="65"/>
        <item x="72"/>
        <item x="29"/>
        <item x="21"/>
        <item x="1"/>
        <item x="0"/>
        <item x="46"/>
        <item m="1" x="84"/>
        <item x="71"/>
        <item x="14"/>
        <item x="23"/>
        <item x="8"/>
        <item x="17"/>
        <item x="32"/>
        <item x="10"/>
        <item x="30"/>
        <item x="12"/>
        <item m="1" x="81"/>
        <item m="1" x="83"/>
        <item x="69"/>
        <item x="50"/>
        <item x="44"/>
        <item x="24"/>
        <item x="79"/>
        <item x="70"/>
        <item x="59"/>
        <item x="66"/>
        <item x="26"/>
        <item x="75"/>
        <item x="78"/>
        <item x="51"/>
        <item x="39"/>
        <item m="1" x="85"/>
        <item x="25"/>
        <item x="6"/>
        <item x="3"/>
        <item x="67"/>
        <item t="default"/>
      </items>
    </pivotField>
    <pivotField axis="axisRow" showAll="0" measureFilter="1">
      <items count="38">
        <item x="19"/>
        <item x="10"/>
        <item x="13"/>
        <item x="12"/>
        <item x="8"/>
        <item x="4"/>
        <item x="11"/>
        <item x="7"/>
        <item x="17"/>
        <item x="9"/>
        <item x="1"/>
        <item x="16"/>
        <item x="15"/>
        <item x="6"/>
        <item x="2"/>
        <item x="18"/>
        <item m="1" x="36"/>
        <item x="14"/>
        <item x="5"/>
        <item x="0"/>
        <item x="3"/>
        <item x="28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5"/>
        <item t="default"/>
      </items>
    </pivotField>
    <pivotField showAll="0"/>
    <pivotField showAll="0"/>
    <pivotField showAll="0"/>
    <pivotField showAll="0">
      <items count="159">
        <item m="1" x="152"/>
        <item m="1" x="156"/>
        <item m="1" x="149"/>
        <item x="8"/>
        <item x="28"/>
        <item x="122"/>
        <item x="40"/>
        <item x="51"/>
        <item x="119"/>
        <item x="99"/>
        <item x="72"/>
        <item x="24"/>
        <item x="66"/>
        <item x="6"/>
        <item x="47"/>
        <item m="1" x="148"/>
        <item x="77"/>
        <item x="59"/>
        <item x="90"/>
        <item x="42"/>
        <item x="105"/>
        <item x="93"/>
        <item x="35"/>
        <item m="1" x="147"/>
        <item x="61"/>
        <item x="53"/>
        <item x="137"/>
        <item x="5"/>
        <item m="1" x="155"/>
        <item x="2"/>
        <item m="1" x="144"/>
        <item x="69"/>
        <item x="126"/>
        <item x="91"/>
        <item x="106"/>
        <item x="138"/>
        <item x="30"/>
        <item m="1" x="146"/>
        <item x="62"/>
        <item x="78"/>
        <item x="43"/>
        <item m="1" x="150"/>
        <item x="34"/>
        <item x="0"/>
        <item x="67"/>
        <item x="101"/>
        <item x="108"/>
        <item x="21"/>
        <item x="85"/>
        <item x="56"/>
        <item x="25"/>
        <item x="73"/>
        <item x="20"/>
        <item x="10"/>
        <item x="113"/>
        <item x="64"/>
        <item x="3"/>
        <item m="1" x="157"/>
        <item x="140"/>
        <item x="70"/>
        <item x="136"/>
        <item x="94"/>
        <item x="39"/>
        <item x="125"/>
        <item x="1"/>
        <item m="1" x="151"/>
        <item x="127"/>
        <item x="98"/>
        <item x="117"/>
        <item x="83"/>
        <item x="76"/>
        <item x="129"/>
        <item x="114"/>
        <item x="104"/>
        <item x="19"/>
        <item x="131"/>
        <item x="121"/>
        <item x="26"/>
        <item x="22"/>
        <item x="55"/>
        <item x="50"/>
        <item x="96"/>
        <item x="132"/>
        <item x="9"/>
        <item m="1" x="141"/>
        <item x="17"/>
        <item x="37"/>
        <item x="80"/>
        <item x="52"/>
        <item x="23"/>
        <item x="116"/>
        <item x="63"/>
        <item x="118"/>
        <item m="1" x="153"/>
        <item m="1" x="154"/>
        <item x="13"/>
        <item x="18"/>
        <item x="134"/>
        <item x="27"/>
        <item x="79"/>
        <item x="36"/>
        <item x="48"/>
        <item m="1" x="145"/>
        <item x="74"/>
        <item x="88"/>
        <item x="71"/>
        <item x="139"/>
        <item x="135"/>
        <item x="112"/>
        <item x="54"/>
        <item x="107"/>
        <item x="87"/>
        <item x="57"/>
        <item x="31"/>
        <item x="68"/>
        <item x="103"/>
        <item x="110"/>
        <item x="120"/>
        <item x="33"/>
        <item x="38"/>
        <item x="75"/>
        <item x="95"/>
        <item x="7"/>
        <item x="58"/>
        <item x="11"/>
        <item m="1" x="143"/>
        <item x="81"/>
        <item x="49"/>
        <item x="92"/>
        <item x="29"/>
        <item x="41"/>
        <item x="84"/>
        <item x="14"/>
        <item x="45"/>
        <item x="124"/>
        <item x="65"/>
        <item m="1" x="142"/>
        <item x="100"/>
        <item x="123"/>
        <item x="44"/>
        <item x="130"/>
        <item x="128"/>
        <item x="109"/>
        <item x="82"/>
        <item x="97"/>
        <item x="102"/>
        <item x="4"/>
        <item x="89"/>
        <item x="60"/>
        <item x="86"/>
        <item x="32"/>
        <item x="16"/>
        <item x="15"/>
        <item x="111"/>
        <item x="12"/>
        <item x="133"/>
        <item x="46"/>
        <item x="115"/>
        <item t="default"/>
      </items>
    </pivotField>
    <pivotField showAll="0"/>
    <pivotField showAll="0">
      <items count="12">
        <item x="6"/>
        <item x="2"/>
        <item x="5"/>
        <item x="1"/>
        <item m="1" x="10"/>
        <item m="1" x="9"/>
        <item x="0"/>
        <item x="7"/>
        <item x="4"/>
        <item x="3"/>
        <item x="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225">
        <item x="190"/>
        <item x="220"/>
        <item x="65"/>
        <item x="50"/>
        <item x="0"/>
        <item x="52"/>
        <item x="56"/>
        <item x="54"/>
        <item x="9"/>
        <item x="53"/>
        <item x="55"/>
        <item x="51"/>
        <item x="57"/>
        <item x="61"/>
        <item x="60"/>
        <item x="30"/>
        <item x="59"/>
        <item x="63"/>
        <item x="64"/>
        <item x="62"/>
        <item x="2"/>
        <item x="1"/>
        <item x="66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1"/>
        <item x="23"/>
        <item x="24"/>
        <item x="25"/>
        <item x="26"/>
        <item x="27"/>
        <item x="28"/>
        <item x="32"/>
        <item x="67"/>
        <item x="31"/>
        <item x="33"/>
        <item x="29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45"/>
        <item x="47"/>
        <item x="48"/>
        <item x="49"/>
        <item x="68"/>
        <item x="69"/>
        <item x="58"/>
        <item x="70"/>
        <item x="71"/>
        <item x="72"/>
        <item x="73"/>
        <item x="77"/>
        <item x="75"/>
        <item x="76"/>
        <item x="74"/>
        <item x="78"/>
        <item x="79"/>
        <item x="80"/>
        <item x="81"/>
        <item x="82"/>
        <item x="84"/>
        <item x="83"/>
        <item x="85"/>
        <item x="86"/>
        <item x="87"/>
        <item x="89"/>
        <item x="88"/>
        <item x="90"/>
        <item x="91"/>
        <item x="92"/>
        <item x="93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96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1"/>
        <item x="143"/>
        <item x="146"/>
        <item x="144"/>
        <item x="145"/>
        <item x="147"/>
        <item x="150"/>
        <item x="148"/>
        <item x="149"/>
        <item x="151"/>
        <item x="158"/>
        <item x="153"/>
        <item x="154"/>
        <item x="155"/>
        <item x="160"/>
        <item x="162"/>
        <item x="161"/>
        <item x="152"/>
        <item x="156"/>
        <item x="157"/>
        <item x="159"/>
        <item x="165"/>
        <item x="163"/>
        <item x="164"/>
        <item x="166"/>
        <item x="167"/>
        <item x="168"/>
        <item x="169"/>
        <item x="174"/>
        <item x="170"/>
        <item x="171"/>
        <item x="172"/>
        <item x="173"/>
        <item x="176"/>
        <item x="175"/>
        <item x="177"/>
        <item x="185"/>
        <item x="186"/>
        <item x="187"/>
        <item x="178"/>
        <item x="180"/>
        <item x="179"/>
        <item x="183"/>
        <item x="181"/>
        <item x="182"/>
        <item x="184"/>
        <item x="188"/>
        <item x="189"/>
        <item x="195"/>
        <item x="196"/>
        <item x="194"/>
        <item x="193"/>
        <item x="192"/>
        <item x="191"/>
        <item x="198"/>
        <item x="197"/>
        <item x="199"/>
        <item x="200"/>
        <item x="201"/>
        <item x="202"/>
        <item x="205"/>
        <item x="206"/>
        <item x="203"/>
        <item x="204"/>
        <item x="207"/>
        <item x="208"/>
        <item x="216"/>
        <item x="217"/>
        <item x="218"/>
        <item x="219"/>
        <item x="209"/>
        <item x="212"/>
        <item x="210"/>
        <item x="211"/>
        <item x="215"/>
        <item x="214"/>
        <item x="213"/>
        <item x="221"/>
        <item x="223"/>
        <item x="222"/>
        <item x="118"/>
        <item t="default"/>
      </items>
    </pivotField>
    <pivotField showAll="0"/>
    <pivotField showAll="0"/>
  </pivotFields>
  <rowFields count="1">
    <field x="4"/>
  </rowFields>
  <rowItems count="11">
    <i>
      <x v="1"/>
    </i>
    <i>
      <x v="3"/>
    </i>
    <i>
      <x v="5"/>
    </i>
    <i>
      <x v="6"/>
    </i>
    <i>
      <x v="9"/>
    </i>
    <i>
      <x v="10"/>
    </i>
    <i>
      <x v="13"/>
    </i>
    <i>
      <x v="15"/>
    </i>
    <i>
      <x v="17"/>
    </i>
    <i>
      <x v="19"/>
    </i>
    <i t="grand">
      <x/>
    </i>
  </rowItems>
  <colItems count="1">
    <i/>
  </colItems>
  <dataFields count="1">
    <dataField name="Soma de VALOR ARBITRADO" fld="14" baseField="0" baseItem="0" numFmtId="167"/>
  </dataFields>
  <formats count="15">
    <format dxfId="193">
      <pivotArea type="all" dataOnly="0" outline="0" fieldPosition="0"/>
    </format>
    <format dxfId="192">
      <pivotArea outline="0" collapsedLevelsAreSubtotals="1" fieldPosition="0"/>
    </format>
    <format dxfId="191">
      <pivotArea field="4" type="button" dataOnly="0" labelOnly="1" outline="0" axis="axisRow" fieldPosition="0"/>
    </format>
    <format dxfId="190">
      <pivotArea dataOnly="0" labelOnly="1" fieldPosition="0">
        <references count="1">
          <reference field="4" count="0"/>
        </references>
      </pivotArea>
    </format>
    <format dxfId="189">
      <pivotArea dataOnly="0" labelOnly="1" grandRow="1" outline="0" fieldPosition="0"/>
    </format>
    <format dxfId="188">
      <pivotArea dataOnly="0" labelOnly="1" outline="0" axis="axisValues" fieldPosition="0"/>
    </format>
    <format dxfId="187">
      <pivotArea field="4" type="button" dataOnly="0" labelOnly="1" outline="0" axis="axisRow" fieldPosition="0"/>
    </format>
    <format dxfId="186">
      <pivotArea dataOnly="0" labelOnly="1" outline="0" axis="axisValues" fieldPosition="0"/>
    </format>
    <format dxfId="185">
      <pivotArea field="4" type="button" dataOnly="0" labelOnly="1" outline="0" axis="axisRow" fieldPosition="0"/>
    </format>
    <format dxfId="184">
      <pivotArea dataOnly="0" outline="0" axis="axisValues" fieldPosition="0"/>
    </format>
    <format dxfId="183">
      <pivotArea dataOnly="0" labelOnly="1" outline="0" axis="axisValues" fieldPosition="0"/>
    </format>
    <format dxfId="182">
      <pivotArea dataOnly="0" outline="0" axis="axisValues" fieldPosition="0"/>
    </format>
    <format dxfId="181">
      <pivotArea field="4" type="button" dataOnly="0" labelOnly="1" outline="0" axis="axisRow" fieldPosition="0"/>
    </format>
    <format dxfId="180">
      <pivotArea field="4" type="button" dataOnly="0" labelOnly="1" outline="0" axis="axisRow" fieldPosition="0"/>
    </format>
    <format dxfId="179">
      <pivotArea dataOnly="0" outline="0" axis="axisValues" fieldPosition="0"/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Dark24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ela dinâmica1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7" indent="0" outline="1" outlineData="1" multipleFieldFilters="0" chartFormat="1" rowHeaderCaption="VARAS">
  <location ref="A2:B13" firstHeaderRow="1" firstDataRow="1" firstDataCol="1"/>
  <pivotFields count="23">
    <pivotField showAll="0"/>
    <pivotField showAll="0"/>
    <pivotField showAll="0"/>
    <pivotField axis="axisRow" showAll="0" measureFilter="1">
      <items count="89">
        <item m="1" x="86"/>
        <item x="35"/>
        <item x="33"/>
        <item x="43"/>
        <item x="5"/>
        <item x="37"/>
        <item m="1" x="87"/>
        <item x="16"/>
        <item m="1" x="82"/>
        <item x="34"/>
        <item x="31"/>
        <item x="42"/>
        <item x="11"/>
        <item x="36"/>
        <item x="28"/>
        <item x="7"/>
        <item x="2"/>
        <item x="15"/>
        <item x="13"/>
        <item x="9"/>
        <item x="38"/>
        <item x="27"/>
        <item x="40"/>
        <item x="20"/>
        <item x="22"/>
        <item x="19"/>
        <item x="41"/>
        <item x="45"/>
        <item x="4"/>
        <item x="18"/>
        <item x="29"/>
        <item x="21"/>
        <item x="1"/>
        <item x="0"/>
        <item m="1" x="84"/>
        <item x="14"/>
        <item x="23"/>
        <item x="8"/>
        <item x="17"/>
        <item x="32"/>
        <item x="10"/>
        <item x="30"/>
        <item x="12"/>
        <item m="1" x="81"/>
        <item x="44"/>
        <item x="24"/>
        <item x="26"/>
        <item x="39"/>
        <item m="1" x="85"/>
        <item x="25"/>
        <item x="6"/>
        <item x="3"/>
        <item x="67"/>
        <item x="46"/>
        <item m="1" x="80"/>
        <item x="47"/>
        <item x="48"/>
        <item x="49"/>
        <item m="1" x="83"/>
        <item x="51"/>
        <item x="52"/>
        <item x="53"/>
        <item x="50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showAll="0">
      <items count="38">
        <item x="31"/>
        <item x="29"/>
        <item x="21"/>
        <item x="19"/>
        <item x="10"/>
        <item x="13"/>
        <item x="12"/>
        <item x="8"/>
        <item x="4"/>
        <item x="23"/>
        <item x="35"/>
        <item x="30"/>
        <item x="25"/>
        <item x="11"/>
        <item x="7"/>
        <item x="17"/>
        <item x="9"/>
        <item x="24"/>
        <item x="1"/>
        <item x="26"/>
        <item x="16"/>
        <item x="27"/>
        <item x="15"/>
        <item x="6"/>
        <item x="32"/>
        <item x="2"/>
        <item x="34"/>
        <item x="22"/>
        <item x="20"/>
        <item x="18"/>
        <item x="33"/>
        <item m="1" x="36"/>
        <item x="14"/>
        <item x="5"/>
        <item x="0"/>
        <item x="3"/>
        <item x="28"/>
        <item t="default"/>
      </items>
    </pivotField>
    <pivotField showAll="0"/>
    <pivotField showAll="0"/>
    <pivotField showAll="0"/>
    <pivotField showAll="0">
      <items count="159">
        <item m="1" x="152"/>
        <item m="1" x="156"/>
        <item m="1" x="149"/>
        <item x="8"/>
        <item x="28"/>
        <item x="122"/>
        <item x="40"/>
        <item x="51"/>
        <item x="119"/>
        <item x="99"/>
        <item x="72"/>
        <item x="24"/>
        <item x="66"/>
        <item x="6"/>
        <item x="47"/>
        <item m="1" x="148"/>
        <item x="77"/>
        <item x="59"/>
        <item x="90"/>
        <item x="42"/>
        <item x="105"/>
        <item x="93"/>
        <item x="35"/>
        <item m="1" x="147"/>
        <item x="61"/>
        <item x="53"/>
        <item x="137"/>
        <item x="5"/>
        <item m="1" x="155"/>
        <item x="2"/>
        <item m="1" x="144"/>
        <item x="69"/>
        <item x="126"/>
        <item x="91"/>
        <item x="106"/>
        <item x="138"/>
        <item x="30"/>
        <item m="1" x="146"/>
        <item x="62"/>
        <item x="78"/>
        <item x="43"/>
        <item m="1" x="150"/>
        <item x="34"/>
        <item x="0"/>
        <item x="67"/>
        <item x="101"/>
        <item x="108"/>
        <item x="21"/>
        <item x="85"/>
        <item x="56"/>
        <item x="25"/>
        <item x="73"/>
        <item x="20"/>
        <item x="10"/>
        <item x="113"/>
        <item x="64"/>
        <item x="3"/>
        <item m="1" x="157"/>
        <item x="140"/>
        <item x="70"/>
        <item x="136"/>
        <item x="94"/>
        <item x="39"/>
        <item x="125"/>
        <item x="1"/>
        <item m="1" x="151"/>
        <item x="127"/>
        <item x="98"/>
        <item x="117"/>
        <item x="83"/>
        <item x="76"/>
        <item x="129"/>
        <item x="114"/>
        <item x="104"/>
        <item x="19"/>
        <item x="131"/>
        <item x="121"/>
        <item x="26"/>
        <item x="22"/>
        <item x="55"/>
        <item x="50"/>
        <item x="96"/>
        <item x="132"/>
        <item x="9"/>
        <item m="1" x="141"/>
        <item x="17"/>
        <item x="37"/>
        <item x="80"/>
        <item x="52"/>
        <item x="23"/>
        <item x="116"/>
        <item x="63"/>
        <item x="118"/>
        <item m="1" x="153"/>
        <item m="1" x="154"/>
        <item x="13"/>
        <item x="18"/>
        <item x="134"/>
        <item x="27"/>
        <item x="79"/>
        <item x="36"/>
        <item x="48"/>
        <item m="1" x="145"/>
        <item x="74"/>
        <item x="88"/>
        <item x="71"/>
        <item x="139"/>
        <item x="135"/>
        <item x="112"/>
        <item x="54"/>
        <item x="107"/>
        <item x="87"/>
        <item x="57"/>
        <item x="31"/>
        <item x="68"/>
        <item x="103"/>
        <item x="110"/>
        <item x="120"/>
        <item x="33"/>
        <item x="38"/>
        <item x="75"/>
        <item x="95"/>
        <item x="7"/>
        <item x="58"/>
        <item x="11"/>
        <item m="1" x="143"/>
        <item x="81"/>
        <item x="49"/>
        <item x="92"/>
        <item x="29"/>
        <item x="41"/>
        <item x="84"/>
        <item x="14"/>
        <item x="45"/>
        <item x="124"/>
        <item x="65"/>
        <item m="1" x="142"/>
        <item x="100"/>
        <item x="123"/>
        <item x="44"/>
        <item x="130"/>
        <item x="128"/>
        <item x="109"/>
        <item x="82"/>
        <item x="97"/>
        <item x="102"/>
        <item x="4"/>
        <item x="89"/>
        <item x="60"/>
        <item x="86"/>
        <item x="32"/>
        <item x="16"/>
        <item x="15"/>
        <item x="111"/>
        <item x="12"/>
        <item x="133"/>
        <item x="46"/>
        <item x="115"/>
        <item t="default"/>
      </items>
    </pivotField>
    <pivotField showAll="0"/>
    <pivotField showAll="0">
      <items count="12">
        <item x="6"/>
        <item x="2"/>
        <item x="5"/>
        <item x="1"/>
        <item m="1" x="10"/>
        <item m="1" x="9"/>
        <item x="0"/>
        <item x="7"/>
        <item x="4"/>
        <item x="3"/>
        <item x="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225">
        <item x="190"/>
        <item x="220"/>
        <item x="65"/>
        <item x="50"/>
        <item x="0"/>
        <item x="52"/>
        <item x="56"/>
        <item x="54"/>
        <item x="9"/>
        <item x="53"/>
        <item x="55"/>
        <item x="51"/>
        <item x="57"/>
        <item x="61"/>
        <item x="60"/>
        <item x="30"/>
        <item x="59"/>
        <item x="63"/>
        <item x="64"/>
        <item x="62"/>
        <item x="2"/>
        <item x="1"/>
        <item x="66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1"/>
        <item x="23"/>
        <item x="24"/>
        <item x="25"/>
        <item x="26"/>
        <item x="27"/>
        <item x="28"/>
        <item x="32"/>
        <item x="67"/>
        <item x="31"/>
        <item x="33"/>
        <item x="29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45"/>
        <item x="47"/>
        <item x="48"/>
        <item x="49"/>
        <item x="68"/>
        <item x="69"/>
        <item x="58"/>
        <item x="70"/>
        <item x="71"/>
        <item x="72"/>
        <item x="73"/>
        <item x="77"/>
        <item x="75"/>
        <item x="76"/>
        <item x="74"/>
        <item x="78"/>
        <item x="79"/>
        <item x="80"/>
        <item x="81"/>
        <item x="82"/>
        <item x="84"/>
        <item x="83"/>
        <item x="85"/>
        <item x="86"/>
        <item x="87"/>
        <item x="89"/>
        <item x="88"/>
        <item x="90"/>
        <item x="91"/>
        <item x="92"/>
        <item x="93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96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1"/>
        <item x="143"/>
        <item x="146"/>
        <item x="144"/>
        <item x="145"/>
        <item x="147"/>
        <item x="150"/>
        <item x="148"/>
        <item x="149"/>
        <item x="151"/>
        <item x="158"/>
        <item x="153"/>
        <item x="154"/>
        <item x="155"/>
        <item x="160"/>
        <item x="162"/>
        <item x="161"/>
        <item x="152"/>
        <item x="156"/>
        <item x="157"/>
        <item x="159"/>
        <item x="165"/>
        <item x="163"/>
        <item x="164"/>
        <item x="166"/>
        <item x="167"/>
        <item x="168"/>
        <item x="169"/>
        <item x="174"/>
        <item x="170"/>
        <item x="171"/>
        <item x="172"/>
        <item x="173"/>
        <item x="176"/>
        <item x="175"/>
        <item x="177"/>
        <item x="185"/>
        <item x="186"/>
        <item x="187"/>
        <item x="178"/>
        <item x="180"/>
        <item x="179"/>
        <item x="183"/>
        <item x="181"/>
        <item x="182"/>
        <item x="184"/>
        <item x="188"/>
        <item x="189"/>
        <item x="195"/>
        <item x="196"/>
        <item x="194"/>
        <item x="193"/>
        <item x="192"/>
        <item x="191"/>
        <item x="198"/>
        <item x="197"/>
        <item x="199"/>
        <item x="200"/>
        <item x="201"/>
        <item x="202"/>
        <item x="205"/>
        <item x="206"/>
        <item x="203"/>
        <item x="204"/>
        <item x="207"/>
        <item x="208"/>
        <item x="216"/>
        <item x="217"/>
        <item x="218"/>
        <item x="219"/>
        <item x="209"/>
        <item x="212"/>
        <item x="210"/>
        <item x="211"/>
        <item x="215"/>
        <item x="214"/>
        <item x="213"/>
        <item x="221"/>
        <item x="223"/>
        <item x="222"/>
        <item x="118"/>
        <item t="default"/>
      </items>
    </pivotField>
    <pivotField showAll="0"/>
    <pivotField showAll="0"/>
  </pivotFields>
  <rowFields count="1">
    <field x="3"/>
  </rowFields>
  <rowItems count="11">
    <i>
      <x v="11"/>
    </i>
    <i>
      <x v="19"/>
    </i>
    <i>
      <x v="26"/>
    </i>
    <i>
      <x v="28"/>
    </i>
    <i>
      <x v="31"/>
    </i>
    <i>
      <x v="32"/>
    </i>
    <i>
      <x v="33"/>
    </i>
    <i>
      <x v="39"/>
    </i>
    <i>
      <x v="47"/>
    </i>
    <i>
      <x v="49"/>
    </i>
    <i t="grand">
      <x/>
    </i>
  </rowItems>
  <colItems count="1">
    <i/>
  </colItems>
  <dataFields count="1">
    <dataField name="Soma de VALOR ARBITRADO" fld="14" baseField="0" baseItem="0" numFmtId="167"/>
  </dataFields>
  <formats count="11">
    <format dxfId="178">
      <pivotArea field="3" type="button" dataOnly="0" labelOnly="1" outline="0" axis="axisRow" fieldPosition="0"/>
    </format>
    <format dxfId="177">
      <pivotArea field="3" type="button" dataOnly="0" labelOnly="1" outline="0" axis="axisRow" fieldPosition="0"/>
    </format>
    <format dxfId="176">
      <pivotArea field="3" type="button" dataOnly="0" labelOnly="1" outline="0" axis="axisRow" fieldPosition="0"/>
    </format>
    <format dxfId="175">
      <pivotArea dataOnly="0" labelOnly="1" outline="0" axis="axisValues" fieldPosition="0"/>
    </format>
    <format dxfId="174">
      <pivotArea dataOnly="0" labelOnly="1" outline="0" axis="axisValues" fieldPosition="0"/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field="3" type="button" dataOnly="0" labelOnly="1" outline="0" axis="axisRow" fieldPosition="0"/>
    </format>
    <format dxfId="170">
      <pivotArea dataOnly="0" labelOnly="1" fieldPosition="0">
        <references count="1">
          <reference field="3" count="9">
            <x v="1"/>
            <x v="3"/>
            <x v="5"/>
            <x v="9"/>
            <x v="13"/>
            <x v="24"/>
            <x v="30"/>
            <x v="35"/>
            <x v="39"/>
          </reference>
        </references>
      </pivotArea>
    </format>
    <format dxfId="169">
      <pivotArea dataOnly="0" labelOnly="1" grandRow="1" outline="0" fieldPosition="0"/>
    </format>
    <format dxfId="168">
      <pivotArea dataOnly="0" labelOnly="1" outline="0" axis="axisValues" fieldPosition="0"/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4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47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39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</chartFormats>
  <pivotTableStyleInfo name="PivotStyleDark28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ela dinâmica1" cacheId="1" applyNumberFormats="0" applyBorderFormats="0" applyFontFormats="0" applyPatternFormats="0" applyAlignmentFormats="0" applyWidthHeightFormats="1" dataCaption="Valores" updatedVersion="5" minRefreshableVersion="5" useAutoFormatting="1" itemPrintTitles="1" createdVersion="7" indent="0" outline="1" outlineData="1" multipleFieldFilters="0" chartFormat="1" rowHeaderCaption="Peritos">
  <location ref="A2:B4" firstHeaderRow="1" firstDataRow="1" firstDataCol="1"/>
  <pivotFields count="23">
    <pivotField showAll="0"/>
    <pivotField showAll="0"/>
    <pivotField showAll="0"/>
    <pivotField showAll="0">
      <items count="89">
        <item m="1" x="86"/>
        <item x="35"/>
        <item x="73"/>
        <item x="33"/>
        <item x="47"/>
        <item m="1" x="80"/>
        <item x="43"/>
        <item x="61"/>
        <item x="5"/>
        <item x="37"/>
        <item m="1" x="87"/>
        <item x="74"/>
        <item x="58"/>
        <item x="16"/>
        <item m="1" x="82"/>
        <item x="54"/>
        <item x="62"/>
        <item x="56"/>
        <item x="57"/>
        <item x="34"/>
        <item x="55"/>
        <item x="64"/>
        <item x="49"/>
        <item x="31"/>
        <item x="42"/>
        <item x="52"/>
        <item x="11"/>
        <item x="36"/>
        <item x="76"/>
        <item x="63"/>
        <item x="28"/>
        <item x="7"/>
        <item x="2"/>
        <item x="77"/>
        <item x="15"/>
        <item x="60"/>
        <item x="68"/>
        <item x="13"/>
        <item x="9"/>
        <item x="38"/>
        <item x="27"/>
        <item x="40"/>
        <item x="20"/>
        <item x="22"/>
        <item x="53"/>
        <item x="19"/>
        <item x="41"/>
        <item x="45"/>
        <item x="4"/>
        <item x="18"/>
        <item x="48"/>
        <item x="65"/>
        <item x="72"/>
        <item x="29"/>
        <item x="21"/>
        <item x="1"/>
        <item x="0"/>
        <item x="46"/>
        <item m="1" x="84"/>
        <item x="71"/>
        <item x="14"/>
        <item x="23"/>
        <item x="8"/>
        <item x="17"/>
        <item x="32"/>
        <item x="10"/>
        <item x="30"/>
        <item x="12"/>
        <item m="1" x="81"/>
        <item m="1" x="83"/>
        <item x="69"/>
        <item x="50"/>
        <item x="44"/>
        <item x="24"/>
        <item x="79"/>
        <item x="70"/>
        <item x="59"/>
        <item x="66"/>
        <item x="26"/>
        <item x="75"/>
        <item x="78"/>
        <item x="51"/>
        <item x="39"/>
        <item m="1" x="85"/>
        <item x="25"/>
        <item x="6"/>
        <item x="3"/>
        <item x="67"/>
        <item t="default"/>
      </items>
    </pivotField>
    <pivotField showAll="0">
      <items count="38">
        <item x="31"/>
        <item x="29"/>
        <item x="21"/>
        <item x="19"/>
        <item x="10"/>
        <item x="13"/>
        <item x="12"/>
        <item x="8"/>
        <item x="4"/>
        <item x="23"/>
        <item x="35"/>
        <item x="30"/>
        <item x="25"/>
        <item x="11"/>
        <item x="7"/>
        <item x="17"/>
        <item x="9"/>
        <item x="24"/>
        <item x="1"/>
        <item x="26"/>
        <item x="16"/>
        <item x="27"/>
        <item x="15"/>
        <item x="6"/>
        <item x="32"/>
        <item x="2"/>
        <item x="34"/>
        <item x="22"/>
        <item x="20"/>
        <item x="18"/>
        <item x="33"/>
        <item m="1" x="36"/>
        <item x="14"/>
        <item x="5"/>
        <item x="0"/>
        <item x="3"/>
        <item x="28"/>
        <item t="default"/>
      </items>
    </pivotField>
    <pivotField showAll="0"/>
    <pivotField showAll="0"/>
    <pivotField showAll="0"/>
    <pivotField axis="axisRow" showAll="0" measureFilter="1">
      <items count="159">
        <item m="1" x="152"/>
        <item m="1" x="156"/>
        <item m="1" x="149"/>
        <item x="8"/>
        <item x="28"/>
        <item x="40"/>
        <item x="51"/>
        <item x="24"/>
        <item x="6"/>
        <item x="47"/>
        <item m="1" x="148"/>
        <item x="59"/>
        <item x="42"/>
        <item x="35"/>
        <item m="1" x="147"/>
        <item x="53"/>
        <item x="5"/>
        <item m="1" x="155"/>
        <item x="2"/>
        <item m="1" x="144"/>
        <item x="30"/>
        <item m="1" x="146"/>
        <item x="43"/>
        <item m="1" x="150"/>
        <item x="34"/>
        <item x="0"/>
        <item x="21"/>
        <item x="56"/>
        <item x="25"/>
        <item x="20"/>
        <item x="10"/>
        <item x="3"/>
        <item m="1" x="157"/>
        <item x="1"/>
        <item m="1" x="151"/>
        <item x="19"/>
        <item x="26"/>
        <item x="22"/>
        <item x="55"/>
        <item x="50"/>
        <item x="9"/>
        <item m="1" x="141"/>
        <item x="17"/>
        <item x="37"/>
        <item x="52"/>
        <item x="23"/>
        <item m="1" x="153"/>
        <item m="1" x="154"/>
        <item x="13"/>
        <item x="18"/>
        <item x="27"/>
        <item x="36"/>
        <item x="48"/>
        <item m="1" x="145"/>
        <item x="54"/>
        <item x="57"/>
        <item x="31"/>
        <item x="33"/>
        <item x="38"/>
        <item x="7"/>
        <item x="58"/>
        <item x="11"/>
        <item m="1" x="143"/>
        <item x="49"/>
        <item x="29"/>
        <item x="41"/>
        <item x="14"/>
        <item x="45"/>
        <item x="44"/>
        <item x="4"/>
        <item x="32"/>
        <item x="16"/>
        <item x="15"/>
        <item x="12"/>
        <item x="46"/>
        <item x="115"/>
        <item x="61"/>
        <item x="62"/>
        <item x="63"/>
        <item x="64"/>
        <item m="1" x="142"/>
        <item x="66"/>
        <item x="39"/>
        <item x="60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65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showAll="0"/>
    <pivotField showAll="0">
      <items count="12">
        <item h="1" x="6"/>
        <item x="2"/>
        <item h="1" x="5"/>
        <item h="1" x="1"/>
        <item h="1" m="1" x="10"/>
        <item h="1" m="1" x="9"/>
        <item h="1" x="0"/>
        <item h="1" x="7"/>
        <item h="1" x="4"/>
        <item h="1" x="3"/>
        <item h="1" x="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225">
        <item x="190"/>
        <item x="220"/>
        <item x="65"/>
        <item x="50"/>
        <item x="0"/>
        <item x="52"/>
        <item x="56"/>
        <item x="54"/>
        <item x="9"/>
        <item x="53"/>
        <item x="55"/>
        <item x="51"/>
        <item x="57"/>
        <item x="61"/>
        <item x="60"/>
        <item x="30"/>
        <item x="59"/>
        <item x="63"/>
        <item x="64"/>
        <item x="62"/>
        <item x="2"/>
        <item x="1"/>
        <item x="66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1"/>
        <item x="23"/>
        <item x="24"/>
        <item x="25"/>
        <item x="26"/>
        <item x="27"/>
        <item x="28"/>
        <item x="32"/>
        <item x="67"/>
        <item x="31"/>
        <item x="33"/>
        <item x="29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45"/>
        <item x="47"/>
        <item x="48"/>
        <item x="49"/>
        <item x="68"/>
        <item x="69"/>
        <item x="58"/>
        <item x="70"/>
        <item x="71"/>
        <item x="72"/>
        <item x="73"/>
        <item x="77"/>
        <item x="75"/>
        <item x="76"/>
        <item x="74"/>
        <item x="78"/>
        <item x="79"/>
        <item x="80"/>
        <item x="81"/>
        <item x="82"/>
        <item x="84"/>
        <item x="83"/>
        <item x="85"/>
        <item x="86"/>
        <item x="87"/>
        <item x="89"/>
        <item x="88"/>
        <item x="90"/>
        <item x="91"/>
        <item x="92"/>
        <item x="93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96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1"/>
        <item x="143"/>
        <item x="146"/>
        <item x="144"/>
        <item x="145"/>
        <item x="147"/>
        <item x="150"/>
        <item x="148"/>
        <item x="149"/>
        <item x="151"/>
        <item x="158"/>
        <item x="153"/>
        <item x="154"/>
        <item x="155"/>
        <item x="160"/>
        <item x="162"/>
        <item x="161"/>
        <item x="152"/>
        <item x="156"/>
        <item x="157"/>
        <item x="159"/>
        <item x="165"/>
        <item x="163"/>
        <item x="164"/>
        <item x="166"/>
        <item x="167"/>
        <item x="168"/>
        <item x="169"/>
        <item x="174"/>
        <item x="170"/>
        <item x="171"/>
        <item x="172"/>
        <item x="173"/>
        <item x="176"/>
        <item x="175"/>
        <item x="177"/>
        <item x="185"/>
        <item x="186"/>
        <item x="187"/>
        <item x="178"/>
        <item x="180"/>
        <item x="179"/>
        <item x="183"/>
        <item x="181"/>
        <item x="182"/>
        <item x="184"/>
        <item x="188"/>
        <item x="189"/>
        <item x="195"/>
        <item x="196"/>
        <item x="194"/>
        <item x="193"/>
        <item x="192"/>
        <item x="191"/>
        <item x="198"/>
        <item x="197"/>
        <item x="199"/>
        <item x="200"/>
        <item x="201"/>
        <item x="202"/>
        <item x="205"/>
        <item x="206"/>
        <item x="203"/>
        <item x="204"/>
        <item x="207"/>
        <item x="208"/>
        <item x="216"/>
        <item x="217"/>
        <item x="218"/>
        <item x="219"/>
        <item x="209"/>
        <item x="212"/>
        <item x="210"/>
        <item x="211"/>
        <item x="215"/>
        <item x="214"/>
        <item x="213"/>
        <item x="221"/>
        <item x="223"/>
        <item x="222"/>
        <item x="118"/>
        <item t="default"/>
      </items>
    </pivotField>
    <pivotField showAll="0"/>
    <pivotField showAll="0"/>
  </pivotFields>
  <rowFields count="1">
    <field x="8"/>
  </rowFields>
  <rowItems count="2">
    <i>
      <x v="18"/>
    </i>
    <i t="grand">
      <x/>
    </i>
  </rowItems>
  <colItems count="1">
    <i/>
  </colItems>
  <dataFields count="1">
    <dataField name="Soma de VALOR ARBITRADO" fld="14" baseField="0" baseItem="0" numFmtId="167"/>
  </dataFields>
  <formats count="10">
    <format dxfId="167">
      <pivotArea type="all" dataOnly="0" outline="0" fieldPosition="0"/>
    </format>
    <format dxfId="166">
      <pivotArea outline="0" collapsedLevelsAreSubtotals="1" fieldPosition="0"/>
    </format>
    <format dxfId="165">
      <pivotArea field="8" type="button" dataOnly="0" labelOnly="1" outline="0" axis="axisRow" fieldPosition="0"/>
    </format>
    <format dxfId="164">
      <pivotArea dataOnly="0" labelOnly="1" fieldPosition="0">
        <references count="1">
          <reference field="8" count="50">
            <x v="0"/>
            <x v="2"/>
            <x v="3"/>
            <x v="4"/>
            <x v="5"/>
            <x v="6"/>
            <x v="7"/>
            <x v="8"/>
            <x v="9"/>
            <x v="11"/>
            <x v="12"/>
            <x v="13"/>
            <x v="15"/>
            <x v="16"/>
            <x v="18"/>
            <x v="20"/>
            <x v="22"/>
            <x v="24"/>
            <x v="25"/>
            <x v="26"/>
            <x v="27"/>
            <x v="28"/>
            <x v="29"/>
            <x v="30"/>
            <x v="31"/>
            <x v="33"/>
            <x v="35"/>
            <x v="36"/>
            <x v="37"/>
            <x v="38"/>
            <x v="39"/>
            <x v="40"/>
            <x v="42"/>
            <x v="43"/>
            <x v="44"/>
            <x v="45"/>
            <x v="48"/>
            <x v="49"/>
            <x v="50"/>
            <x v="51"/>
            <x v="52"/>
            <x v="54"/>
            <x v="56"/>
            <x v="57"/>
            <x v="58"/>
            <x v="59"/>
            <x v="60"/>
            <x v="61"/>
            <x v="63"/>
            <x v="64"/>
          </reference>
        </references>
      </pivotArea>
    </format>
    <format dxfId="163">
      <pivotArea dataOnly="0" labelOnly="1" fieldPosition="0">
        <references count="1">
          <reference field="8" count="11">
            <x v="65"/>
            <x v="66"/>
            <x v="67"/>
            <x v="68"/>
            <x v="69"/>
            <x v="70"/>
            <x v="71"/>
            <x v="72"/>
            <x v="73"/>
            <x v="74"/>
            <x v="75"/>
          </reference>
        </references>
      </pivotArea>
    </format>
    <format dxfId="162">
      <pivotArea dataOnly="0" labelOnly="1" grandRow="1" outline="0" fieldPosition="0"/>
    </format>
    <format dxfId="161">
      <pivotArea dataOnly="0" labelOnly="1" outline="0" axis="axisValues" fieldPosition="0"/>
    </format>
    <format dxfId="160">
      <pivotArea field="8" type="button" dataOnly="0" labelOnly="1" outline="0" axis="axisRow" fieldPosition="0"/>
    </format>
    <format dxfId="159">
      <pivotArea field="8" type="button" dataOnly="0" labelOnly="1" outline="0" axis="axisRow" fieldPosition="0"/>
    </format>
    <format dxfId="158">
      <pivotArea field="8" type="button" dataOnly="0" labelOnly="1" outline="0" axis="axisRow" fieldPosition="0"/>
    </format>
  </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6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67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68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73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81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84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70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64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83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3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5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8" count="1" selected="0">
            <x v="132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</chartFormats>
  <pivotTableStyleInfo name="PivotStyleDark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Tabela dinâmica3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7" indent="0" outline="1" outlineData="1" multipleFieldFilters="0" chartFormat="2" rowHeaderCaption="ESPECIALIDADES">
  <location ref="A2:B12" firstHeaderRow="1" firstDataRow="1" firstDataCol="1"/>
  <pivotFields count="23">
    <pivotField showAll="0"/>
    <pivotField showAll="0"/>
    <pivotField showAll="0"/>
    <pivotField showAll="0">
      <items count="89">
        <item m="1" x="86"/>
        <item x="35"/>
        <item x="73"/>
        <item x="33"/>
        <item x="47"/>
        <item m="1" x="80"/>
        <item x="43"/>
        <item x="61"/>
        <item x="5"/>
        <item x="37"/>
        <item m="1" x="87"/>
        <item x="74"/>
        <item x="58"/>
        <item x="16"/>
        <item m="1" x="82"/>
        <item x="54"/>
        <item x="62"/>
        <item x="56"/>
        <item x="57"/>
        <item x="34"/>
        <item x="55"/>
        <item x="64"/>
        <item x="49"/>
        <item x="31"/>
        <item x="42"/>
        <item x="52"/>
        <item x="11"/>
        <item x="36"/>
        <item x="76"/>
        <item x="63"/>
        <item x="28"/>
        <item x="7"/>
        <item x="2"/>
        <item x="77"/>
        <item x="15"/>
        <item x="60"/>
        <item x="68"/>
        <item x="13"/>
        <item x="9"/>
        <item x="38"/>
        <item x="27"/>
        <item x="40"/>
        <item x="20"/>
        <item x="22"/>
        <item x="53"/>
        <item x="19"/>
        <item x="41"/>
        <item x="45"/>
        <item x="4"/>
        <item x="18"/>
        <item x="48"/>
        <item x="65"/>
        <item x="72"/>
        <item x="29"/>
        <item x="21"/>
        <item x="1"/>
        <item x="0"/>
        <item x="46"/>
        <item m="1" x="84"/>
        <item x="71"/>
        <item x="14"/>
        <item x="23"/>
        <item x="8"/>
        <item x="17"/>
        <item x="32"/>
        <item x="10"/>
        <item x="30"/>
        <item x="12"/>
        <item m="1" x="81"/>
        <item m="1" x="83"/>
        <item x="69"/>
        <item x="50"/>
        <item x="44"/>
        <item x="24"/>
        <item x="79"/>
        <item x="70"/>
        <item x="59"/>
        <item x="66"/>
        <item x="26"/>
        <item x="75"/>
        <item x="78"/>
        <item x="51"/>
        <item x="39"/>
        <item m="1" x="85"/>
        <item x="25"/>
        <item x="6"/>
        <item x="3"/>
        <item x="67"/>
        <item t="default"/>
      </items>
    </pivotField>
    <pivotField showAll="0">
      <items count="38">
        <item x="31"/>
        <item x="29"/>
        <item x="21"/>
        <item x="19"/>
        <item x="10"/>
        <item x="13"/>
        <item x="12"/>
        <item x="8"/>
        <item x="4"/>
        <item x="23"/>
        <item x="35"/>
        <item x="30"/>
        <item x="25"/>
        <item x="11"/>
        <item x="7"/>
        <item x="17"/>
        <item x="9"/>
        <item x="24"/>
        <item x="1"/>
        <item x="26"/>
        <item x="16"/>
        <item x="27"/>
        <item x="15"/>
        <item x="6"/>
        <item x="32"/>
        <item x="2"/>
        <item x="34"/>
        <item x="22"/>
        <item x="20"/>
        <item x="18"/>
        <item x="33"/>
        <item m="1" x="36"/>
        <item x="14"/>
        <item x="5"/>
        <item x="0"/>
        <item x="3"/>
        <item x="28"/>
        <item t="default"/>
      </items>
    </pivotField>
    <pivotField showAll="0"/>
    <pivotField showAll="0"/>
    <pivotField showAll="0"/>
    <pivotField showAll="0">
      <items count="159">
        <item m="1" x="152"/>
        <item m="1" x="156"/>
        <item m="1" x="149"/>
        <item x="8"/>
        <item x="28"/>
        <item x="122"/>
        <item x="40"/>
        <item x="51"/>
        <item x="119"/>
        <item x="99"/>
        <item x="72"/>
        <item x="24"/>
        <item x="66"/>
        <item x="6"/>
        <item x="47"/>
        <item m="1" x="148"/>
        <item x="77"/>
        <item x="59"/>
        <item x="90"/>
        <item x="42"/>
        <item x="105"/>
        <item x="93"/>
        <item x="35"/>
        <item m="1" x="147"/>
        <item x="61"/>
        <item x="53"/>
        <item x="137"/>
        <item x="5"/>
        <item m="1" x="155"/>
        <item x="2"/>
        <item m="1" x="144"/>
        <item x="69"/>
        <item x="126"/>
        <item x="91"/>
        <item x="106"/>
        <item x="138"/>
        <item x="30"/>
        <item m="1" x="146"/>
        <item x="62"/>
        <item x="78"/>
        <item x="43"/>
        <item m="1" x="150"/>
        <item x="34"/>
        <item x="0"/>
        <item x="67"/>
        <item x="101"/>
        <item x="108"/>
        <item x="21"/>
        <item x="85"/>
        <item x="56"/>
        <item x="25"/>
        <item x="73"/>
        <item x="20"/>
        <item x="10"/>
        <item x="113"/>
        <item x="64"/>
        <item x="3"/>
        <item m="1" x="157"/>
        <item x="140"/>
        <item x="70"/>
        <item x="136"/>
        <item x="94"/>
        <item x="39"/>
        <item x="125"/>
        <item x="1"/>
        <item m="1" x="151"/>
        <item x="127"/>
        <item x="98"/>
        <item x="117"/>
        <item x="83"/>
        <item x="76"/>
        <item x="129"/>
        <item x="114"/>
        <item x="104"/>
        <item x="19"/>
        <item x="131"/>
        <item x="121"/>
        <item x="26"/>
        <item x="22"/>
        <item x="55"/>
        <item x="50"/>
        <item x="96"/>
        <item x="132"/>
        <item x="9"/>
        <item m="1" x="141"/>
        <item x="17"/>
        <item x="37"/>
        <item x="80"/>
        <item x="52"/>
        <item x="23"/>
        <item x="116"/>
        <item x="63"/>
        <item x="118"/>
        <item m="1" x="153"/>
        <item m="1" x="154"/>
        <item x="13"/>
        <item x="18"/>
        <item x="134"/>
        <item x="27"/>
        <item x="79"/>
        <item x="36"/>
        <item x="48"/>
        <item m="1" x="145"/>
        <item x="74"/>
        <item x="88"/>
        <item x="71"/>
        <item x="139"/>
        <item x="135"/>
        <item x="112"/>
        <item x="54"/>
        <item x="107"/>
        <item x="87"/>
        <item x="57"/>
        <item x="31"/>
        <item x="68"/>
        <item x="103"/>
        <item x="110"/>
        <item x="120"/>
        <item x="33"/>
        <item x="38"/>
        <item x="75"/>
        <item x="95"/>
        <item x="7"/>
        <item x="58"/>
        <item x="11"/>
        <item m="1" x="143"/>
        <item x="81"/>
        <item x="49"/>
        <item x="92"/>
        <item x="29"/>
        <item x="41"/>
        <item x="84"/>
        <item x="14"/>
        <item x="45"/>
        <item x="124"/>
        <item x="65"/>
        <item m="1" x="142"/>
        <item x="100"/>
        <item x="123"/>
        <item x="44"/>
        <item x="130"/>
        <item x="128"/>
        <item x="109"/>
        <item x="82"/>
        <item x="97"/>
        <item x="102"/>
        <item x="4"/>
        <item x="89"/>
        <item x="60"/>
        <item x="86"/>
        <item x="32"/>
        <item x="16"/>
        <item x="15"/>
        <item x="111"/>
        <item x="12"/>
        <item x="133"/>
        <item x="46"/>
        <item x="115"/>
        <item t="default"/>
      </items>
    </pivotField>
    <pivotField showAll="0"/>
    <pivotField axis="axisRow" showAll="0">
      <items count="12">
        <item x="6"/>
        <item x="2"/>
        <item x="5"/>
        <item x="1"/>
        <item m="1" x="9"/>
        <item x="0"/>
        <item x="4"/>
        <item x="3"/>
        <item x="7"/>
        <item x="8"/>
        <item m="1" x="1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225">
        <item x="190"/>
        <item x="220"/>
        <item x="65"/>
        <item x="50"/>
        <item x="0"/>
        <item x="52"/>
        <item x="56"/>
        <item x="54"/>
        <item x="9"/>
        <item x="53"/>
        <item x="55"/>
        <item x="51"/>
        <item x="57"/>
        <item x="61"/>
        <item x="60"/>
        <item x="30"/>
        <item x="59"/>
        <item x="63"/>
        <item x="64"/>
        <item x="62"/>
        <item x="2"/>
        <item x="1"/>
        <item x="66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1"/>
        <item x="23"/>
        <item x="24"/>
        <item x="25"/>
        <item x="26"/>
        <item x="27"/>
        <item x="28"/>
        <item x="32"/>
        <item x="67"/>
        <item x="31"/>
        <item x="33"/>
        <item x="29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45"/>
        <item x="47"/>
        <item x="48"/>
        <item x="49"/>
        <item x="68"/>
        <item x="69"/>
        <item x="58"/>
        <item x="70"/>
        <item x="71"/>
        <item x="72"/>
        <item x="73"/>
        <item x="77"/>
        <item x="75"/>
        <item x="76"/>
        <item x="74"/>
        <item x="78"/>
        <item x="79"/>
        <item x="80"/>
        <item x="81"/>
        <item x="82"/>
        <item x="84"/>
        <item x="83"/>
        <item x="85"/>
        <item x="86"/>
        <item x="87"/>
        <item x="89"/>
        <item x="88"/>
        <item x="90"/>
        <item x="91"/>
        <item x="92"/>
        <item x="93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96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1"/>
        <item x="143"/>
        <item x="146"/>
        <item x="144"/>
        <item x="145"/>
        <item x="147"/>
        <item x="150"/>
        <item x="148"/>
        <item x="149"/>
        <item x="151"/>
        <item x="158"/>
        <item x="153"/>
        <item x="154"/>
        <item x="155"/>
        <item x="160"/>
        <item x="162"/>
        <item x="161"/>
        <item x="152"/>
        <item x="156"/>
        <item x="157"/>
        <item x="159"/>
        <item x="165"/>
        <item x="163"/>
        <item x="164"/>
        <item x="166"/>
        <item x="167"/>
        <item x="168"/>
        <item x="169"/>
        <item x="174"/>
        <item x="170"/>
        <item x="171"/>
        <item x="172"/>
        <item x="173"/>
        <item x="176"/>
        <item x="175"/>
        <item x="177"/>
        <item x="185"/>
        <item x="186"/>
        <item x="187"/>
        <item x="178"/>
        <item x="180"/>
        <item x="179"/>
        <item x="183"/>
        <item x="181"/>
        <item x="182"/>
        <item x="184"/>
        <item x="188"/>
        <item x="189"/>
        <item x="195"/>
        <item x="196"/>
        <item x="194"/>
        <item x="193"/>
        <item x="192"/>
        <item x="191"/>
        <item x="198"/>
        <item x="197"/>
        <item x="199"/>
        <item x="200"/>
        <item x="201"/>
        <item x="202"/>
        <item x="205"/>
        <item x="206"/>
        <item x="203"/>
        <item x="204"/>
        <item x="207"/>
        <item x="208"/>
        <item x="216"/>
        <item x="217"/>
        <item x="218"/>
        <item x="219"/>
        <item x="209"/>
        <item x="212"/>
        <item x="210"/>
        <item x="211"/>
        <item x="215"/>
        <item x="214"/>
        <item x="213"/>
        <item x="221"/>
        <item x="223"/>
        <item x="222"/>
        <item x="118"/>
        <item t="default"/>
      </items>
    </pivotField>
    <pivotField showAll="0"/>
    <pivotField showAll="0"/>
  </pivotFields>
  <rowFields count="1">
    <field x="10"/>
  </rowFields>
  <rowItems count="10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ARBITRADO" fld="14" baseField="0" baseItem="0" numFmtId="167"/>
  </dataFields>
  <formats count="5">
    <format dxfId="157">
      <pivotArea outline="0" collapsedLevelsAreSubtotals="1" fieldPosition="0"/>
    </format>
    <format dxfId="156">
      <pivotArea dataOnly="0" labelOnly="1" outline="0" axis="axisValues" fieldPosition="0"/>
    </format>
    <format dxfId="155">
      <pivotArea field="10" type="button" dataOnly="0" labelOnly="1" outline="0" axis="axisRow" fieldPosition="0"/>
    </format>
    <format dxfId="154">
      <pivotArea field="10" type="button" dataOnly="0" labelOnly="1" outline="0" axis="axisRow" fieldPosition="0"/>
    </format>
    <format dxfId="153">
      <pivotArea field="10" type="button" dataOnly="0" labelOnly="1" outline="0" axis="axisRow" fieldPosition="0"/>
    </format>
  </format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</chartFormat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5" rowHeaderCaption="JUÍZO">
  <location ref="A3:B59" firstHeaderRow="1" firstDataRow="1" firstDataCol="1"/>
  <pivotFields count="23">
    <pivotField showAll="0"/>
    <pivotField showAll="0"/>
    <pivotField showAll="0"/>
    <pivotField axis="axisRow" showAll="0">
      <items count="89">
        <item m="1" x="86"/>
        <item x="35"/>
        <item x="33"/>
        <item x="5"/>
        <item x="37"/>
        <item m="1" x="87"/>
        <item x="16"/>
        <item x="34"/>
        <item x="31"/>
        <item x="11"/>
        <item x="36"/>
        <item x="28"/>
        <item x="7"/>
        <item x="2"/>
        <item x="15"/>
        <item x="13"/>
        <item x="9"/>
        <item x="38"/>
        <item x="27"/>
        <item x="40"/>
        <item x="20"/>
        <item x="22"/>
        <item x="19"/>
        <item x="4"/>
        <item x="18"/>
        <item x="29"/>
        <item x="21"/>
        <item x="1"/>
        <item x="0"/>
        <item m="1" x="84"/>
        <item x="14"/>
        <item x="23"/>
        <item x="8"/>
        <item x="17"/>
        <item x="32"/>
        <item x="10"/>
        <item x="30"/>
        <item x="12"/>
        <item x="24"/>
        <item x="26"/>
        <item x="39"/>
        <item m="1" x="85"/>
        <item x="6"/>
        <item x="3"/>
        <item x="67"/>
        <item m="1" x="81"/>
        <item x="41"/>
        <item m="1" x="82"/>
        <item x="25"/>
        <item x="42"/>
        <item x="43"/>
        <item x="44"/>
        <item x="45"/>
        <item x="46"/>
        <item m="1" x="80"/>
        <item x="47"/>
        <item x="48"/>
        <item x="49"/>
        <item m="1" x="83"/>
        <item x="51"/>
        <item x="52"/>
        <item x="53"/>
        <item x="50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axis="axisRow" showAll="0" sortType="ascending">
      <items count="38">
        <item x="31"/>
        <item x="29"/>
        <item x="21"/>
        <item x="19"/>
        <item sd="0" x="10"/>
        <item sd="0" x="13"/>
        <item sd="0" x="12"/>
        <item sd="0" x="8"/>
        <item sd="0" x="4"/>
        <item x="23"/>
        <item x="35"/>
        <item x="30"/>
        <item x="25"/>
        <item sd="0" x="11"/>
        <item sd="0" x="7"/>
        <item sd="0" x="17"/>
        <item sd="0" x="9"/>
        <item x="24"/>
        <item sd="0" x="1"/>
        <item x="26"/>
        <item sd="0" x="16"/>
        <item x="27"/>
        <item sd="0" x="15"/>
        <item sd="0" x="6"/>
        <item x="32"/>
        <item sd="0" x="2"/>
        <item x="34"/>
        <item x="22"/>
        <item x="20"/>
        <item sd="0" x="18"/>
        <item x="33"/>
        <item sd="0" m="1" x="36"/>
        <item sd="0" x="14"/>
        <item sd="0" x="5"/>
        <item sd="0" x="0"/>
        <item sd="0" x="3"/>
        <item x="28"/>
        <item t="default" sd="0"/>
      </items>
    </pivotField>
    <pivotField showAll="0"/>
    <pivotField showAll="0"/>
    <pivotField showAll="0"/>
    <pivotField showAll="0">
      <items count="159">
        <item m="1" x="152"/>
        <item m="1" x="156"/>
        <item m="1" x="149"/>
        <item x="8"/>
        <item x="28"/>
        <item x="122"/>
        <item x="40"/>
        <item x="51"/>
        <item x="119"/>
        <item x="99"/>
        <item x="72"/>
        <item x="24"/>
        <item x="66"/>
        <item x="6"/>
        <item x="47"/>
        <item m="1" x="148"/>
        <item x="77"/>
        <item x="59"/>
        <item x="90"/>
        <item x="42"/>
        <item x="105"/>
        <item x="93"/>
        <item x="35"/>
        <item m="1" x="147"/>
        <item x="61"/>
        <item x="53"/>
        <item x="137"/>
        <item x="5"/>
        <item m="1" x="155"/>
        <item x="2"/>
        <item m="1" x="144"/>
        <item x="69"/>
        <item x="126"/>
        <item x="91"/>
        <item x="106"/>
        <item x="138"/>
        <item x="30"/>
        <item m="1" x="146"/>
        <item x="62"/>
        <item x="78"/>
        <item x="43"/>
        <item m="1" x="150"/>
        <item x="34"/>
        <item x="0"/>
        <item x="67"/>
        <item x="101"/>
        <item x="108"/>
        <item x="21"/>
        <item x="85"/>
        <item x="56"/>
        <item x="25"/>
        <item x="73"/>
        <item x="20"/>
        <item x="10"/>
        <item x="113"/>
        <item x="64"/>
        <item x="3"/>
        <item m="1" x="157"/>
        <item x="140"/>
        <item x="70"/>
        <item x="136"/>
        <item x="94"/>
        <item x="39"/>
        <item x="125"/>
        <item x="1"/>
        <item m="1" x="151"/>
        <item x="127"/>
        <item x="98"/>
        <item x="117"/>
        <item x="83"/>
        <item x="76"/>
        <item x="129"/>
        <item x="114"/>
        <item x="104"/>
        <item x="19"/>
        <item x="131"/>
        <item x="121"/>
        <item x="26"/>
        <item x="22"/>
        <item x="55"/>
        <item x="50"/>
        <item x="96"/>
        <item x="132"/>
        <item x="9"/>
        <item m="1" x="141"/>
        <item x="17"/>
        <item x="37"/>
        <item x="80"/>
        <item x="52"/>
        <item x="23"/>
        <item x="116"/>
        <item x="63"/>
        <item x="118"/>
        <item m="1" x="153"/>
        <item m="1" x="154"/>
        <item x="13"/>
        <item x="18"/>
        <item x="134"/>
        <item x="27"/>
        <item x="79"/>
        <item x="36"/>
        <item x="48"/>
        <item m="1" x="145"/>
        <item x="74"/>
        <item x="88"/>
        <item x="71"/>
        <item x="139"/>
        <item x="135"/>
        <item x="112"/>
        <item x="54"/>
        <item x="107"/>
        <item x="87"/>
        <item x="57"/>
        <item x="31"/>
        <item x="68"/>
        <item x="103"/>
        <item x="110"/>
        <item x="120"/>
        <item x="33"/>
        <item x="38"/>
        <item x="75"/>
        <item x="95"/>
        <item x="7"/>
        <item x="58"/>
        <item x="11"/>
        <item m="1" x="143"/>
        <item x="81"/>
        <item x="49"/>
        <item x="92"/>
        <item x="29"/>
        <item x="41"/>
        <item x="84"/>
        <item x="14"/>
        <item x="45"/>
        <item x="124"/>
        <item x="65"/>
        <item m="1" x="142"/>
        <item x="100"/>
        <item x="123"/>
        <item x="44"/>
        <item x="130"/>
        <item x="128"/>
        <item x="109"/>
        <item x="82"/>
        <item x="97"/>
        <item x="102"/>
        <item x="4"/>
        <item x="89"/>
        <item x="60"/>
        <item x="86"/>
        <item x="32"/>
        <item x="16"/>
        <item x="15"/>
        <item x="111"/>
        <item x="12"/>
        <item x="133"/>
        <item x="46"/>
        <item x="115"/>
        <item t="default"/>
      </items>
    </pivotField>
    <pivotField showAll="0"/>
    <pivotField showAll="0">
      <items count="12">
        <item x="6"/>
        <item x="2"/>
        <item x="5"/>
        <item x="1"/>
        <item m="1" x="10"/>
        <item m="1" x="9"/>
        <item x="0"/>
        <item x="7"/>
        <item x="4"/>
        <item x="3"/>
        <item x="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3"/>
  </rowFields>
  <rowItems count="56">
    <i>
      <x/>
    </i>
    <i r="1">
      <x v="25"/>
    </i>
    <i>
      <x v="1"/>
    </i>
    <i r="1">
      <x v="77"/>
    </i>
    <i>
      <x v="2"/>
    </i>
    <i r="1">
      <x v="62"/>
    </i>
    <i>
      <x v="3"/>
    </i>
    <i r="1">
      <x v="51"/>
    </i>
    <i>
      <x v="4"/>
    </i>
    <i>
      <x v="5"/>
    </i>
    <i>
      <x v="6"/>
    </i>
    <i>
      <x v="7"/>
    </i>
    <i>
      <x v="8"/>
    </i>
    <i>
      <x v="9"/>
    </i>
    <i r="1">
      <x v="60"/>
    </i>
    <i r="1">
      <x v="82"/>
    </i>
    <i>
      <x v="10"/>
    </i>
    <i r="1">
      <x v="87"/>
    </i>
    <i>
      <x v="11"/>
    </i>
    <i r="1">
      <x v="78"/>
    </i>
    <i>
      <x v="12"/>
    </i>
    <i r="1">
      <x v="67"/>
    </i>
    <i>
      <x v="13"/>
    </i>
    <i>
      <x v="14"/>
    </i>
    <i>
      <x v="15"/>
    </i>
    <i>
      <x v="16"/>
    </i>
    <i>
      <x v="17"/>
    </i>
    <i r="1">
      <x v="63"/>
    </i>
    <i r="1">
      <x v="72"/>
    </i>
    <i>
      <x v="18"/>
    </i>
    <i>
      <x v="19"/>
    </i>
    <i r="1">
      <x v="68"/>
    </i>
    <i>
      <x v="20"/>
    </i>
    <i>
      <x v="21"/>
    </i>
    <i r="1">
      <x v="75"/>
    </i>
    <i>
      <x v="22"/>
    </i>
    <i>
      <x v="23"/>
    </i>
    <i>
      <x v="24"/>
    </i>
    <i r="1">
      <x v="83"/>
    </i>
    <i>
      <x v="25"/>
    </i>
    <i>
      <x v="26"/>
    </i>
    <i r="1">
      <x v="86"/>
    </i>
    <i>
      <x v="27"/>
    </i>
    <i r="1">
      <x v="59"/>
    </i>
    <i>
      <x v="28"/>
    </i>
    <i r="1">
      <x v="52"/>
    </i>
    <i>
      <x v="29"/>
    </i>
    <i>
      <x v="30"/>
    </i>
    <i r="1">
      <x v="85"/>
    </i>
    <i>
      <x v="32"/>
    </i>
    <i>
      <x v="33"/>
    </i>
    <i>
      <x v="34"/>
    </i>
    <i>
      <x v="35"/>
    </i>
    <i>
      <x v="36"/>
    </i>
    <i r="1">
      <x v="44"/>
    </i>
    <i t="grand">
      <x/>
    </i>
  </rowItems>
  <colItems count="1">
    <i/>
  </colItems>
  <dataFields count="1">
    <dataField name="VALORES " fld="14" baseField="0" baseItem="0" numFmtId="167"/>
  </dataFields>
  <formats count="28">
    <format dxfId="152">
      <pivotArea field="4" type="button" dataOnly="0" labelOnly="1" outline="0" axis="axisRow" fieldPosition="0"/>
    </format>
    <format dxfId="151">
      <pivotArea dataOnly="0" labelOnly="1" outline="0" axis="axisValues" fieldPosition="0"/>
    </format>
    <format dxfId="150">
      <pivotArea field="4" type="button" dataOnly="0" labelOnly="1" outline="0" axis="axisRow" fieldPosition="0"/>
    </format>
    <format dxfId="149">
      <pivotArea dataOnly="0" labelOnly="1" outline="0" axis="axisValues" fieldPosition="0"/>
    </format>
    <format dxfId="148">
      <pivotArea field="4" type="button" dataOnly="0" labelOnly="1" outline="0" axis="axisRow" fieldPosition="0"/>
    </format>
    <format dxfId="147">
      <pivotArea dataOnly="0" labelOnly="1" outline="0" axis="axisValues" fieldPosition="0"/>
    </format>
    <format dxfId="146">
      <pivotArea field="4" type="button" dataOnly="0" labelOnly="1" outline="0" axis="axisRow" fieldPosition="0"/>
    </format>
    <format dxfId="145">
      <pivotArea dataOnly="0" labelOnly="1" outline="0" axis="axisValues" fieldPosition="0"/>
    </format>
    <format dxfId="144">
      <pivotArea field="4" type="button" dataOnly="0" labelOnly="1" outline="0" axis="axisRow" fieldPosition="0"/>
    </format>
    <format dxfId="143">
      <pivotArea dataOnly="0" labelOnly="1" outline="0" axis="axisValues" fieldPosition="0"/>
    </format>
    <format dxfId="142">
      <pivotArea field="4" type="button" dataOnly="0" labelOnly="1" outline="0" axis="axisRow" fieldPosition="0"/>
    </format>
    <format dxfId="141">
      <pivotArea dataOnly="0" labelOnly="1" outline="0" axis="axisValues" fieldPosition="0"/>
    </format>
    <format dxfId="140">
      <pivotArea field="4" type="button" dataOnly="0" labelOnly="1" outline="0" axis="axisRow" fieldPosition="0"/>
    </format>
    <format dxfId="139">
      <pivotArea dataOnly="0" labelOnly="1" outline="0" axis="axisValues" fieldPosition="0"/>
    </format>
    <format dxfId="138">
      <pivotArea field="4" type="button" dataOnly="0" labelOnly="1" outline="0" axis="axisRow" fieldPosition="0"/>
    </format>
    <format dxfId="137">
      <pivotArea dataOnly="0" labelOnly="1" outline="0" axis="axisValues" fieldPosition="0"/>
    </format>
    <format dxfId="136">
      <pivotArea field="4" type="button" dataOnly="0" labelOnly="1" outline="0" axis="axisRow" fieldPosition="0"/>
    </format>
    <format dxfId="135">
      <pivotArea dataOnly="0" labelOnly="1" outline="0" axis="axisValues" fieldPosition="0"/>
    </format>
    <format dxfId="134">
      <pivotArea field="4" type="button" dataOnly="0" labelOnly="1" outline="0" axis="axisRow" fieldPosition="0"/>
    </format>
    <format dxfId="133">
      <pivotArea dataOnly="0" labelOnly="1" outline="0" axis="axisValues" fieldPosition="0"/>
    </format>
    <format dxfId="132">
      <pivotArea field="4" type="button" dataOnly="0" labelOnly="1" outline="0" axis="axisRow" fieldPosition="0"/>
    </format>
    <format dxfId="131">
      <pivotArea dataOnly="0" labelOnly="1" outline="0" axis="axisValues" fieldPosition="0"/>
    </format>
    <format dxfId="130">
      <pivotArea dataOnly="0" labelOnly="1" outline="0" axis="axisValues" fieldPosition="0"/>
    </format>
    <format dxfId="129">
      <pivotArea outline="0" collapsedLevelsAreSubtotals="1" fieldPosition="0"/>
    </format>
    <format dxfId="128">
      <pivotArea dataOnly="0" labelOnly="1" outline="0" axis="axisValues" fieldPosition="0"/>
    </format>
    <format dxfId="127">
      <pivotArea outline="0" fieldPosition="0">
        <references count="1">
          <reference field="4294967294" count="1">
            <x v="0"/>
          </reference>
        </references>
      </pivotArea>
    </format>
    <format dxfId="126">
      <pivotArea outline="0" collapsedLevelsAreSubtotals="1" fieldPosition="0"/>
    </format>
    <format dxfId="125">
      <pivotArea dataOnly="0" labelOnly="1" outline="0" axis="axisValues" fieldPosition="0"/>
    </format>
  </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" rowHeaderCaption="COMARCAS">
  <location ref="A3:B40" firstHeaderRow="1" firstDataRow="1" firstDataCol="1"/>
  <pivotFields count="23">
    <pivotField showAll="0"/>
    <pivotField showAll="0"/>
    <pivotField showAll="0"/>
    <pivotField showAll="0"/>
    <pivotField axis="axisRow" showAll="0">
      <items count="38">
        <item x="10"/>
        <item x="13"/>
        <item x="12"/>
        <item x="8"/>
        <item x="4"/>
        <item x="11"/>
        <item x="7"/>
        <item x="17"/>
        <item x="9"/>
        <item x="1"/>
        <item x="16"/>
        <item x="15"/>
        <item x="6"/>
        <item x="2"/>
        <item x="18"/>
        <item m="1" x="36"/>
        <item x="5"/>
        <item x="0"/>
        <item x="3"/>
        <item x="28"/>
        <item x="14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5"/>
        <item t="default"/>
      </items>
    </pivotField>
    <pivotField showAll="0"/>
    <pivotField showAll="0"/>
    <pivotField showAll="0"/>
    <pivotField showAll="0">
      <items count="159">
        <item m="1" x="152"/>
        <item m="1" x="156"/>
        <item m="1" x="149"/>
        <item x="8"/>
        <item x="28"/>
        <item x="122"/>
        <item x="40"/>
        <item x="51"/>
        <item x="119"/>
        <item x="99"/>
        <item x="72"/>
        <item x="24"/>
        <item x="66"/>
        <item x="6"/>
        <item x="47"/>
        <item m="1" x="148"/>
        <item x="77"/>
        <item x="59"/>
        <item x="90"/>
        <item x="42"/>
        <item x="105"/>
        <item x="93"/>
        <item x="35"/>
        <item m="1" x="147"/>
        <item x="61"/>
        <item x="53"/>
        <item x="137"/>
        <item x="5"/>
        <item m="1" x="155"/>
        <item x="2"/>
        <item m="1" x="144"/>
        <item x="69"/>
        <item x="126"/>
        <item x="91"/>
        <item x="106"/>
        <item x="138"/>
        <item x="30"/>
        <item m="1" x="146"/>
        <item x="62"/>
        <item x="78"/>
        <item x="43"/>
        <item m="1" x="150"/>
        <item x="34"/>
        <item x="0"/>
        <item x="67"/>
        <item x="101"/>
        <item x="108"/>
        <item x="21"/>
        <item x="85"/>
        <item x="56"/>
        <item x="25"/>
        <item x="73"/>
        <item x="20"/>
        <item x="10"/>
        <item x="113"/>
        <item x="64"/>
        <item x="3"/>
        <item m="1" x="157"/>
        <item x="140"/>
        <item x="70"/>
        <item x="136"/>
        <item x="94"/>
        <item x="39"/>
        <item x="125"/>
        <item x="1"/>
        <item m="1" x="151"/>
        <item x="127"/>
        <item x="98"/>
        <item x="117"/>
        <item x="83"/>
        <item x="76"/>
        <item x="129"/>
        <item x="114"/>
        <item x="104"/>
        <item x="19"/>
        <item x="131"/>
        <item x="121"/>
        <item x="26"/>
        <item x="22"/>
        <item x="55"/>
        <item x="50"/>
        <item x="96"/>
        <item x="132"/>
        <item x="9"/>
        <item m="1" x="141"/>
        <item x="17"/>
        <item x="37"/>
        <item x="80"/>
        <item x="52"/>
        <item x="23"/>
        <item x="116"/>
        <item x="63"/>
        <item x="118"/>
        <item m="1" x="153"/>
        <item m="1" x="154"/>
        <item x="13"/>
        <item x="18"/>
        <item x="134"/>
        <item x="27"/>
        <item x="79"/>
        <item x="36"/>
        <item x="48"/>
        <item m="1" x="145"/>
        <item x="74"/>
        <item x="88"/>
        <item x="71"/>
        <item x="139"/>
        <item x="135"/>
        <item x="112"/>
        <item x="54"/>
        <item x="107"/>
        <item x="87"/>
        <item x="57"/>
        <item x="31"/>
        <item x="68"/>
        <item x="103"/>
        <item x="110"/>
        <item x="120"/>
        <item x="33"/>
        <item x="38"/>
        <item x="75"/>
        <item x="95"/>
        <item x="7"/>
        <item x="58"/>
        <item x="11"/>
        <item m="1" x="143"/>
        <item x="81"/>
        <item x="49"/>
        <item x="92"/>
        <item x="29"/>
        <item x="41"/>
        <item x="84"/>
        <item x="14"/>
        <item x="45"/>
        <item x="124"/>
        <item x="65"/>
        <item m="1" x="142"/>
        <item x="100"/>
        <item x="123"/>
        <item x="44"/>
        <item x="130"/>
        <item x="128"/>
        <item x="109"/>
        <item x="82"/>
        <item x="97"/>
        <item x="102"/>
        <item x="4"/>
        <item x="89"/>
        <item x="60"/>
        <item x="86"/>
        <item x="32"/>
        <item x="16"/>
        <item x="15"/>
        <item x="111"/>
        <item x="12"/>
        <item x="133"/>
        <item x="46"/>
        <item x="115"/>
        <item t="default"/>
      </items>
    </pivotField>
    <pivotField showAll="0"/>
    <pivotField showAll="0">
      <items count="12">
        <item x="6"/>
        <item x="2"/>
        <item x="5"/>
        <item x="1"/>
        <item m="1" x="10"/>
        <item m="1" x="9"/>
        <item x="0"/>
        <item x="7"/>
        <item x="4"/>
        <item x="3"/>
        <item x="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VALORES " fld="14" baseField="0" baseItem="0" numFmtId="167"/>
  </dataFields>
  <formats count="10">
    <format dxfId="124">
      <pivotArea outline="0" collapsedLevelsAreSubtotals="1" fieldPosition="0"/>
    </format>
    <format dxfId="123">
      <pivotArea dataOnly="0" labelOnly="1" outline="0" axis="axisValues" fieldPosition="0"/>
    </format>
    <format dxfId="122">
      <pivotArea dataOnly="0" labelOnly="1" outline="0" axis="axisValues" fieldPosition="0"/>
    </format>
    <format dxfId="121">
      <pivotArea field="4" type="button" dataOnly="0" labelOnly="1" outline="0" axis="axisRow" fieldPosition="0"/>
    </format>
    <format dxfId="120">
      <pivotArea dataOnly="0" labelOnly="1" outline="0" axis="axisValues" fieldPosition="0"/>
    </format>
    <format dxfId="119">
      <pivotArea field="4" type="button" dataOnly="0" labelOnly="1" outline="0" axis="axisRow" fieldPosition="0"/>
    </format>
    <format dxfId="118">
      <pivotArea dataOnly="0" labelOnly="1" outline="0" axis="axisValues" fieldPosition="0"/>
    </format>
    <format dxfId="117">
      <pivotArea field="4" type="button" dataOnly="0" labelOnly="1" outline="0" axis="axisRow" fieldPosition="0"/>
    </format>
    <format dxfId="116">
      <pivotArea dataOnly="0" labelOnly="1" outline="0" axis="axisValues" fieldPosition="0"/>
    </format>
    <format dxfId="115">
      <pivotArea outline="0" fieldPosition="0">
        <references count="1">
          <reference field="4294967294" count="1">
            <x v="0"/>
          </reference>
        </references>
      </pivotArea>
    </format>
  </formats>
  <chartFormats count="3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26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27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28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30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31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0"/>
          </reference>
          <reference field="4" count="1" selected="0">
            <x v="32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0"/>
          </reference>
          <reference field="4" count="1" selected="0">
            <x v="33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0"/>
          </reference>
          <reference field="4" count="1" selected="0">
            <x v="34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0"/>
          </reference>
          <reference field="4" count="1" selected="0">
            <x v="35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0"/>
          </reference>
          <reference field="4" count="1" selected="0">
            <x v="36"/>
          </reference>
        </references>
      </pivotArea>
    </chartFormat>
  </chartFormats>
  <pivotTableStyleInfo name="PivotStyleDark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Tabela dinâmica5" cacheId="0" applyNumberFormats="0" applyBorderFormats="0" applyFontFormats="0" applyPatternFormats="0" applyAlignmentFormats="0" applyWidthHeightFormats="1" dataCaption="Valores" updatedVersion="7" minRefreshableVersion="5" itemPrintTitles="1" createdVersion="7" indent="0" outline="1" outlineData="1" multipleFieldFilters="0" chartFormat="3" rowHeaderCaption="Juízos">
  <location ref="A2:B13" firstHeaderRow="1" firstDataRow="1" firstDataCol="1"/>
  <pivotFields count="23">
    <pivotField showAll="0"/>
    <pivotField showAll="0"/>
    <pivotField showAll="0"/>
    <pivotField axis="axisRow" showAll="0" measureFilter="1">
      <items count="79">
        <item x="8"/>
        <item m="1" x="63"/>
        <item m="1" x="57"/>
        <item m="1" x="50"/>
        <item m="1" x="42"/>
        <item m="1" x="77"/>
        <item m="1" x="72"/>
        <item m="1" x="45"/>
        <item m="1" x="44"/>
        <item x="32"/>
        <item m="1" x="60"/>
        <item m="1" x="54"/>
        <item x="29"/>
        <item x="7"/>
        <item x="2"/>
        <item m="1" x="74"/>
        <item x="14"/>
        <item m="1" x="71"/>
        <item m="1" x="73"/>
        <item x="21"/>
        <item x="23"/>
        <item m="1" x="52"/>
        <item m="1" x="65"/>
        <item x="4"/>
        <item m="1" x="55"/>
        <item m="1" x="67"/>
        <item x="22"/>
        <item m="1" x="66"/>
        <item x="1"/>
        <item m="1" x="43"/>
        <item x="0"/>
        <item x="33"/>
        <item m="1" x="46"/>
        <item m="1" x="59"/>
        <item x="24"/>
        <item x="9"/>
        <item m="1" x="75"/>
        <item m="1" x="70"/>
        <item m="1" x="58"/>
        <item x="13"/>
        <item m="1" x="51"/>
        <item m="1" x="47"/>
        <item m="1" x="48"/>
        <item m="1" x="53"/>
        <item m="1" x="62"/>
        <item m="1" x="64"/>
        <item m="1" x="49"/>
        <item x="25"/>
        <item x="27"/>
        <item m="1" x="61"/>
        <item x="5"/>
        <item x="10"/>
        <item x="11"/>
        <item x="12"/>
        <item x="15"/>
        <item x="16"/>
        <item x="17"/>
        <item x="18"/>
        <item x="19"/>
        <item x="20"/>
        <item m="1" x="69"/>
        <item x="28"/>
        <item x="30"/>
        <item x="31"/>
        <item x="34"/>
        <item x="35"/>
        <item x="36"/>
        <item x="37"/>
        <item x="38"/>
        <item x="39"/>
        <item m="1" x="56"/>
        <item m="1" x="68"/>
        <item m="1" x="76"/>
        <item x="3"/>
        <item x="6"/>
        <item x="26"/>
        <item x="41"/>
        <item x="40"/>
        <item t="default"/>
      </items>
    </pivotField>
    <pivotField showAll="0">
      <items count="27">
        <item m="1" x="20"/>
        <item m="1" x="22"/>
        <item m="1" x="19"/>
        <item m="1" x="24"/>
        <item m="1" x="25"/>
        <item m="1" x="21"/>
        <item m="1" x="23"/>
        <item x="10"/>
        <item x="13"/>
        <item x="12"/>
        <item x="8"/>
        <item x="4"/>
        <item x="11"/>
        <item x="7"/>
        <item x="17"/>
        <item x="9"/>
        <item x="1"/>
        <item x="16"/>
        <item x="15"/>
        <item x="6"/>
        <item x="2"/>
        <item x="18"/>
        <item x="14"/>
        <item x="5"/>
        <item x="0"/>
        <item x="3"/>
        <item t="default"/>
      </items>
    </pivotField>
    <pivotField showAll="0"/>
    <pivotField showAll="0"/>
    <pivotField showAll="0"/>
    <pivotField showAll="0">
      <items count="63">
        <item m="1" x="58"/>
        <item m="1" x="61"/>
        <item x="39"/>
        <item m="1" x="59"/>
        <item m="1" x="50"/>
        <item x="8"/>
        <item m="1" x="51"/>
        <item x="28"/>
        <item x="40"/>
        <item x="24"/>
        <item x="6"/>
        <item m="1" x="56"/>
        <item x="47"/>
        <item x="42"/>
        <item x="35"/>
        <item m="1" x="48"/>
        <item x="5"/>
        <item x="2"/>
        <item x="30"/>
        <item x="43"/>
        <item x="34"/>
        <item x="0"/>
        <item x="21"/>
        <item x="25"/>
        <item x="20"/>
        <item m="1" x="57"/>
        <item x="10"/>
        <item x="3"/>
        <item m="1" x="53"/>
        <item x="1"/>
        <item x="19"/>
        <item x="26"/>
        <item x="22"/>
        <item x="9"/>
        <item x="17"/>
        <item x="37"/>
        <item x="23"/>
        <item m="1" x="55"/>
        <item x="13"/>
        <item m="1" x="54"/>
        <item x="18"/>
        <item x="27"/>
        <item x="36"/>
        <item x="31"/>
        <item m="1" x="52"/>
        <item x="33"/>
        <item x="38"/>
        <item x="7"/>
        <item x="11"/>
        <item m="1" x="49"/>
        <item m="1" x="60"/>
        <item x="29"/>
        <item x="41"/>
        <item x="14"/>
        <item x="45"/>
        <item x="44"/>
        <item x="4"/>
        <item x="32"/>
        <item x="16"/>
        <item x="15"/>
        <item x="12"/>
        <item x="46"/>
        <item t="default"/>
      </items>
    </pivotField>
    <pivotField showAll="0"/>
    <pivotField showAll="0">
      <items count="9">
        <item x="6"/>
        <item x="2"/>
        <item x="5"/>
        <item x="1"/>
        <item m="1" x="7"/>
        <item x="0"/>
        <item x="4"/>
        <item x="3"/>
        <item t="default"/>
      </items>
    </pivotField>
    <pivotField showAll="0"/>
    <pivotField showAll="0"/>
    <pivotField numFmtId="4" showAll="0"/>
    <pivotField dataField="1" numFmtId="4" showAll="0"/>
    <pivotField showAll="0"/>
    <pivotField showAll="0"/>
    <pivotField showAll="0"/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defaultSubtotal="0"/>
    <pivotField showAll="0" defaultSubtotal="0"/>
  </pivotFields>
  <rowFields count="1">
    <field x="3"/>
  </rowFields>
  <rowItems count="11">
    <i>
      <x v="13"/>
    </i>
    <i>
      <x v="14"/>
    </i>
    <i>
      <x v="28"/>
    </i>
    <i>
      <x v="51"/>
    </i>
    <i>
      <x v="52"/>
    </i>
    <i>
      <x v="57"/>
    </i>
    <i>
      <x v="61"/>
    </i>
    <i>
      <x v="64"/>
    </i>
    <i>
      <x v="66"/>
    </i>
    <i>
      <x v="73"/>
    </i>
    <i t="grand">
      <x/>
    </i>
  </rowItems>
  <colItems count="1">
    <i/>
  </colItems>
  <dataFields count="1">
    <dataField name="Soma de VALOR ARBITRADO" fld="14" baseField="3" baseItem="0" numFmtId="166"/>
  </dataFields>
  <formats count="29"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3" type="button" dataOnly="0" labelOnly="1" outline="0" axis="axisRow" fieldPosition="0"/>
    </format>
    <format dxfId="111">
      <pivotArea dataOnly="0" labelOnly="1" fieldPosition="0">
        <references count="1">
          <reference field="3" count="0"/>
        </references>
      </pivotArea>
    </format>
    <format dxfId="110">
      <pivotArea dataOnly="0" labelOnly="1" grandRow="1" outline="0" fieldPosition="0"/>
    </format>
    <format dxfId="109">
      <pivotArea dataOnly="0" labelOnly="1" outline="0" axis="axisValues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dataOnly="0" labelOnly="1" fieldPosition="0">
        <references count="1">
          <reference field="3" count="16">
            <x v="4"/>
            <x v="6"/>
            <x v="11"/>
            <x v="13"/>
            <x v="14"/>
            <x v="17"/>
            <x v="21"/>
            <x v="23"/>
            <x v="25"/>
            <x v="28"/>
            <x v="31"/>
            <x v="35"/>
            <x v="36"/>
            <x v="37"/>
            <x v="38"/>
            <x v="46"/>
          </reference>
        </references>
      </pivotArea>
    </format>
    <format dxfId="105">
      <pivotArea field="3" type="button" dataOnly="0" labelOnly="1" outline="0" axis="axisRow" fieldPosition="0"/>
    </format>
    <format dxfId="104">
      <pivotArea dataOnly="0" labelOnly="1" outline="0" axis="axisValues" fieldPosition="0"/>
    </format>
    <format dxfId="103">
      <pivotArea outline="0" collapsedLevelsAreSubtotals="1" fieldPosition="0"/>
    </format>
    <format dxfId="102">
      <pivotArea dataOnly="0" labelOnly="1" outline="0" axis="axisValues" fieldPosition="0"/>
    </format>
    <format dxfId="101">
      <pivotArea field="3" type="button" dataOnly="0" labelOnly="1" outline="0" axis="axisRow" fieldPosition="0"/>
    </format>
    <format dxfId="100">
      <pivotArea dataOnly="0" labelOnly="1" outline="0" axis="axisValues" fieldPosition="0"/>
    </format>
    <format dxfId="99">
      <pivotArea field="3" type="button" dataOnly="0" labelOnly="1" outline="0" axis="axisRow" fieldPosition="0"/>
    </format>
    <format dxfId="98">
      <pivotArea dataOnly="0" labelOnly="1" outline="0" axis="axisValues" fieldPosition="0"/>
    </format>
    <format dxfId="97">
      <pivotArea field="3" type="button" dataOnly="0" labelOnly="1" outline="0" axis="axisRow" fieldPosition="0"/>
    </format>
    <format dxfId="96">
      <pivotArea dataOnly="0" labelOnly="1" outline="0" axis="axisValues" fieldPosition="0"/>
    </format>
    <format dxfId="95">
      <pivotArea field="3" type="button" dataOnly="0" labelOnly="1" outline="0" axis="axisRow" fieldPosition="0"/>
    </format>
    <format dxfId="94">
      <pivotArea dataOnly="0" labelOnly="1" outline="0" axis="axisValues" fieldPosition="0"/>
    </format>
    <format dxfId="93">
      <pivotArea outline="0" collapsedLevelsAreSubtotals="1" fieldPosition="0"/>
    </format>
    <format dxfId="92">
      <pivotArea dataOnly="0" labelOnly="1" fieldPosition="0">
        <references count="1">
          <reference field="3" count="10">
            <x v="13"/>
            <x v="14"/>
            <x v="28"/>
            <x v="46"/>
            <x v="51"/>
            <x v="52"/>
            <x v="57"/>
            <x v="61"/>
            <x v="64"/>
            <x v="66"/>
          </reference>
        </references>
      </pivotArea>
    </format>
    <format dxfId="91">
      <pivotArea dataOnly="0" labelOnly="1" grandRow="1" outline="0" fieldPosition="0"/>
    </format>
    <format dxfId="90">
      <pivotArea outline="0" collapsedLevelsAreSubtotals="1" fieldPosition="0"/>
    </format>
    <format dxfId="89">
      <pivotArea dataOnly="0" labelOnly="1" fieldPosition="0">
        <references count="1">
          <reference field="3" count="10">
            <x v="13"/>
            <x v="14"/>
            <x v="28"/>
            <x v="46"/>
            <x v="51"/>
            <x v="52"/>
            <x v="57"/>
            <x v="61"/>
            <x v="64"/>
            <x v="66"/>
          </reference>
        </references>
      </pivotArea>
    </format>
    <format dxfId="88">
      <pivotArea dataOnly="0" labelOnly="1" grandRow="1" outline="0" fieldPosition="0"/>
    </format>
    <format dxfId="87">
      <pivotArea dataOnly="0" labelOnly="1" grandRow="1" outline="0" fieldPosition="0"/>
    </format>
    <format dxfId="86">
      <pivotArea outline="0" fieldPosition="0">
        <references count="1">
          <reference field="4294967294" count="1">
            <x v="0"/>
          </reference>
        </references>
      </pivotArea>
    </format>
  </formats>
  <chartFormats count="4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46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35"/>
          </reference>
        </references>
      </pivotArea>
    </chartFormat>
    <chartFormat chart="2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39"/>
          </reference>
        </references>
      </pivotArea>
    </chartFormat>
    <chartFormat chart="2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2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2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42"/>
          </reference>
        </references>
      </pivotArea>
    </chartFormat>
    <chartFormat chart="2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43"/>
          </reference>
        </references>
      </pivotArea>
    </chartFormat>
    <chartFormat chart="2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44"/>
          </reference>
        </references>
      </pivotArea>
    </chartFormat>
    <chartFormat chart="2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2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51"/>
          </reference>
        </references>
      </pivotArea>
    </chartFormat>
    <chartFormat chart="2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52"/>
          </reference>
        </references>
      </pivotArea>
    </chartFormat>
    <chartFormat chart="2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57"/>
          </reference>
        </references>
      </pivotArea>
    </chartFormat>
    <chartFormat chart="2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61"/>
          </reference>
        </references>
      </pivotArea>
    </chartFormat>
    <chartFormat chart="2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64"/>
          </reference>
        </references>
      </pivotArea>
    </chartFormat>
    <chartFormat chart="2" format="45">
      <pivotArea type="data" outline="0" fieldPosition="0">
        <references count="2">
          <reference field="4294967294" count="1" selected="0">
            <x v="0"/>
          </reference>
          <reference field="3" count="1" selected="0">
            <x v="66"/>
          </reference>
        </references>
      </pivotArea>
    </chartFormat>
    <chartFormat chart="2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73"/>
          </reference>
        </references>
      </pivotArea>
    </chartFormat>
  </chartFormats>
  <pivotTableStyleInfo name="PivotStyleDark28" showRowHeaders="1" showColHeaders="1" showRowStripes="0" showColStripes="0" showLastColumn="1"/>
  <filters count="1">
    <filter fld="3" type="count" evalOrder="-1" id="1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7" minRefreshableVersion="5" showDrill="0" itemPrintTitles="1" createdVersion="7" indent="0" compact="0" outline="1" outlineData="1" compactData="0" multipleFieldFilters="0" chartFormat="5">
  <location ref="A2:C51" firstHeaderRow="1" firstDataRow="1" firstDataCol="2"/>
  <pivotFields count="23"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79">
        <item x="8"/>
        <item m="1" x="63"/>
        <item m="1" x="57"/>
        <item m="1" x="50"/>
        <item m="1" x="42"/>
        <item m="1" x="77"/>
        <item m="1" x="72"/>
        <item m="1" x="45"/>
        <item m="1" x="44"/>
        <item x="32"/>
        <item m="1" x="60"/>
        <item m="1" x="54"/>
        <item x="29"/>
        <item x="7"/>
        <item x="2"/>
        <item m="1" x="74"/>
        <item x="14"/>
        <item m="1" x="71"/>
        <item m="1" x="73"/>
        <item x="21"/>
        <item x="23"/>
        <item m="1" x="52"/>
        <item m="1" x="65"/>
        <item x="4"/>
        <item m="1" x="55"/>
        <item m="1" x="67"/>
        <item x="22"/>
        <item m="1" x="66"/>
        <item x="1"/>
        <item m="1" x="43"/>
        <item x="0"/>
        <item x="33"/>
        <item m="1" x="46"/>
        <item m="1" x="59"/>
        <item x="24"/>
        <item x="9"/>
        <item m="1" x="75"/>
        <item m="1" x="70"/>
        <item m="1" x="58"/>
        <item x="13"/>
        <item m="1" x="51"/>
        <item m="1" x="47"/>
        <item m="1" x="48"/>
        <item m="1" x="53"/>
        <item m="1" x="62"/>
        <item m="1" x="64"/>
        <item m="1" x="49"/>
        <item x="25"/>
        <item x="27"/>
        <item m="1" x="61"/>
        <item x="5"/>
        <item x="10"/>
        <item x="11"/>
        <item x="12"/>
        <item x="15"/>
        <item x="16"/>
        <item x="17"/>
        <item x="18"/>
        <item x="19"/>
        <item x="20"/>
        <item m="1" x="69"/>
        <item x="28"/>
        <item x="30"/>
        <item x="31"/>
        <item x="34"/>
        <item x="35"/>
        <item x="36"/>
        <item x="37"/>
        <item x="38"/>
        <item x="39"/>
        <item m="1" x="56"/>
        <item m="1" x="68"/>
        <item m="1" x="76"/>
        <item x="3"/>
        <item x="6"/>
        <item x="26"/>
        <item x="41"/>
        <item x="4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items count="27">
        <item m="1" x="20"/>
        <item m="1" x="22"/>
        <item m="1" x="19"/>
        <item m="1" x="24"/>
        <item m="1" x="25"/>
        <item m="1" x="21"/>
        <item m="1" x="23"/>
        <item x="10"/>
        <item x="13"/>
        <item x="12"/>
        <item x="8"/>
        <item x="4"/>
        <item x="11"/>
        <item x="7"/>
        <item x="17"/>
        <item x="9"/>
        <item x="1"/>
        <item x="16"/>
        <item x="15"/>
        <item x="6"/>
        <item x="2"/>
        <item x="18"/>
        <item x="14"/>
        <item x="5"/>
        <item x="0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 defaultSubtotal="0">
      <items count="62">
        <item sd="0" m="1" x="58"/>
        <item sd="0" m="1" x="61"/>
        <item sd="0" x="39"/>
        <item sd="0" m="1" x="59"/>
        <item sd="0" m="1" x="50"/>
        <item sd="0" m="1" x="51"/>
        <item sd="0" x="28"/>
        <item sd="0" x="40"/>
        <item sd="0" x="24"/>
        <item sd="0" x="6"/>
        <item sd="0" m="1" x="56"/>
        <item sd="0" x="47"/>
        <item sd="0" x="42"/>
        <item sd="0" x="35"/>
        <item sd="0" m="1" x="48"/>
        <item sd="0" x="5"/>
        <item sd="0" x="2"/>
        <item sd="0" x="30"/>
        <item sd="0" x="43"/>
        <item sd="0" x="34"/>
        <item sd="0" x="0"/>
        <item sd="0" x="21"/>
        <item sd="0" x="25"/>
        <item sd="0" x="20"/>
        <item sd="0" m="1" x="57"/>
        <item sd="0" x="10"/>
        <item sd="0" x="3"/>
        <item sd="0" m="1" x="53"/>
        <item sd="0" x="1"/>
        <item sd="0" x="19"/>
        <item sd="0" x="26"/>
        <item sd="0" x="22"/>
        <item sd="0" x="9"/>
        <item sd="0" x="17"/>
        <item sd="0" x="37"/>
        <item sd="0" x="23"/>
        <item sd="0" m="1" x="55"/>
        <item sd="0" x="13"/>
        <item sd="0" m="1" x="54"/>
        <item sd="0" x="18"/>
        <item sd="0" x="27"/>
        <item sd="0" x="36"/>
        <item sd="0" x="31"/>
        <item sd="0" m="1" x="52"/>
        <item sd="0" x="33"/>
        <item sd="0" x="38"/>
        <item sd="0" x="7"/>
        <item sd="0" x="11"/>
        <item sd="0" m="1" x="49"/>
        <item sd="0" m="1" x="60"/>
        <item sd="0" x="29"/>
        <item sd="0" x="41"/>
        <item sd="0" x="14"/>
        <item sd="0" x="45"/>
        <item sd="0" x="44"/>
        <item sd="0" x="4"/>
        <item sd="0" x="32"/>
        <item sd="0" x="16"/>
        <item sd="0" x="15"/>
        <item sd="0" x="12"/>
        <item sd="0" x="46"/>
        <item sd="0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items count="8">
        <item x="6"/>
        <item x="2"/>
        <item x="5"/>
        <item x="1"/>
        <item m="1" x="7"/>
        <item x="0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8"/>
    <field x="3"/>
  </rowFields>
  <rowItems count="49">
    <i>
      <x v="2"/>
    </i>
    <i>
      <x v="6"/>
    </i>
    <i>
      <x v="7"/>
    </i>
    <i>
      <x v="8"/>
    </i>
    <i>
      <x v="9"/>
    </i>
    <i>
      <x v="11"/>
    </i>
    <i>
      <x v="12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9"/>
    </i>
    <i>
      <x v="40"/>
    </i>
    <i>
      <x v="41"/>
    </i>
    <i>
      <x v="42"/>
    </i>
    <i>
      <x v="44"/>
    </i>
    <i>
      <x v="45"/>
    </i>
    <i>
      <x v="46"/>
    </i>
    <i>
      <x v="47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 t="grand">
      <x/>
    </i>
  </rowItems>
  <colItems count="1">
    <i/>
  </colItems>
  <dataFields count="1">
    <dataField name="Soma de VALOR ARBITRADO" fld="14" baseField="0" baseItem="0" numFmtId="166"/>
  </dataFields>
  <formats count="41"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8" type="button" dataOnly="0" labelOnly="1" outline="0" axis="axisRow" fieldPosition="0"/>
    </format>
    <format dxfId="82">
      <pivotArea dataOnly="0" labelOnly="1" fieldPosition="0">
        <references count="1">
          <reference field="8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1">
      <pivotArea dataOnly="0" labelOnly="1" fieldPosition="0">
        <references count="1">
          <reference field="8" count="11">
            <x v="50"/>
            <x v="51"/>
            <x v="52"/>
            <x v="53"/>
            <x v="54"/>
            <x v="55"/>
            <x v="56"/>
            <x v="57"/>
            <x v="58"/>
            <x v="59"/>
            <x v="60"/>
          </reference>
        </references>
      </pivotArea>
    </format>
    <format dxfId="80">
      <pivotArea dataOnly="0" labelOnly="1" grandRow="1" outline="0" fieldPosition="0"/>
    </format>
    <format dxfId="79">
      <pivotArea dataOnly="0" labelOnly="1" outline="0" axis="axisValues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8" type="button" dataOnly="0" labelOnly="1" outline="0" axis="axisRow" fieldPosition="0"/>
    </format>
    <format dxfId="75">
      <pivotArea dataOnly="0" labelOnly="1" fieldPosition="0">
        <references count="1">
          <reference field="8" count="5">
            <x v="2"/>
            <x v="19"/>
            <x v="26"/>
            <x v="50"/>
            <x v="56"/>
          </reference>
        </references>
      </pivotArea>
    </format>
    <format dxfId="74">
      <pivotArea dataOnly="0" labelOnly="1" grandRow="1" outline="0" fieldPosition="0"/>
    </format>
    <format dxfId="73">
      <pivotArea dataOnly="0" labelOnly="1" outline="0" axis="axisValues" fieldPosition="0"/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8" type="button" dataOnly="0" labelOnly="1" outline="0" axis="axisRow" fieldPosition="0"/>
    </format>
    <format dxfId="69">
      <pivotArea field="10" type="button" dataOnly="0" labelOnly="1" outline="0"/>
    </format>
    <format dxfId="68">
      <pivotArea dataOnly="0" labelOnly="1" outline="0" fieldPosition="0">
        <references count="1">
          <reference field="8" count="33">
            <x v="0"/>
            <x v="2"/>
            <x v="5"/>
            <x v="6"/>
            <x v="7"/>
            <x v="12"/>
            <x v="14"/>
            <x v="17"/>
            <x v="18"/>
            <x v="19"/>
            <x v="21"/>
            <x v="24"/>
            <x v="25"/>
            <x v="26"/>
            <x v="28"/>
            <x v="30"/>
            <x v="32"/>
            <x v="33"/>
            <x v="36"/>
            <x v="37"/>
            <x v="40"/>
            <x v="41"/>
            <x v="47"/>
            <x v="48"/>
            <x v="49"/>
            <x v="50"/>
            <x v="51"/>
            <x v="53"/>
            <x v="54"/>
            <x v="55"/>
            <x v="56"/>
            <x v="59"/>
            <x v="60"/>
          </reference>
        </references>
      </pivotArea>
    </format>
    <format dxfId="67">
      <pivotArea dataOnly="0" labelOnly="1" grandRow="1" outline="0" fieldPosition="0"/>
    </format>
    <format dxfId="66">
      <pivotArea dataOnly="0" labelOnly="1" outline="0" axis="axisValues" fieldPosition="0"/>
    </format>
    <format dxfId="65">
      <pivotArea dataOnly="0" labelOnly="1" outline="0" axis="axisValues" fieldPosition="0"/>
    </format>
    <format dxfId="64">
      <pivotArea field="10" type="button" dataOnly="0" labelOnly="1" outline="0"/>
    </format>
    <format dxfId="63">
      <pivotArea field="8" type="button" dataOnly="0" labelOnly="1" outline="0" axis="axisRow" fieldPosition="0"/>
    </format>
    <format dxfId="62">
      <pivotArea field="10" type="button" dataOnly="0" labelOnly="1" outline="0"/>
    </format>
    <format dxfId="61">
      <pivotArea dataOnly="0" labelOnly="1" outline="0" axis="axisValues" fieldPosition="0"/>
    </format>
    <format dxfId="60">
      <pivotArea dataOnly="0" labelOnly="1" outline="0" fieldPosition="0">
        <references count="1">
          <reference field="8" count="1">
            <x v="16"/>
          </reference>
        </references>
      </pivotArea>
    </format>
    <format dxfId="59">
      <pivotArea dataOnly="0" labelOnly="1" outline="0" fieldPosition="0">
        <references count="1">
          <reference field="8" count="1">
            <x v="16"/>
          </reference>
        </references>
      </pivotArea>
    </format>
    <format dxfId="58">
      <pivotArea dataOnly="0" labelOnly="1" fieldPosition="0">
        <references count="1">
          <reference field="8" count="0"/>
        </references>
      </pivotArea>
    </format>
    <format dxfId="57">
      <pivotArea field="8" type="button" dataOnly="0" labelOnly="1" outline="0" axis="axisRow" fieldPosition="0"/>
    </format>
    <format dxfId="56">
      <pivotArea field="3" type="button" dataOnly="0" labelOnly="1" outline="0" axis="axisRow" fieldPosition="1"/>
    </format>
    <format dxfId="55">
      <pivotArea dataOnly="0" labelOnly="1" outline="0" axis="axisValues" fieldPosition="0"/>
    </format>
    <format dxfId="54">
      <pivotArea field="8" type="button" dataOnly="0" labelOnly="1" outline="0" axis="axisRow" fieldPosition="0"/>
    </format>
    <format dxfId="53">
      <pivotArea field="3" type="button" dataOnly="0" labelOnly="1" outline="0" axis="axisRow" fieldPosition="1"/>
    </format>
    <format dxfId="52">
      <pivotArea dataOnly="0" labelOnly="1" outline="0" axis="axisValues" fieldPosition="0"/>
    </format>
    <format dxfId="51">
      <pivotArea field="3" type="button" dataOnly="0" labelOnly="1" outline="0" axis="axisRow" fieldPosition="1"/>
    </format>
    <format dxfId="50">
      <pivotArea field="3" type="button" dataOnly="0" labelOnly="1" outline="0" axis="axisRow" fieldPosition="1"/>
    </format>
    <format dxfId="49">
      <pivotArea field="3" type="button" dataOnly="0" labelOnly="1" outline="0" axis="axisRow" fieldPosition="1"/>
    </format>
    <format dxfId="48">
      <pivotArea field="8" type="button" dataOnly="0" labelOnly="1" outline="0" axis="axisRow" fieldPosition="0"/>
    </format>
    <format dxfId="47">
      <pivotArea field="3" type="button" dataOnly="0" labelOnly="1" outline="0" axis="axisRow" fieldPosition="1"/>
    </format>
    <format dxfId="46">
      <pivotArea dataOnly="0" labelOnly="1" outline="0" axis="axisValues" fieldPosition="0"/>
    </format>
    <format dxfId="45">
      <pivotArea outline="0" fieldPosition="0">
        <references count="1">
          <reference field="4294967294" count="1">
            <x v="0"/>
          </reference>
        </references>
      </pivotArea>
    </format>
  </formats>
  <chartFormats count="5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59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3" format="38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3" format="39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3" format="40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3" format="41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3" format="42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3" format="43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3" format="44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3" format="45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3" format="46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3" format="47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3" format="48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3" format="49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3" format="50">
      <pivotArea type="data" outline="0" fieldPosition="0">
        <references count="2">
          <reference field="4294967294" count="1" selected="0">
            <x v="0"/>
          </reference>
          <reference field="8" count="1" selected="0">
            <x v="60"/>
          </reference>
        </references>
      </pivotArea>
    </chartFormat>
    <chartFormat chart="3" format="51">
      <pivotArea type="data" outline="0" fieldPosition="0">
        <references count="2">
          <reference field="4294967294" count="1" selected="0">
            <x v="0"/>
          </reference>
          <reference field="8" count="1" selected="0">
            <x v="61"/>
          </reference>
        </references>
      </pivotArea>
    </chartFormat>
  </chartFormats>
  <pivotTableStyleInfo name="PivotStyleDark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JUÍZO" sourceName="JUÍZO">
  <pivotTables>
    <pivotTable tabId="8" name="Tabela dinâmica3"/>
  </pivotTables>
  <data>
    <tabular pivotCacheId="1030623230">
      <items count="78">
        <i x="8" s="1"/>
        <i x="37" s="1"/>
        <i x="35" s="1"/>
        <i x="5" s="1"/>
        <i x="39" s="1"/>
        <i x="17" s="1"/>
        <i x="36" s="1"/>
        <i x="32" s="1"/>
        <i x="12" s="1"/>
        <i x="38" s="1"/>
        <i x="29" s="1"/>
        <i x="7" s="1"/>
        <i x="2" s="1"/>
        <i x="16" s="1"/>
        <i x="14" s="1"/>
        <i x="10" s="1"/>
        <i x="40" s="1"/>
        <i x="28" s="1"/>
        <i x="21" s="1"/>
        <i x="23" s="1"/>
        <i x="20" s="1"/>
        <i x="4" s="1"/>
        <i x="19" s="1"/>
        <i x="30" s="1"/>
        <i x="22" s="1"/>
        <i x="1" s="1"/>
        <i x="0" s="1"/>
        <i x="33" s="1"/>
        <i x="15" s="1"/>
        <i x="24" s="1"/>
        <i x="9" s="1"/>
        <i x="18" s="1"/>
        <i x="34" s="1"/>
        <i x="11" s="1"/>
        <i x="31" s="1"/>
        <i x="13" s="1"/>
        <i x="25" s="1"/>
        <i x="27" s="1"/>
        <i x="41" s="1"/>
        <i x="26" s="1"/>
        <i x="6" s="1"/>
        <i x="3" s="1"/>
        <i x="63" s="1" nd="1"/>
        <i x="57" s="1" nd="1"/>
        <i x="50" s="1" nd="1"/>
        <i x="42" s="1" nd="1"/>
        <i x="77" s="1" nd="1"/>
        <i x="72" s="1" nd="1"/>
        <i x="45" s="1" nd="1"/>
        <i x="44" s="1" nd="1"/>
        <i x="60" s="1" nd="1"/>
        <i x="54" s="1" nd="1"/>
        <i x="74" s="1" nd="1"/>
        <i x="71" s="1" nd="1"/>
        <i x="69" s="1" nd="1"/>
        <i x="73" s="1" nd="1"/>
        <i x="52" s="1" nd="1"/>
        <i x="65" s="1" nd="1"/>
        <i x="55" s="1" nd="1"/>
        <i x="67" s="1" nd="1"/>
        <i x="66" s="1" nd="1"/>
        <i x="43" s="1" nd="1"/>
        <i x="46" s="1" nd="1"/>
        <i x="59" s="1" nd="1"/>
        <i x="75" s="1" nd="1"/>
        <i x="70" s="1" nd="1"/>
        <i x="58" s="1" nd="1"/>
        <i x="51" s="1" nd="1"/>
        <i x="47" s="1" nd="1"/>
        <i x="48" s="1" nd="1"/>
        <i x="53" s="1" nd="1"/>
        <i x="76" s="1" nd="1"/>
        <i x="68" s="1" nd="1"/>
        <i x="62" s="1" nd="1"/>
        <i x="56" s="1" nd="1"/>
        <i x="64" s="1" nd="1"/>
        <i x="49" s="1" nd="1"/>
        <i x="6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ESPECIALIDADE" sourceName="ESPECIALIDADE">
  <pivotTables>
    <pivotTable tabId="8" name="Tabela dinâmica3"/>
  </pivotTables>
  <data>
    <tabular pivotCacheId="1030623230">
      <items count="8">
        <i x="6" s="1"/>
        <i x="2" s="1"/>
        <i x="5" s="1"/>
        <i x="1" s="1"/>
        <i x="0" s="1"/>
        <i x="4" s="1"/>
        <i x="3" s="1"/>
        <i x="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ESPECIALIDADE1" sourceName="ESPECIALIDADE">
  <pivotTables>
    <pivotTable tabId="13" name="Tabela dinâmica5"/>
  </pivotTables>
  <data>
    <tabular pivotCacheId="1030623230">
      <items count="8">
        <i x="6" s="1"/>
        <i x="2" s="1"/>
        <i x="5" s="1"/>
        <i x="1" s="1"/>
        <i x="0" s="1"/>
        <i x="4" s="1"/>
        <i x="3" s="1"/>
        <i x="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PERITO1" sourceName="PERITO">
  <pivotTables>
    <pivotTable tabId="8" name="Tabela dinâmica3"/>
  </pivotTables>
  <data>
    <tabular pivotCacheId="1030623230">
      <items count="62">
        <i x="39" s="1"/>
        <i x="8" s="1"/>
        <i x="28" s="1"/>
        <i x="40" s="1"/>
        <i x="24" s="1"/>
        <i x="6" s="1"/>
        <i x="47" s="1"/>
        <i x="42" s="1"/>
        <i x="35" s="1"/>
        <i x="5" s="1"/>
        <i x="2" s="1"/>
        <i x="30" s="1"/>
        <i x="43" s="1"/>
        <i x="34" s="1"/>
        <i x="0" s="1"/>
        <i x="21" s="1"/>
        <i x="25" s="1"/>
        <i x="20" s="1"/>
        <i x="10" s="1"/>
        <i x="3" s="1"/>
        <i x="1" s="1"/>
        <i x="19" s="1"/>
        <i x="26" s="1"/>
        <i x="22" s="1"/>
        <i x="9" s="1"/>
        <i x="17" s="1"/>
        <i x="37" s="1"/>
        <i x="23" s="1"/>
        <i x="13" s="1"/>
        <i x="18" s="1"/>
        <i x="27" s="1"/>
        <i x="36" s="1"/>
        <i x="31" s="1"/>
        <i x="33" s="1"/>
        <i x="38" s="1"/>
        <i x="7" s="1"/>
        <i x="11" s="1"/>
        <i x="29" s="1"/>
        <i x="41" s="1"/>
        <i x="14" s="1"/>
        <i x="45" s="1"/>
        <i x="44" s="1"/>
        <i x="4" s="1"/>
        <i x="32" s="1"/>
        <i x="16" s="1"/>
        <i x="15" s="1"/>
        <i x="12" s="1"/>
        <i x="46" s="1"/>
        <i x="58" s="1" nd="1"/>
        <i x="61" s="1" nd="1"/>
        <i x="59" s="1" nd="1"/>
        <i x="50" s="1" nd="1"/>
        <i x="51" s="1" nd="1"/>
        <i x="56" s="1" nd="1"/>
        <i x="48" s="1" nd="1"/>
        <i x="57" s="1" nd="1"/>
        <i x="53" s="1" nd="1"/>
        <i x="55" s="1" nd="1"/>
        <i x="54" s="1" nd="1"/>
        <i x="52" s="1" nd="1"/>
        <i x="49" s="1" nd="1"/>
        <i x="60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JUÍZO1" sourceName="JUÍZO">
  <pivotTables>
    <pivotTable tabId="13" name="Tabela dinâmica5"/>
  </pivotTables>
  <data>
    <tabular pivotCacheId="1030623230">
      <items count="78">
        <i x="8" s="1"/>
        <i x="37" s="1"/>
        <i x="35" s="1"/>
        <i x="5" s="1"/>
        <i x="39" s="1"/>
        <i x="17" s="1"/>
        <i x="36" s="1"/>
        <i x="32" s="1"/>
        <i x="12" s="1"/>
        <i x="38" s="1"/>
        <i x="29" s="1"/>
        <i x="7" s="1"/>
        <i x="2" s="1"/>
        <i x="16" s="1"/>
        <i x="14" s="1"/>
        <i x="10" s="1"/>
        <i x="40" s="1"/>
        <i x="28" s="1"/>
        <i x="21" s="1"/>
        <i x="23" s="1"/>
        <i x="20" s="1"/>
        <i x="4" s="1"/>
        <i x="19" s="1"/>
        <i x="30" s="1"/>
        <i x="22" s="1"/>
        <i x="1" s="1"/>
        <i x="0" s="1"/>
        <i x="33" s="1"/>
        <i x="15" s="1"/>
        <i x="24" s="1"/>
        <i x="9" s="1"/>
        <i x="18" s="1"/>
        <i x="34" s="1"/>
        <i x="11" s="1"/>
        <i x="31" s="1"/>
        <i x="13" s="1"/>
        <i x="25" s="1"/>
        <i x="27" s="1"/>
        <i x="41" s="1"/>
        <i x="26" s="1"/>
        <i x="6" s="1"/>
        <i x="3" s="1"/>
        <i x="63" s="1" nd="1"/>
        <i x="57" s="1" nd="1"/>
        <i x="50" s="1" nd="1"/>
        <i x="42" s="1" nd="1"/>
        <i x="77" s="1" nd="1"/>
        <i x="72" s="1" nd="1"/>
        <i x="45" s="1" nd="1"/>
        <i x="44" s="1" nd="1"/>
        <i x="60" s="1" nd="1"/>
        <i x="54" s="1" nd="1"/>
        <i x="74" s="1" nd="1"/>
        <i x="71" s="1" nd="1"/>
        <i x="69" s="1" nd="1"/>
        <i x="73" s="1" nd="1"/>
        <i x="52" s="1" nd="1"/>
        <i x="65" s="1" nd="1"/>
        <i x="55" s="1" nd="1"/>
        <i x="67" s="1" nd="1"/>
        <i x="66" s="1" nd="1"/>
        <i x="43" s="1" nd="1"/>
        <i x="46" s="1" nd="1"/>
        <i x="59" s="1" nd="1"/>
        <i x="75" s="1" nd="1"/>
        <i x="70" s="1" nd="1"/>
        <i x="58" s="1" nd="1"/>
        <i x="51" s="1" nd="1"/>
        <i x="47" s="1" nd="1"/>
        <i x="48" s="1" nd="1"/>
        <i x="53" s="1" nd="1"/>
        <i x="76" s="1" nd="1"/>
        <i x="68" s="1" nd="1"/>
        <i x="62" s="1" nd="1"/>
        <i x="56" s="1" nd="1"/>
        <i x="64" s="1" nd="1"/>
        <i x="49" s="1" nd="1"/>
        <i x="6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COMARCA" sourceName="COMARCA">
  <pivotTables>
    <pivotTable tabId="13" name="Tabela dinâmica5"/>
  </pivotTables>
  <data>
    <tabular pivotCacheId="1030623230">
      <items count="26">
        <i x="10" s="1"/>
        <i x="13" s="1"/>
        <i x="12" s="1"/>
        <i x="8" s="1"/>
        <i x="4" s="1"/>
        <i x="11" s="1"/>
        <i x="7" s="1"/>
        <i x="17" s="1"/>
        <i x="9" s="1"/>
        <i x="1" s="1"/>
        <i x="16" s="1"/>
        <i x="15" s="1"/>
        <i x="6" s="1"/>
        <i x="2" s="1"/>
        <i x="18" s="1"/>
        <i x="14" s="1"/>
        <i x="5" s="1"/>
        <i x="0" s="1"/>
        <i x="3" s="1"/>
        <i x="20" s="1" nd="1"/>
        <i x="22" s="1" nd="1"/>
        <i x="19" s="1" nd="1"/>
        <i x="24" s="1" nd="1"/>
        <i x="25" s="1" nd="1"/>
        <i x="21" s="1" nd="1"/>
        <i x="2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JUÍZO2" sourceName="JUÍZO">
  <pivotTables>
    <pivotTable tabId="14" name="Tabela dinâmica1"/>
  </pivotTables>
  <data>
    <tabular pivotCacheId="571435145">
      <items count="88">
        <i x="35" s="1"/>
        <i x="73" s="1"/>
        <i x="33" s="1"/>
        <i x="47" s="1"/>
        <i x="43" s="1"/>
        <i x="61" s="1"/>
        <i x="5" s="1"/>
        <i x="37" s="1"/>
        <i x="74" s="1"/>
        <i x="58" s="1"/>
        <i x="16" s="1"/>
        <i x="54" s="1"/>
        <i x="62" s="1"/>
        <i x="56" s="1"/>
        <i x="57" s="1"/>
        <i x="34" s="1"/>
        <i x="55" s="1"/>
        <i x="64" s="1"/>
        <i x="49" s="1"/>
        <i x="31" s="1"/>
        <i x="42" s="1"/>
        <i x="52" s="1"/>
        <i x="11" s="1"/>
        <i x="36" s="1"/>
        <i x="76" s="1"/>
        <i x="63" s="1"/>
        <i x="28" s="1"/>
        <i x="7" s="1"/>
        <i x="2" s="1"/>
        <i x="77" s="1"/>
        <i x="15" s="1"/>
        <i x="60" s="1"/>
        <i x="68" s="1"/>
        <i x="13" s="1"/>
        <i x="9" s="1"/>
        <i x="38" s="1"/>
        <i x="27" s="1"/>
        <i x="40" s="1"/>
        <i x="20" s="1"/>
        <i x="22" s="1"/>
        <i x="53" s="1"/>
        <i x="19" s="1"/>
        <i x="41" s="1"/>
        <i x="45" s="1"/>
        <i x="4" s="1"/>
        <i x="18" s="1"/>
        <i x="48" s="1"/>
        <i x="65" s="1"/>
        <i x="72" s="1"/>
        <i x="29" s="1"/>
        <i x="21" s="1"/>
        <i x="1" s="1"/>
        <i x="0" s="1"/>
        <i x="46" s="1"/>
        <i x="71" s="1"/>
        <i x="14" s="1"/>
        <i x="23" s="1"/>
        <i x="8" s="1"/>
        <i x="17" s="1"/>
        <i x="32" s="1"/>
        <i x="10" s="1"/>
        <i x="30" s="1"/>
        <i x="12" s="1"/>
        <i x="69" s="1"/>
        <i x="50" s="1"/>
        <i x="44" s="1"/>
        <i x="24" s="1"/>
        <i x="79" s="1"/>
        <i x="70" s="1"/>
        <i x="59" s="1"/>
        <i x="66" s="1"/>
        <i x="26" s="1"/>
        <i x="75" s="1"/>
        <i x="78" s="1"/>
        <i x="51" s="1"/>
        <i x="39" s="1"/>
        <i x="25" s="1"/>
        <i x="6" s="1"/>
        <i x="3" s="1"/>
        <i x="86" s="1" nd="1"/>
        <i x="80" s="1" nd="1"/>
        <i x="87" s="1" nd="1"/>
        <i x="82" s="1" nd="1"/>
        <i x="84" s="1" nd="1"/>
        <i x="81" s="1" nd="1"/>
        <i x="83" s="1" nd="1"/>
        <i x="85" s="1" nd="1"/>
        <i x="6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COMARCA1" sourceName="COMARCA">
  <pivotTables>
    <pivotTable tabId="14" name="Tabela dinâmica1"/>
  </pivotTables>
  <data>
    <tabular pivotCacheId="571435145">
      <items count="37">
        <i x="31" s="1"/>
        <i x="29" s="1"/>
        <i x="21" s="1"/>
        <i x="19" s="1"/>
        <i x="10" s="1"/>
        <i x="13" s="1"/>
        <i x="12" s="1"/>
        <i x="8" s="1"/>
        <i x="4" s="1"/>
        <i x="23" s="1"/>
        <i x="35" s="1"/>
        <i x="30" s="1"/>
        <i x="25" s="1"/>
        <i x="11" s="1"/>
        <i x="7" s="1"/>
        <i x="17" s="1"/>
        <i x="9" s="1"/>
        <i x="24" s="1"/>
        <i x="1" s="1"/>
        <i x="26" s="1"/>
        <i x="16" s="1"/>
        <i x="27" s="1"/>
        <i x="15" s="1"/>
        <i x="6" s="1"/>
        <i x="32" s="1"/>
        <i x="2" s="1"/>
        <i x="34" s="1"/>
        <i x="22" s="1"/>
        <i x="20" s="1"/>
        <i x="18" s="1"/>
        <i x="33" s="1"/>
        <i x="14" s="1"/>
        <i x="5" s="1"/>
        <i x="0" s="1"/>
        <i x="3" s="1"/>
        <i x="36" s="1" nd="1"/>
        <i x="2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PERITO2" sourceName="PERITO">
  <pivotTables>
    <pivotTable tabId="14" name="Tabela dinâmica1"/>
  </pivotTables>
  <data>
    <tabular pivotCacheId="571435145">
      <items count="158">
        <i x="8" s="1"/>
        <i x="28" s="1"/>
        <i x="122" s="1"/>
        <i x="40" s="1"/>
        <i x="51" s="1"/>
        <i x="119" s="1"/>
        <i x="99" s="1"/>
        <i x="72" s="1"/>
        <i x="24" s="1"/>
        <i x="66" s="1"/>
        <i x="6" s="1"/>
        <i x="47" s="1"/>
        <i x="77" s="1"/>
        <i x="59" s="1"/>
        <i x="90" s="1"/>
        <i x="42" s="1"/>
        <i x="105" s="1"/>
        <i x="93" s="1"/>
        <i x="35" s="1"/>
        <i x="61" s="1"/>
        <i x="53" s="1"/>
        <i x="137" s="1"/>
        <i x="5" s="1"/>
        <i x="2" s="1"/>
        <i x="69" s="1"/>
        <i x="126" s="1"/>
        <i x="91" s="1"/>
        <i x="106" s="1"/>
        <i x="138" s="1"/>
        <i x="30" s="1"/>
        <i x="62" s="1"/>
        <i x="78" s="1"/>
        <i x="43" s="1"/>
        <i x="34" s="1"/>
        <i x="0" s="1"/>
        <i x="67" s="1"/>
        <i x="101" s="1"/>
        <i x="108" s="1"/>
        <i x="21" s="1"/>
        <i x="85" s="1"/>
        <i x="56" s="1"/>
        <i x="25" s="1"/>
        <i x="73" s="1"/>
        <i x="20" s="1"/>
        <i x="10" s="1"/>
        <i x="113" s="1"/>
        <i x="64" s="1"/>
        <i x="3" s="1"/>
        <i x="140" s="1"/>
        <i x="70" s="1"/>
        <i x="136" s="1"/>
        <i x="94" s="1"/>
        <i x="39" s="1"/>
        <i x="125" s="1"/>
        <i x="1" s="1"/>
        <i x="127" s="1"/>
        <i x="98" s="1"/>
        <i x="117" s="1"/>
        <i x="83" s="1"/>
        <i x="76" s="1"/>
        <i x="129" s="1"/>
        <i x="114" s="1"/>
        <i x="104" s="1"/>
        <i x="19" s="1"/>
        <i x="131" s="1"/>
        <i x="121" s="1"/>
        <i x="26" s="1"/>
        <i x="22" s="1"/>
        <i x="55" s="1"/>
        <i x="50" s="1"/>
        <i x="96" s="1"/>
        <i x="132" s="1"/>
        <i x="9" s="1"/>
        <i x="17" s="1"/>
        <i x="37" s="1"/>
        <i x="80" s="1"/>
        <i x="52" s="1"/>
        <i x="23" s="1"/>
        <i x="116" s="1"/>
        <i x="63" s="1"/>
        <i x="118" s="1"/>
        <i x="13" s="1"/>
        <i x="18" s="1"/>
        <i x="134" s="1"/>
        <i x="27" s="1"/>
        <i x="79" s="1"/>
        <i x="36" s="1"/>
        <i x="48" s="1"/>
        <i x="74" s="1"/>
        <i x="88" s="1"/>
        <i x="71" s="1"/>
        <i x="139" s="1"/>
        <i x="135" s="1"/>
        <i x="112" s="1"/>
        <i x="54" s="1"/>
        <i x="107" s="1"/>
        <i x="87" s="1"/>
        <i x="57" s="1"/>
        <i x="31" s="1"/>
        <i x="68" s="1"/>
        <i x="103" s="1"/>
        <i x="110" s="1"/>
        <i x="120" s="1"/>
        <i x="33" s="1"/>
        <i x="38" s="1"/>
        <i x="75" s="1"/>
        <i x="95" s="1"/>
        <i x="7" s="1"/>
        <i x="58" s="1"/>
        <i x="11" s="1"/>
        <i x="81" s="1"/>
        <i x="49" s="1"/>
        <i x="92" s="1"/>
        <i x="29" s="1"/>
        <i x="41" s="1"/>
        <i x="84" s="1"/>
        <i x="14" s="1"/>
        <i x="45" s="1"/>
        <i x="124" s="1"/>
        <i x="65" s="1"/>
        <i x="100" s="1"/>
        <i x="123" s="1"/>
        <i x="44" s="1"/>
        <i x="130" s="1"/>
        <i x="128" s="1"/>
        <i x="109" s="1"/>
        <i x="82" s="1"/>
        <i x="97" s="1"/>
        <i x="102" s="1"/>
        <i x="4" s="1"/>
        <i x="89" s="1"/>
        <i x="60" s="1"/>
        <i x="86" s="1"/>
        <i x="32" s="1"/>
        <i x="16" s="1"/>
        <i x="15" s="1"/>
        <i x="111" s="1"/>
        <i x="12" s="1"/>
        <i x="133" s="1"/>
        <i x="46" s="1"/>
        <i x="152" s="1" nd="1"/>
        <i x="156" s="1" nd="1"/>
        <i x="149" s="1" nd="1"/>
        <i x="148" s="1" nd="1"/>
        <i x="147" s="1" nd="1"/>
        <i x="155" s="1" nd="1"/>
        <i x="144" s="1" nd="1"/>
        <i x="146" s="1" nd="1"/>
        <i x="150" s="1" nd="1"/>
        <i x="157" s="1" nd="1"/>
        <i x="151" s="1" nd="1"/>
        <i x="141" s="1" nd="1"/>
        <i x="153" s="1" nd="1"/>
        <i x="154" s="1" nd="1"/>
        <i x="145" s="1" nd="1"/>
        <i x="143" s="1" nd="1"/>
        <i x="142" s="1" nd="1"/>
        <i x="11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ESPECIALIDADE2" sourceName="ESPECIALIDADE">
  <pivotTables>
    <pivotTable tabId="14" name="Tabela dinâmica1"/>
  </pivotTables>
  <data>
    <tabular pivotCacheId="571435145">
      <items count="11">
        <i x="6" s="1"/>
        <i x="2" s="1"/>
        <i x="5" s="1"/>
        <i x="1" s="1"/>
        <i x="0" s="1"/>
        <i x="7" s="1"/>
        <i x="4" s="1"/>
        <i x="3" s="1"/>
        <i x="10" s="1" nd="1"/>
        <i x="9" s="1" nd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COMARCA2" sourceName="COMARCA">
  <pivotTables>
    <pivotTable tabId="8" name="Tabela dinâmica3"/>
  </pivotTables>
  <data>
    <tabular pivotCacheId="1030623230">
      <items count="26">
        <i x="10" s="1"/>
        <i x="13" s="1"/>
        <i x="12" s="1"/>
        <i x="8" s="1"/>
        <i x="4" s="1"/>
        <i x="11" s="1"/>
        <i x="7" s="1"/>
        <i x="17" s="1"/>
        <i x="9" s="1"/>
        <i x="1" s="1"/>
        <i x="16" s="1"/>
        <i x="15" s="1"/>
        <i x="6" s="1"/>
        <i x="2" s="1"/>
        <i x="18" s="1"/>
        <i x="14" s="1"/>
        <i x="5" s="1"/>
        <i x="0" s="1"/>
        <i x="3" s="1"/>
        <i x="20" s="1" nd="1"/>
        <i x="22" s="1" nd="1"/>
        <i x="19" s="1" nd="1"/>
        <i x="24" s="1" nd="1"/>
        <i x="25" s="1" nd="1"/>
        <i x="21" s="1" nd="1"/>
        <i x="2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PERITO3" sourceName="PERITO">
  <pivotTables>
    <pivotTable tabId="16" name="Tabela dinâmica2"/>
  </pivotTables>
  <data>
    <tabular pivotCacheId="571435145">
      <items count="158">
        <i x="8" s="1"/>
        <i x="28" s="1"/>
        <i x="122" s="1"/>
        <i x="40" s="1"/>
        <i x="51" s="1"/>
        <i x="119" s="1"/>
        <i x="99" s="1"/>
        <i x="72" s="1"/>
        <i x="24" s="1"/>
        <i x="66" s="1"/>
        <i x="6" s="1"/>
        <i x="47" s="1"/>
        <i x="77" s="1"/>
        <i x="59" s="1"/>
        <i x="90" s="1"/>
        <i x="42" s="1"/>
        <i x="105" s="1"/>
        <i x="93" s="1"/>
        <i x="35" s="1"/>
        <i x="61" s="1"/>
        <i x="53" s="1"/>
        <i x="137" s="1"/>
        <i x="5" s="1"/>
        <i x="2" s="1"/>
        <i x="69" s="1"/>
        <i x="126" s="1"/>
        <i x="91" s="1"/>
        <i x="106" s="1"/>
        <i x="138" s="1"/>
        <i x="30" s="1"/>
        <i x="62" s="1"/>
        <i x="78" s="1"/>
        <i x="43" s="1"/>
        <i x="34" s="1"/>
        <i x="0" s="1"/>
        <i x="67" s="1"/>
        <i x="101" s="1"/>
        <i x="108" s="1"/>
        <i x="21" s="1"/>
        <i x="85" s="1"/>
        <i x="56" s="1"/>
        <i x="25" s="1"/>
        <i x="73" s="1"/>
        <i x="20" s="1"/>
        <i x="10" s="1"/>
        <i x="113" s="1"/>
        <i x="64" s="1"/>
        <i x="3" s="1"/>
        <i x="140" s="1"/>
        <i x="70" s="1"/>
        <i x="136" s="1"/>
        <i x="94" s="1"/>
        <i x="39" s="1"/>
        <i x="125" s="1"/>
        <i x="1" s="1"/>
        <i x="127" s="1"/>
        <i x="98" s="1"/>
        <i x="117" s="1"/>
        <i x="83" s="1"/>
        <i x="76" s="1"/>
        <i x="129" s="1"/>
        <i x="114" s="1"/>
        <i x="104" s="1"/>
        <i x="19" s="1"/>
        <i x="131" s="1"/>
        <i x="121" s="1"/>
        <i x="26" s="1"/>
        <i x="22" s="1"/>
        <i x="55" s="1"/>
        <i x="50" s="1"/>
        <i x="96" s="1"/>
        <i x="132" s="1"/>
        <i x="9" s="1"/>
        <i x="17" s="1"/>
        <i x="37" s="1"/>
        <i x="80" s="1"/>
        <i x="52" s="1"/>
        <i x="23" s="1"/>
        <i x="116" s="1"/>
        <i x="63" s="1"/>
        <i x="118" s="1"/>
        <i x="13" s="1"/>
        <i x="18" s="1"/>
        <i x="134" s="1"/>
        <i x="27" s="1"/>
        <i x="79" s="1"/>
        <i x="36" s="1"/>
        <i x="48" s="1"/>
        <i x="74" s="1"/>
        <i x="88" s="1"/>
        <i x="71" s="1"/>
        <i x="139" s="1"/>
        <i x="135" s="1"/>
        <i x="112" s="1"/>
        <i x="54" s="1"/>
        <i x="107" s="1"/>
        <i x="87" s="1"/>
        <i x="57" s="1"/>
        <i x="31" s="1"/>
        <i x="68" s="1"/>
        <i x="103" s="1"/>
        <i x="110" s="1"/>
        <i x="120" s="1"/>
        <i x="33" s="1"/>
        <i x="38" s="1"/>
        <i x="75" s="1"/>
        <i x="95" s="1"/>
        <i x="7" s="1"/>
        <i x="58" s="1"/>
        <i x="11" s="1"/>
        <i x="81" s="1"/>
        <i x="49" s="1"/>
        <i x="92" s="1"/>
        <i x="29" s="1"/>
        <i x="41" s="1"/>
        <i x="84" s="1"/>
        <i x="14" s="1"/>
        <i x="45" s="1"/>
        <i x="124" s="1"/>
        <i x="65" s="1"/>
        <i x="100" s="1"/>
        <i x="123" s="1"/>
        <i x="44" s="1"/>
        <i x="130" s="1"/>
        <i x="128" s="1"/>
        <i x="109" s="1"/>
        <i x="82" s="1"/>
        <i x="97" s="1"/>
        <i x="102" s="1"/>
        <i x="4" s="1"/>
        <i x="89" s="1"/>
        <i x="60" s="1"/>
        <i x="86" s="1"/>
        <i x="32" s="1"/>
        <i x="16" s="1"/>
        <i x="15" s="1"/>
        <i x="111" s="1"/>
        <i x="12" s="1"/>
        <i x="133" s="1"/>
        <i x="46" s="1"/>
        <i x="152" s="1" nd="1"/>
        <i x="156" s="1" nd="1"/>
        <i x="149" s="1" nd="1"/>
        <i x="148" s="1" nd="1"/>
        <i x="147" s="1" nd="1"/>
        <i x="155" s="1" nd="1"/>
        <i x="144" s="1" nd="1"/>
        <i x="146" s="1" nd="1"/>
        <i x="150" s="1" nd="1"/>
        <i x="157" s="1" nd="1"/>
        <i x="151" s="1" nd="1"/>
        <i x="141" s="1" nd="1"/>
        <i x="153" s="1" nd="1"/>
        <i x="154" s="1" nd="1"/>
        <i x="145" s="1" nd="1"/>
        <i x="143" s="1" nd="1"/>
        <i x="142" s="1" nd="1"/>
        <i x="11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ESPECIALIDADE3" sourceName="ESPECIALIDADE">
  <pivotTables>
    <pivotTable tabId="16" name="Tabela dinâmica2"/>
  </pivotTables>
  <data>
    <tabular pivotCacheId="571435145">
      <items count="11">
        <i x="6" s="1"/>
        <i x="2" s="1"/>
        <i x="5" s="1"/>
        <i x="1" s="1"/>
        <i x="0" s="1"/>
        <i x="7" s="1"/>
        <i x="4" s="1"/>
        <i x="3" s="1"/>
        <i x="10" s="1" nd="1"/>
        <i x="9" s="1" nd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PERITO" sourceName="PERITO">
  <pivotTables>
    <pivotTable tabId="13" name="Tabela dinâmica5"/>
  </pivotTables>
  <data>
    <tabular pivotCacheId="1030623230">
      <items count="62">
        <i x="39" s="1"/>
        <i x="8" s="1"/>
        <i x="28" s="1"/>
        <i x="40" s="1"/>
        <i x="24" s="1"/>
        <i x="6" s="1"/>
        <i x="47" s="1"/>
        <i x="42" s="1"/>
        <i x="35" s="1"/>
        <i x="5" s="1"/>
        <i x="2" s="1"/>
        <i x="30" s="1"/>
        <i x="43" s="1"/>
        <i x="34" s="1"/>
        <i x="0" s="1"/>
        <i x="21" s="1"/>
        <i x="25" s="1"/>
        <i x="20" s="1"/>
        <i x="10" s="1"/>
        <i x="3" s="1"/>
        <i x="1" s="1"/>
        <i x="19" s="1"/>
        <i x="26" s="1"/>
        <i x="22" s="1"/>
        <i x="9" s="1"/>
        <i x="17" s="1"/>
        <i x="37" s="1"/>
        <i x="23" s="1"/>
        <i x="13" s="1"/>
        <i x="18" s="1"/>
        <i x="27" s="1"/>
        <i x="36" s="1"/>
        <i x="31" s="1"/>
        <i x="33" s="1"/>
        <i x="38" s="1"/>
        <i x="7" s="1"/>
        <i x="11" s="1"/>
        <i x="29" s="1"/>
        <i x="41" s="1"/>
        <i x="14" s="1"/>
        <i x="45" s="1"/>
        <i x="44" s="1"/>
        <i x="4" s="1"/>
        <i x="32" s="1"/>
        <i x="16" s="1"/>
        <i x="15" s="1"/>
        <i x="12" s="1"/>
        <i x="46" s="1"/>
        <i x="58" s="1" nd="1"/>
        <i x="61" s="1" nd="1"/>
        <i x="59" s="1" nd="1"/>
        <i x="50" s="1" nd="1"/>
        <i x="51" s="1" nd="1"/>
        <i x="56" s="1" nd="1"/>
        <i x="48" s="1" nd="1"/>
        <i x="57" s="1" nd="1"/>
        <i x="53" s="1" nd="1"/>
        <i x="55" s="1" nd="1"/>
        <i x="54" s="1" nd="1"/>
        <i x="52" s="1" nd="1"/>
        <i x="49" s="1" nd="1"/>
        <i x="6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JUÍZO3" sourceName="JUÍZO">
  <pivotTables>
    <pivotTable tabId="18" name="Tabela dinâmica1"/>
  </pivotTables>
  <data>
    <tabular pivotCacheId="571435145">
      <items count="88">
        <i x="1" s="1"/>
        <i x="86" s="1" nd="1"/>
        <i x="35" s="1" nd="1"/>
        <i x="73" s="1" nd="1"/>
        <i x="33" s="1" nd="1"/>
        <i x="47" s="1" nd="1"/>
        <i x="80" s="1" nd="1"/>
        <i x="43" s="1" nd="1"/>
        <i x="61" s="1" nd="1"/>
        <i x="5" s="1" nd="1"/>
        <i x="37" s="1" nd="1"/>
        <i x="87" s="1" nd="1"/>
        <i x="74" s="1" nd="1"/>
        <i x="58" s="1" nd="1"/>
        <i x="16" s="1" nd="1"/>
        <i x="82" s="1" nd="1"/>
        <i x="54" s="1" nd="1"/>
        <i x="62" s="1" nd="1"/>
        <i x="56" s="1" nd="1"/>
        <i x="57" s="1" nd="1"/>
        <i x="34" s="1" nd="1"/>
        <i x="55" s="1" nd="1"/>
        <i x="64" s="1" nd="1"/>
        <i x="49" s="1" nd="1"/>
        <i x="31" s="1" nd="1"/>
        <i x="42" s="1" nd="1"/>
        <i x="52" s="1" nd="1"/>
        <i x="11" s="1" nd="1"/>
        <i x="36" s="1" nd="1"/>
        <i x="76" s="1" nd="1"/>
        <i x="63" s="1" nd="1"/>
        <i x="28" s="1" nd="1"/>
        <i x="7" s="1" nd="1"/>
        <i x="2" s="1" nd="1"/>
        <i x="77" s="1" nd="1"/>
        <i x="15" s="1" nd="1"/>
        <i x="60" s="1" nd="1"/>
        <i x="68" s="1" nd="1"/>
        <i x="13" s="1" nd="1"/>
        <i x="9" s="1" nd="1"/>
        <i x="38" s="1" nd="1"/>
        <i x="27" s="1" nd="1"/>
        <i x="40" s="1" nd="1"/>
        <i x="20" s="1" nd="1"/>
        <i x="22" s="1" nd="1"/>
        <i x="53" s="1" nd="1"/>
        <i x="19" s="1" nd="1"/>
        <i x="41" s="1" nd="1"/>
        <i x="45" s="1" nd="1"/>
        <i x="4" s="1" nd="1"/>
        <i x="18" s="1" nd="1"/>
        <i x="48" s="1" nd="1"/>
        <i x="65" s="1" nd="1"/>
        <i x="72" s="1" nd="1"/>
        <i x="29" s="1" nd="1"/>
        <i x="21" s="1" nd="1"/>
        <i x="0" s="1" nd="1"/>
        <i x="46" s="1" nd="1"/>
        <i x="84" s="1" nd="1"/>
        <i x="71" s="1" nd="1"/>
        <i x="14" s="1" nd="1"/>
        <i x="23" s="1" nd="1"/>
        <i x="8" s="1" nd="1"/>
        <i x="17" s="1" nd="1"/>
        <i x="32" s="1" nd="1"/>
        <i x="10" s="1" nd="1"/>
        <i x="30" s="1" nd="1"/>
        <i x="12" s="1" nd="1"/>
        <i x="81" s="1" nd="1"/>
        <i x="83" s="1" nd="1"/>
        <i x="69" s="1" nd="1"/>
        <i x="50" s="1" nd="1"/>
        <i x="44" s="1" nd="1"/>
        <i x="24" s="1" nd="1"/>
        <i x="79" s="1" nd="1"/>
        <i x="70" s="1" nd="1"/>
        <i x="59" s="1" nd="1"/>
        <i x="66" s="1" nd="1"/>
        <i x="26" s="1" nd="1"/>
        <i x="75" s="1" nd="1"/>
        <i x="78" s="1" nd="1"/>
        <i x="51" s="1" nd="1"/>
        <i x="39" s="1" nd="1"/>
        <i x="85" s="1" nd="1"/>
        <i x="25" s="1" nd="1"/>
        <i x="6" s="1" nd="1"/>
        <i x="3" s="1" nd="1"/>
        <i x="6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COMARCA4" sourceName="COMARCA">
  <pivotTables>
    <pivotTable tabId="18" name="Tabela dinâmica1"/>
  </pivotTables>
  <data>
    <tabular pivotCacheId="571435145">
      <items count="37">
        <i x="1" s="1"/>
        <i x="31" s="1" nd="1"/>
        <i x="29" s="1" nd="1"/>
        <i x="21" s="1" nd="1"/>
        <i x="19" s="1" nd="1"/>
        <i x="10" s="1" nd="1"/>
        <i x="13" s="1" nd="1"/>
        <i x="12" s="1" nd="1"/>
        <i x="8" s="1" nd="1"/>
        <i x="4" s="1" nd="1"/>
        <i x="23" s="1" nd="1"/>
        <i x="35" s="1" nd="1"/>
        <i x="30" s="1" nd="1"/>
        <i x="25" s="1" nd="1"/>
        <i x="11" s="1" nd="1"/>
        <i x="7" s="1" nd="1"/>
        <i x="17" s="1" nd="1"/>
        <i x="9" s="1" nd="1"/>
        <i x="24" s="1" nd="1"/>
        <i x="26" s="1" nd="1"/>
        <i x="16" s="1" nd="1"/>
        <i x="27" s="1" nd="1"/>
        <i x="15" s="1" nd="1"/>
        <i x="6" s="1" nd="1"/>
        <i x="32" s="1" nd="1"/>
        <i x="2" s="1" nd="1"/>
        <i x="34" s="1" nd="1"/>
        <i x="22" s="1" nd="1"/>
        <i x="20" s="1" nd="1"/>
        <i x="18" s="1" nd="1"/>
        <i x="33" s="1" nd="1"/>
        <i x="36" s="1" nd="1"/>
        <i x="14" s="1" nd="1"/>
        <i x="5" s="1" nd="1"/>
        <i x="0" s="1" nd="1"/>
        <i x="3" s="1" nd="1"/>
        <i x="2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ESPECIALIDADE5" sourceName="ESPECIALIDADE">
  <pivotTables>
    <pivotTable tabId="18" name="Tabela dinâmica1"/>
  </pivotTables>
  <data>
    <tabular pivotCacheId="571435145">
      <items count="11">
        <i x="6"/>
        <i x="2" s="1"/>
        <i x="5"/>
        <i x="1"/>
        <i x="0"/>
        <i x="7"/>
        <i x="4"/>
        <i x="3"/>
        <i x="10" nd="1"/>
        <i x="9" nd="1"/>
        <i x="8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JUÍZO4" sourceName="JUÍZO">
  <pivotTables>
    <pivotTable tabId="19" name="Tabela dinâmica2"/>
  </pivotTables>
  <data>
    <tabular pivotCacheId="571435145">
      <items count="88">
        <i x="35" s="1"/>
        <i x="73" s="1"/>
        <i x="33" s="1"/>
        <i x="47" s="1"/>
        <i x="43" s="1"/>
        <i x="61" s="1"/>
        <i x="5" s="1"/>
        <i x="37" s="1"/>
        <i x="74" s="1"/>
        <i x="58" s="1"/>
        <i x="16" s="1"/>
        <i x="54" s="1"/>
        <i x="62" s="1"/>
        <i x="56" s="1"/>
        <i x="57" s="1"/>
        <i x="34" s="1"/>
        <i x="55" s="1"/>
        <i x="64" s="1"/>
        <i x="49" s="1"/>
        <i x="31" s="1"/>
        <i x="42" s="1"/>
        <i x="52" s="1"/>
        <i x="11" s="1"/>
        <i x="36" s="1"/>
        <i x="76" s="1"/>
        <i x="63" s="1"/>
        <i x="28" s="1"/>
        <i x="7" s="1"/>
        <i x="2" s="1"/>
        <i x="77" s="1"/>
        <i x="15" s="1"/>
        <i x="60" s="1"/>
        <i x="68" s="1"/>
        <i x="13" s="1"/>
        <i x="9" s="1"/>
        <i x="38" s="1"/>
        <i x="27" s="1"/>
        <i x="40" s="1"/>
        <i x="20" s="1"/>
        <i x="22" s="1"/>
        <i x="53" s="1"/>
        <i x="19" s="1"/>
        <i x="41" s="1"/>
        <i x="45" s="1"/>
        <i x="4" s="1"/>
        <i x="18" s="1"/>
        <i x="48" s="1"/>
        <i x="65" s="1"/>
        <i x="72" s="1"/>
        <i x="29" s="1"/>
        <i x="21" s="1"/>
        <i x="1" s="1"/>
        <i x="0" s="1"/>
        <i x="46" s="1"/>
        <i x="71" s="1"/>
        <i x="14" s="1"/>
        <i x="23" s="1"/>
        <i x="8" s="1"/>
        <i x="17" s="1"/>
        <i x="32" s="1"/>
        <i x="10" s="1"/>
        <i x="30" s="1"/>
        <i x="12" s="1"/>
        <i x="69" s="1"/>
        <i x="50" s="1"/>
        <i x="44" s="1"/>
        <i x="24" s="1"/>
        <i x="79" s="1"/>
        <i x="70" s="1"/>
        <i x="59" s="1"/>
        <i x="66" s="1"/>
        <i x="26" s="1"/>
        <i x="75" s="1"/>
        <i x="78" s="1"/>
        <i x="51" s="1"/>
        <i x="39" s="1"/>
        <i x="25" s="1"/>
        <i x="6" s="1"/>
        <i x="3" s="1"/>
        <i x="86" s="1" nd="1"/>
        <i x="80" s="1" nd="1"/>
        <i x="87" s="1" nd="1"/>
        <i x="82" s="1" nd="1"/>
        <i x="84" s="1" nd="1"/>
        <i x="81" s="1" nd="1"/>
        <i x="83" s="1" nd="1"/>
        <i x="85" s="1" nd="1"/>
        <i x="6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PERITO5" sourceName="PERITO">
  <pivotTables>
    <pivotTable tabId="19" name="Tabela dinâmica2"/>
  </pivotTables>
  <data>
    <tabular pivotCacheId="571435145">
      <items count="158">
        <i x="8" s="1"/>
        <i x="28" s="1"/>
        <i x="122" s="1"/>
        <i x="40" s="1"/>
        <i x="51" s="1"/>
        <i x="119" s="1"/>
        <i x="99" s="1"/>
        <i x="72" s="1"/>
        <i x="24" s="1"/>
        <i x="66" s="1"/>
        <i x="6" s="1"/>
        <i x="47" s="1"/>
        <i x="77" s="1"/>
        <i x="59" s="1"/>
        <i x="90" s="1"/>
        <i x="42" s="1"/>
        <i x="105" s="1"/>
        <i x="93" s="1"/>
        <i x="35" s="1"/>
        <i x="61" s="1"/>
        <i x="53" s="1"/>
        <i x="137" s="1"/>
        <i x="5" s="1"/>
        <i x="2" s="1"/>
        <i x="69" s="1"/>
        <i x="126" s="1"/>
        <i x="91" s="1"/>
        <i x="106" s="1"/>
        <i x="138" s="1"/>
        <i x="30" s="1"/>
        <i x="62" s="1"/>
        <i x="78" s="1"/>
        <i x="43" s="1"/>
        <i x="34" s="1"/>
        <i x="0" s="1"/>
        <i x="67" s="1"/>
        <i x="101" s="1"/>
        <i x="108" s="1"/>
        <i x="21" s="1"/>
        <i x="85" s="1"/>
        <i x="56" s="1"/>
        <i x="25" s="1"/>
        <i x="73" s="1"/>
        <i x="20" s="1"/>
        <i x="10" s="1"/>
        <i x="113" s="1"/>
        <i x="64" s="1"/>
        <i x="3" s="1"/>
        <i x="140" s="1"/>
        <i x="70" s="1"/>
        <i x="136" s="1"/>
        <i x="94" s="1"/>
        <i x="39" s="1"/>
        <i x="125" s="1"/>
        <i x="1" s="1"/>
        <i x="127" s="1"/>
        <i x="98" s="1"/>
        <i x="117" s="1"/>
        <i x="83" s="1"/>
        <i x="76" s="1"/>
        <i x="129" s="1"/>
        <i x="114" s="1"/>
        <i x="104" s="1"/>
        <i x="19" s="1"/>
        <i x="131" s="1"/>
        <i x="121" s="1"/>
        <i x="26" s="1"/>
        <i x="22" s="1"/>
        <i x="55" s="1"/>
        <i x="50" s="1"/>
        <i x="96" s="1"/>
        <i x="132" s="1"/>
        <i x="9" s="1"/>
        <i x="17" s="1"/>
        <i x="37" s="1"/>
        <i x="80" s="1"/>
        <i x="52" s="1"/>
        <i x="23" s="1"/>
        <i x="116" s="1"/>
        <i x="63" s="1"/>
        <i x="118" s="1"/>
        <i x="13" s="1"/>
        <i x="18" s="1"/>
        <i x="134" s="1"/>
        <i x="27" s="1"/>
        <i x="79" s="1"/>
        <i x="36" s="1"/>
        <i x="48" s="1"/>
        <i x="74" s="1"/>
        <i x="88" s="1"/>
        <i x="71" s="1"/>
        <i x="139" s="1"/>
        <i x="135" s="1"/>
        <i x="112" s="1"/>
        <i x="54" s="1"/>
        <i x="107" s="1"/>
        <i x="87" s="1"/>
        <i x="57" s="1"/>
        <i x="31" s="1"/>
        <i x="68" s="1"/>
        <i x="103" s="1"/>
        <i x="110" s="1"/>
        <i x="120" s="1"/>
        <i x="33" s="1"/>
        <i x="38" s="1"/>
        <i x="75" s="1"/>
        <i x="95" s="1"/>
        <i x="7" s="1"/>
        <i x="58" s="1"/>
        <i x="11" s="1"/>
        <i x="81" s="1"/>
        <i x="49" s="1"/>
        <i x="92" s="1"/>
        <i x="29" s="1"/>
        <i x="41" s="1"/>
        <i x="84" s="1"/>
        <i x="14" s="1"/>
        <i x="45" s="1"/>
        <i x="124" s="1"/>
        <i x="65" s="1"/>
        <i x="100" s="1"/>
        <i x="123" s="1"/>
        <i x="44" s="1"/>
        <i x="130" s="1"/>
        <i x="128" s="1"/>
        <i x="109" s="1"/>
        <i x="82" s="1"/>
        <i x="97" s="1"/>
        <i x="102" s="1"/>
        <i x="4" s="1"/>
        <i x="89" s="1"/>
        <i x="60" s="1"/>
        <i x="86" s="1"/>
        <i x="32" s="1"/>
        <i x="16" s="1"/>
        <i x="15" s="1"/>
        <i x="111" s="1"/>
        <i x="12" s="1"/>
        <i x="133" s="1"/>
        <i x="46" s="1"/>
        <i x="152" s="1" nd="1"/>
        <i x="156" s="1" nd="1"/>
        <i x="149" s="1" nd="1"/>
        <i x="148" s="1" nd="1"/>
        <i x="147" s="1" nd="1"/>
        <i x="155" s="1" nd="1"/>
        <i x="144" s="1" nd="1"/>
        <i x="146" s="1" nd="1"/>
        <i x="150" s="1" nd="1"/>
        <i x="157" s="1" nd="1"/>
        <i x="151" s="1" nd="1"/>
        <i x="141" s="1" nd="1"/>
        <i x="153" s="1" nd="1"/>
        <i x="154" s="1" nd="1"/>
        <i x="145" s="1" nd="1"/>
        <i x="143" s="1" nd="1"/>
        <i x="142" s="1" nd="1"/>
        <i x="11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ESPECIALIDADE6" sourceName="ESPECIALIDADE">
  <pivotTables>
    <pivotTable tabId="19" name="Tabela dinâmica2"/>
  </pivotTables>
  <data>
    <tabular pivotCacheId="571435145">
      <items count="11">
        <i x="6" s="1"/>
        <i x="2" s="1"/>
        <i x="5" s="1"/>
        <i x="1" s="1"/>
        <i x="0" s="1"/>
        <i x="7" s="1"/>
        <i x="4" s="1"/>
        <i x="3" s="1"/>
        <i x="10" s="1" nd="1"/>
        <i x="9" s="1" nd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JUÍZO5" sourceName="JUÍZO">
  <pivotTables>
    <pivotTable tabId="20" name="Tabela dinâmica3"/>
  </pivotTables>
  <data>
    <tabular pivotCacheId="571435145">
      <items count="88">
        <i x="35" s="1"/>
        <i x="73" s="1"/>
        <i x="33" s="1"/>
        <i x="47" s="1"/>
        <i x="43" s="1"/>
        <i x="61" s="1"/>
        <i x="5" s="1"/>
        <i x="37" s="1"/>
        <i x="74" s="1"/>
        <i x="58" s="1"/>
        <i x="16" s="1"/>
        <i x="54" s="1"/>
        <i x="62" s="1"/>
        <i x="56" s="1"/>
        <i x="57" s="1"/>
        <i x="34" s="1"/>
        <i x="55" s="1"/>
        <i x="64" s="1"/>
        <i x="49" s="1"/>
        <i x="31" s="1"/>
        <i x="42" s="1"/>
        <i x="52" s="1"/>
        <i x="11" s="1"/>
        <i x="36" s="1"/>
        <i x="76" s="1"/>
        <i x="63" s="1"/>
        <i x="28" s="1"/>
        <i x="7" s="1"/>
        <i x="2" s="1"/>
        <i x="77" s="1"/>
        <i x="15" s="1"/>
        <i x="60" s="1"/>
        <i x="68" s="1"/>
        <i x="13" s="1"/>
        <i x="9" s="1"/>
        <i x="38" s="1"/>
        <i x="27" s="1"/>
        <i x="40" s="1"/>
        <i x="20" s="1"/>
        <i x="22" s="1"/>
        <i x="53" s="1"/>
        <i x="19" s="1"/>
        <i x="41" s="1"/>
        <i x="45" s="1"/>
        <i x="4" s="1"/>
        <i x="18" s="1"/>
        <i x="48" s="1"/>
        <i x="65" s="1"/>
        <i x="72" s="1"/>
        <i x="29" s="1"/>
        <i x="21" s="1"/>
        <i x="1" s="1"/>
        <i x="0" s="1"/>
        <i x="46" s="1"/>
        <i x="71" s="1"/>
        <i x="14" s="1"/>
        <i x="23" s="1"/>
        <i x="8" s="1"/>
        <i x="17" s="1"/>
        <i x="32" s="1"/>
        <i x="10" s="1"/>
        <i x="30" s="1"/>
        <i x="12" s="1"/>
        <i x="69" s="1"/>
        <i x="50" s="1"/>
        <i x="44" s="1"/>
        <i x="24" s="1"/>
        <i x="79" s="1"/>
        <i x="70" s="1"/>
        <i x="59" s="1"/>
        <i x="66" s="1"/>
        <i x="26" s="1"/>
        <i x="75" s="1"/>
        <i x="78" s="1"/>
        <i x="51" s="1"/>
        <i x="39" s="1"/>
        <i x="25" s="1"/>
        <i x="6" s="1"/>
        <i x="3" s="1"/>
        <i x="86" s="1" nd="1"/>
        <i x="80" s="1" nd="1"/>
        <i x="87" s="1" nd="1"/>
        <i x="82" s="1" nd="1"/>
        <i x="84" s="1" nd="1"/>
        <i x="81" s="1" nd="1"/>
        <i x="83" s="1" nd="1"/>
        <i x="85" s="1" nd="1"/>
        <i x="6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COMARCA5" sourceName="COMARCA">
  <pivotTables>
    <pivotTable tabId="20" name="Tabela dinâmica3"/>
  </pivotTables>
  <data>
    <tabular pivotCacheId="571435145">
      <items count="37">
        <i x="31" s="1"/>
        <i x="29" s="1"/>
        <i x="21" s="1"/>
        <i x="19" s="1"/>
        <i x="10" s="1"/>
        <i x="13" s="1"/>
        <i x="12" s="1"/>
        <i x="8" s="1"/>
        <i x="4" s="1"/>
        <i x="23" s="1"/>
        <i x="35" s="1"/>
        <i x="30" s="1"/>
        <i x="25" s="1"/>
        <i x="11" s="1"/>
        <i x="7" s="1"/>
        <i x="17" s="1"/>
        <i x="9" s="1"/>
        <i x="24" s="1"/>
        <i x="1" s="1"/>
        <i x="26" s="1"/>
        <i x="16" s="1"/>
        <i x="27" s="1"/>
        <i x="15" s="1"/>
        <i x="6" s="1"/>
        <i x="32" s="1"/>
        <i x="2" s="1"/>
        <i x="34" s="1"/>
        <i x="22" s="1"/>
        <i x="20" s="1"/>
        <i x="18" s="1"/>
        <i x="33" s="1"/>
        <i x="14" s="1"/>
        <i x="5" s="1"/>
        <i x="0" s="1"/>
        <i x="3" s="1"/>
        <i x="36" s="1" nd="1"/>
        <i x="2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PERITO6" sourceName="PERITO">
  <pivotTables>
    <pivotTable tabId="20" name="Tabela dinâmica3"/>
  </pivotTables>
  <data>
    <tabular pivotCacheId="571435145">
      <items count="158">
        <i x="8" s="1"/>
        <i x="28" s="1"/>
        <i x="122" s="1"/>
        <i x="40" s="1"/>
        <i x="51" s="1"/>
        <i x="119" s="1"/>
        <i x="99" s="1"/>
        <i x="72" s="1"/>
        <i x="24" s="1"/>
        <i x="66" s="1"/>
        <i x="6" s="1"/>
        <i x="47" s="1"/>
        <i x="77" s="1"/>
        <i x="59" s="1"/>
        <i x="90" s="1"/>
        <i x="42" s="1"/>
        <i x="105" s="1"/>
        <i x="93" s="1"/>
        <i x="35" s="1"/>
        <i x="61" s="1"/>
        <i x="53" s="1"/>
        <i x="137" s="1"/>
        <i x="5" s="1"/>
        <i x="2" s="1"/>
        <i x="69" s="1"/>
        <i x="126" s="1"/>
        <i x="91" s="1"/>
        <i x="106" s="1"/>
        <i x="138" s="1"/>
        <i x="30" s="1"/>
        <i x="62" s="1"/>
        <i x="78" s="1"/>
        <i x="43" s="1"/>
        <i x="34" s="1"/>
        <i x="0" s="1"/>
        <i x="67" s="1"/>
        <i x="101" s="1"/>
        <i x="108" s="1"/>
        <i x="21" s="1"/>
        <i x="85" s="1"/>
        <i x="56" s="1"/>
        <i x="25" s="1"/>
        <i x="73" s="1"/>
        <i x="20" s="1"/>
        <i x="10" s="1"/>
        <i x="113" s="1"/>
        <i x="64" s="1"/>
        <i x="3" s="1"/>
        <i x="140" s="1"/>
        <i x="70" s="1"/>
        <i x="136" s="1"/>
        <i x="94" s="1"/>
        <i x="39" s="1"/>
        <i x="125" s="1"/>
        <i x="1" s="1"/>
        <i x="127" s="1"/>
        <i x="98" s="1"/>
        <i x="117" s="1"/>
        <i x="83" s="1"/>
        <i x="76" s="1"/>
        <i x="129" s="1"/>
        <i x="114" s="1"/>
        <i x="104" s="1"/>
        <i x="19" s="1"/>
        <i x="131" s="1"/>
        <i x="121" s="1"/>
        <i x="26" s="1"/>
        <i x="22" s="1"/>
        <i x="55" s="1"/>
        <i x="50" s="1"/>
        <i x="96" s="1"/>
        <i x="132" s="1"/>
        <i x="9" s="1"/>
        <i x="17" s="1"/>
        <i x="37" s="1"/>
        <i x="80" s="1"/>
        <i x="52" s="1"/>
        <i x="23" s="1"/>
        <i x="116" s="1"/>
        <i x="63" s="1"/>
        <i x="118" s="1"/>
        <i x="13" s="1"/>
        <i x="18" s="1"/>
        <i x="134" s="1"/>
        <i x="27" s="1"/>
        <i x="79" s="1"/>
        <i x="36" s="1"/>
        <i x="48" s="1"/>
        <i x="74" s="1"/>
        <i x="88" s="1"/>
        <i x="71" s="1"/>
        <i x="139" s="1"/>
        <i x="135" s="1"/>
        <i x="112" s="1"/>
        <i x="54" s="1"/>
        <i x="107" s="1"/>
        <i x="87" s="1"/>
        <i x="57" s="1"/>
        <i x="31" s="1"/>
        <i x="68" s="1"/>
        <i x="103" s="1"/>
        <i x="110" s="1"/>
        <i x="120" s="1"/>
        <i x="33" s="1"/>
        <i x="38" s="1"/>
        <i x="75" s="1"/>
        <i x="95" s="1"/>
        <i x="7" s="1"/>
        <i x="58" s="1"/>
        <i x="11" s="1"/>
        <i x="81" s="1"/>
        <i x="49" s="1"/>
        <i x="92" s="1"/>
        <i x="29" s="1"/>
        <i x="41" s="1"/>
        <i x="84" s="1"/>
        <i x="14" s="1"/>
        <i x="45" s="1"/>
        <i x="124" s="1"/>
        <i x="65" s="1"/>
        <i x="100" s="1"/>
        <i x="123" s="1"/>
        <i x="44" s="1"/>
        <i x="130" s="1"/>
        <i x="128" s="1"/>
        <i x="109" s="1"/>
        <i x="82" s="1"/>
        <i x="97" s="1"/>
        <i x="102" s="1"/>
        <i x="4" s="1"/>
        <i x="89" s="1"/>
        <i x="60" s="1"/>
        <i x="86" s="1"/>
        <i x="32" s="1"/>
        <i x="16" s="1"/>
        <i x="15" s="1"/>
        <i x="111" s="1"/>
        <i x="12" s="1"/>
        <i x="133" s="1"/>
        <i x="46" s="1"/>
        <i x="152" s="1" nd="1"/>
        <i x="156" s="1" nd="1"/>
        <i x="149" s="1" nd="1"/>
        <i x="148" s="1" nd="1"/>
        <i x="147" s="1" nd="1"/>
        <i x="155" s="1" nd="1"/>
        <i x="144" s="1" nd="1"/>
        <i x="146" s="1" nd="1"/>
        <i x="150" s="1" nd="1"/>
        <i x="157" s="1" nd="1"/>
        <i x="151" s="1" nd="1"/>
        <i x="141" s="1" nd="1"/>
        <i x="153" s="1" nd="1"/>
        <i x="154" s="1" nd="1"/>
        <i x="145" s="1" nd="1"/>
        <i x="143" s="1" nd="1"/>
        <i x="142" s="1" nd="1"/>
        <i x="11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COMARCA6" sourceName="COMARCA">
  <pivotTables>
    <pivotTable tabId="23" name="Tabela dinâmica1"/>
  </pivotTables>
  <data>
    <tabular pivotCacheId="571435145">
      <items count="37">
        <i x="31" s="1"/>
        <i x="29" s="1"/>
        <i x="21" s="1"/>
        <i x="19" s="1"/>
        <i x="10" s="1"/>
        <i x="13" s="1"/>
        <i x="12" s="1"/>
        <i x="8" s="1"/>
        <i x="4" s="1"/>
        <i x="23" s="1"/>
        <i x="35" s="1"/>
        <i x="30" s="1"/>
        <i x="25" s="1"/>
        <i x="11" s="1"/>
        <i x="7" s="1"/>
        <i x="17" s="1"/>
        <i x="9" s="1"/>
        <i x="24" s="1"/>
        <i x="1" s="1"/>
        <i x="26" s="1"/>
        <i x="16" s="1"/>
        <i x="27" s="1"/>
        <i x="15" s="1"/>
        <i x="6" s="1"/>
        <i x="32" s="1"/>
        <i x="2" s="1"/>
        <i x="34" s="1"/>
        <i x="22" s="1"/>
        <i x="20" s="1"/>
        <i x="18" s="1"/>
        <i x="33" s="1"/>
        <i x="14" s="1"/>
        <i x="5" s="1"/>
        <i x="0" s="1"/>
        <i x="3" s="1"/>
        <i x="36" s="1" nd="1"/>
        <i x="2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PERITO7" sourceName="PERITO">
  <pivotTables>
    <pivotTable tabId="23" name="Tabela dinâmica1"/>
  </pivotTables>
  <data>
    <tabular pivotCacheId="571435145">
      <items count="158">
        <i x="8" s="1"/>
        <i x="28" s="1"/>
        <i x="122" s="1"/>
        <i x="40" s="1"/>
        <i x="51" s="1"/>
        <i x="119" s="1"/>
        <i x="99" s="1"/>
        <i x="72" s="1"/>
        <i x="24" s="1"/>
        <i x="66" s="1"/>
        <i x="6" s="1"/>
        <i x="47" s="1"/>
        <i x="77" s="1"/>
        <i x="59" s="1"/>
        <i x="90" s="1"/>
        <i x="42" s="1"/>
        <i x="105" s="1"/>
        <i x="93" s="1"/>
        <i x="35" s="1"/>
        <i x="61" s="1"/>
        <i x="53" s="1"/>
        <i x="137" s="1"/>
        <i x="5" s="1"/>
        <i x="2" s="1"/>
        <i x="69" s="1"/>
        <i x="126" s="1"/>
        <i x="91" s="1"/>
        <i x="106" s="1"/>
        <i x="138" s="1"/>
        <i x="30" s="1"/>
        <i x="62" s="1"/>
        <i x="78" s="1"/>
        <i x="43" s="1"/>
        <i x="34" s="1"/>
        <i x="0" s="1"/>
        <i x="67" s="1"/>
        <i x="101" s="1"/>
        <i x="108" s="1"/>
        <i x="21" s="1"/>
        <i x="85" s="1"/>
        <i x="56" s="1"/>
        <i x="25" s="1"/>
        <i x="73" s="1"/>
        <i x="20" s="1"/>
        <i x="10" s="1"/>
        <i x="113" s="1"/>
        <i x="64" s="1"/>
        <i x="3" s="1"/>
        <i x="140" s="1"/>
        <i x="70" s="1"/>
        <i x="136" s="1"/>
        <i x="94" s="1"/>
        <i x="39" s="1"/>
        <i x="125" s="1"/>
        <i x="1" s="1"/>
        <i x="127" s="1"/>
        <i x="98" s="1"/>
        <i x="117" s="1"/>
        <i x="83" s="1"/>
        <i x="76" s="1"/>
        <i x="129" s="1"/>
        <i x="114" s="1"/>
        <i x="104" s="1"/>
        <i x="19" s="1"/>
        <i x="131" s="1"/>
        <i x="121" s="1"/>
        <i x="26" s="1"/>
        <i x="22" s="1"/>
        <i x="55" s="1"/>
        <i x="50" s="1"/>
        <i x="96" s="1"/>
        <i x="132" s="1"/>
        <i x="9" s="1"/>
        <i x="17" s="1"/>
        <i x="37" s="1"/>
        <i x="80" s="1"/>
        <i x="52" s="1"/>
        <i x="23" s="1"/>
        <i x="116" s="1"/>
        <i x="63" s="1"/>
        <i x="118" s="1"/>
        <i x="13" s="1"/>
        <i x="18" s="1"/>
        <i x="134" s="1"/>
        <i x="27" s="1"/>
        <i x="79" s="1"/>
        <i x="36" s="1"/>
        <i x="48" s="1"/>
        <i x="74" s="1"/>
        <i x="88" s="1"/>
        <i x="71" s="1"/>
        <i x="139" s="1"/>
        <i x="135" s="1"/>
        <i x="112" s="1"/>
        <i x="54" s="1"/>
        <i x="107" s="1"/>
        <i x="87" s="1"/>
        <i x="57" s="1"/>
        <i x="31" s="1"/>
        <i x="68" s="1"/>
        <i x="103" s="1"/>
        <i x="110" s="1"/>
        <i x="120" s="1"/>
        <i x="33" s="1"/>
        <i x="38" s="1"/>
        <i x="75" s="1"/>
        <i x="95" s="1"/>
        <i x="7" s="1"/>
        <i x="58" s="1"/>
        <i x="11" s="1"/>
        <i x="81" s="1"/>
        <i x="49" s="1"/>
        <i x="92" s="1"/>
        <i x="29" s="1"/>
        <i x="41" s="1"/>
        <i x="84" s="1"/>
        <i x="14" s="1"/>
        <i x="45" s="1"/>
        <i x="124" s="1"/>
        <i x="65" s="1"/>
        <i x="100" s="1"/>
        <i x="123" s="1"/>
        <i x="44" s="1"/>
        <i x="130" s="1"/>
        <i x="128" s="1"/>
        <i x="109" s="1"/>
        <i x="82" s="1"/>
        <i x="97" s="1"/>
        <i x="102" s="1"/>
        <i x="4" s="1"/>
        <i x="89" s="1"/>
        <i x="60" s="1"/>
        <i x="86" s="1"/>
        <i x="32" s="1"/>
        <i x="16" s="1"/>
        <i x="15" s="1"/>
        <i x="111" s="1"/>
        <i x="12" s="1"/>
        <i x="133" s="1"/>
        <i x="46" s="1"/>
        <i x="152" s="1" nd="1"/>
        <i x="156" s="1" nd="1"/>
        <i x="149" s="1" nd="1"/>
        <i x="148" s="1" nd="1"/>
        <i x="147" s="1" nd="1"/>
        <i x="155" s="1" nd="1"/>
        <i x="144" s="1" nd="1"/>
        <i x="146" s="1" nd="1"/>
        <i x="150" s="1" nd="1"/>
        <i x="157" s="1" nd="1"/>
        <i x="151" s="1" nd="1"/>
        <i x="141" s="1" nd="1"/>
        <i x="153" s="1" nd="1"/>
        <i x="154" s="1" nd="1"/>
        <i x="145" s="1" nd="1"/>
        <i x="143" s="1" nd="1"/>
        <i x="142" s="1" nd="1"/>
        <i x="11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ESPECIALIDADE7" sourceName="ESPECIALIDADE">
  <pivotTables>
    <pivotTable tabId="23" name="Tabela dinâmica1"/>
  </pivotTables>
  <data>
    <tabular pivotCacheId="571435145">
      <items count="11">
        <i x="6" s="1"/>
        <i x="2" s="1"/>
        <i x="5" s="1"/>
        <i x="1" s="1"/>
        <i x="0" s="1"/>
        <i x="7" s="1"/>
        <i x="4" s="1"/>
        <i x="3" s="1"/>
        <i x="10" s="1" nd="1"/>
        <i x="9" s="1" nd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JUÍZO 4" cache="SegmentaçãodeDados_JUÍZO4" caption="JUÍZO" style="SlicerStyleDark2" rowHeight="241300"/>
  <slicer name="PERITO 5" cache="SegmentaçãodeDados_PERITO5" caption="PERITO" style="SlicerStyleDark2" rowHeight="241300"/>
  <slicer name="ESPECIALIDADE 6" cache="SegmentaçãodeDados_ESPECIALIDADE6" caption="ESPECIALIDADE" style="SlicerStyleDark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MARCA 6" cache="SegmentaçãodeDados_COMARCA6" caption="COMARCA" style="SlicerStyleDark6" rowHeight="241300"/>
  <slicer name="PERITO 7" cache="SegmentaçãodeDados_PERITO7" caption="PERITO" style="SlicerStyleDark6" rowHeight="241300"/>
  <slicer name="ESPECIALIDADE 7" cache="SegmentaçãodeDados_ESPECIALIDADE7" caption="ESPECIALIDADE" style="SlicerStyleDark6" rowHeight="201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JUÍZO 3" cache="SegmentaçãodeDados_JUÍZO3" caption="JUÍZO" style="SlicerStyleOther2" rowHeight="241300"/>
  <slicer name="COMARCA 4" cache="SegmentaçãodeDados_COMARCA4" caption="COMARCA" style="SlicerStyleOther2" rowHeight="241300"/>
  <slicer name="ESPECIALIDADE 5" cache="SegmentaçãodeDados_ESPECIALIDADE5" caption="ESPECIALIDADE" style="SlicerStyleOther2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JUÍZO 5" cache="SegmentaçãodeDados_JUÍZO5" caption="JUÍZO" style="SlicerStyleOther1" rowHeight="241300"/>
  <slicer name="COMARCA 5" cache="SegmentaçãodeDados_COMARCA5" caption="COMARCA" style="SlicerStyleOther1" rowHeight="241300"/>
  <slicer name="PERITO 6" cache="SegmentaçãodeDados_PERITO6" caption="PERITO" style="SlicerStyleOther1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JUÍZO 2" cache="SegmentaçãodeDados_JUÍZO2" caption="JUÍZO" style="SlicerStyleDark6" rowHeight="180000"/>
  <slicer name="COMARCA 1" cache="SegmentaçãodeDados_COMARCA1" caption="COMARCA" style="SlicerStyleDark6" rowHeight="180000"/>
  <slicer name="PERITO 2" cache="SegmentaçãodeDados_PERITO2" caption="PERITO" startItem="30" style="SlicerStyleDark6" rowHeight="180000"/>
  <slicer name="ESPECIALIDADE 2" cache="SegmentaçãodeDados_ESPECIALIDADE2" caption="ESPECIALIDADE" style="SlicerStyleDark6" rowHeight="1800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ERITO 3" cache="SegmentaçãodeDados_PERITO3" caption="PERITO" style="SlicerStyleDark1" rowHeight="144000"/>
  <slicer name="ESPECIALIDADE 3" cache="SegmentaçãodeDados_ESPECIALIDADE3" caption="ESPECIALIDADE" style="SlicerStyleDark1" rowHeight="144000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ESPECIALIDADE 1" cache="SegmentaçãodeDados_ESPECIALIDADE1" caption="ESPECIALIDADE" style="SlicerStyleDark6" rowHeight="241300"/>
  <slicer name="JUÍZO 1" cache="SegmentaçãodeDados_JUÍZO1" caption="JUÍZO" style="SlicerStyleDark6" rowHeight="241300"/>
  <slicer name="COMARCA" cache="SegmentaçãodeDados_COMARCA" caption="COMARCA" style="SlicerStyleDark6" rowHeight="241300"/>
  <slicer name="PERITO" cache="SegmentaçãodeDados_PERITO" caption="PERITO" startItem="28" style="SlicerStyleDark6" rowHeight="241300"/>
</slicers>
</file>

<file path=xl/slicers/slicer8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JUÍZO" cache="SegmentaçãodeDados_JUÍZO" caption="JUÍZO" style="SlicerStyleDark2" rowHeight="241300"/>
  <slicer name="ESPECIALIDADE" cache="SegmentaçãodeDados_ESPECIALIDADE" caption="ESPECIALIDADE" style="SlicerStyleDark2" rowHeight="241300"/>
  <slicer name="PERITO 1" cache="SegmentaçãodeDados_PERITO1" caption="PERITO" style="SlicerStyleDark2" rowHeight="241300"/>
  <slicer name="COMARCA 2" cache="SegmentaçãodeDados_COMARCA2" caption="COMARCA" startItem="11" style="SlicerStyleDark2" rowHeight="24130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imelineCaches/timelineCache1.xml><?xml version="1.0" encoding="utf-8"?>
<timelineCacheDefinition xmlns="http://schemas.microsoft.com/office/spreadsheetml/2010/11/main" xmlns:x15="http://schemas.microsoft.com/office/spreadsheetml/2010/11/main" name="NativeTimeline_DATA_DO_EMPENHO" sourceName="DATA DO EMPENHO">
  <pivotTables>
    <pivotTable tabId="8" name="Tabela dinâmica3"/>
  </pivotTables>
  <state minimalRefreshVersion="6" lastRefreshVersion="6" pivotCacheId="1030623230" filterType="unknown">
    <bounds startDate="2020-01-01T00:00:00" endDate="2022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name="NativeTimeline_DATA_DO_EMPENHO1" sourceName="DATA DO EMPENHO">
  <pivotTables>
    <pivotTable tabId="13" name="Tabela dinâmica5"/>
  </pivotTables>
  <state minimalRefreshVersion="6" lastRefreshVersion="6" pivotCacheId="1030623230" filterType="unknown">
    <bounds startDate="2020-01-01T00:00:00" endDate="2022-01-01T00:00:00"/>
  </state>
</timelineCacheDefinition>
</file>

<file path=xl/timelineCaches/timelineCache3.xml><?xml version="1.0" encoding="utf-8"?>
<timelineCacheDefinition xmlns="http://schemas.microsoft.com/office/spreadsheetml/2010/11/main" xmlns:x15="http://schemas.microsoft.com/office/spreadsheetml/2010/11/main" name="NativeTimeline_Data_da_Autorização_da_Despesa" sourceName="Data da Autorização da Despesa">
  <pivotTables>
    <pivotTable tabId="19" name="Tabela dinâmica2"/>
  </pivotTables>
  <state minimalRefreshVersion="6" lastRefreshVersion="6" pivotCacheId="571435145" filterType="unknown">
    <bounds startDate="2002-01-01T00:00:00" endDate="2023-01-01T00:00:00"/>
  </state>
</timelineCacheDefinition>
</file>

<file path=xl/timelineCaches/timelineCache4.xml><?xml version="1.0" encoding="utf-8"?>
<timelineCacheDefinition xmlns="http://schemas.microsoft.com/office/spreadsheetml/2010/11/main" xmlns:x15="http://schemas.microsoft.com/office/spreadsheetml/2010/11/main" name="NativeTimeline_Data_da_Autorização_da_Despesa1" sourceName="Data da Autorização da Despesa">
  <pivotTables>
    <pivotTable tabId="18" name="Tabela dinâmica1"/>
  </pivotTables>
  <state minimalRefreshVersion="6" lastRefreshVersion="6" pivotCacheId="571435145" filterType="unknown">
    <bounds startDate="2002-01-01T00:00:00" endDate="2023-01-01T00:00:00"/>
  </state>
</timelineCacheDefinition>
</file>

<file path=xl/timelineCaches/timelineCache5.xml><?xml version="1.0" encoding="utf-8"?>
<timelineCacheDefinition xmlns="http://schemas.microsoft.com/office/spreadsheetml/2010/11/main" xmlns:x15="http://schemas.microsoft.com/office/spreadsheetml/2010/11/main" name="NativeTimeline_Data_da_Autorização_da_Despesa2" sourceName="Data da Autorização da Despesa">
  <pivotTables>
    <pivotTable tabId="20" name="Tabela dinâmica3"/>
  </pivotTables>
  <state minimalRefreshVersion="6" lastRefreshVersion="6" pivotCacheId="571435145" filterType="unknown">
    <bounds startDate="2002-01-01T00:00:00" endDate="2023-01-01T00:00:00"/>
  </state>
</timelineCacheDefinition>
</file>

<file path=xl/timelineCaches/timelineCache6.xml><?xml version="1.0" encoding="utf-8"?>
<timelineCacheDefinition xmlns="http://schemas.microsoft.com/office/spreadsheetml/2010/11/main" xmlns:x15="http://schemas.microsoft.com/office/spreadsheetml/2010/11/main" name="NativeTimeline_Data_da_Autorização_da_Despesa3" sourceName="Data da Autorização da Despesa">
  <pivotTables>
    <pivotTable tabId="23" name="Tabela dinâmica1"/>
  </pivotTables>
  <state minimalRefreshVersion="6" lastRefreshVersion="6" pivotCacheId="571435145" filterType="unknown">
    <bounds startDate="2002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Data da Autorização da Despesa" cache="NativeTimeline_Data_da_Autorização_da_Despesa" caption="Data da Autorização da Despesa" level="2" selectionLevel="2" scrollPosition="2020-11-06T00:00:00" style="TimeSlicerStyleLight2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Data da Autorização da Despesa 1" cache="NativeTimeline_Data_da_Autorização_da_Despesa3" caption="Data da Autorização da Despesa" level="2" selectionLevel="2" scrollPosition="2020-10-29T00:00:00" style="TimeSlicerStyleDark6"/>
</timelines>
</file>

<file path=xl/timelines/timeline3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Data da Autorização da Despesa 2" cache="NativeTimeline_Data_da_Autorização_da_Despesa1" caption="Data da Autorização da Despesa" level="2" selectionLevel="2" scrollPosition="2020-11-03T00:00:00"/>
</timelines>
</file>

<file path=xl/timelines/timeline4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Data da Autorização da Despesa 3" cache="NativeTimeline_Data_da_Autorização_da_Despesa2" caption="Data da Autorização da Despesa" level="2" selectionLevel="2" scrollPosition="2020-11-09T00:00:00" style="TimeSlicerStyleDark3"/>
</timelines>
</file>

<file path=xl/timelines/timeline5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DATA DO EMPENHO 1" cache="NativeTimeline_DATA_DO_EMPENHO1" caption="DATA DO EMPENHO" level="2" selectionLevel="2" scrollPosition="2020-01-01T00:00:00" style="TimeSlicerStyleDark6"/>
</timelines>
</file>

<file path=xl/timelines/timeline6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DATA DO EMPENHO" cache="NativeTimeline_DATA_DO_EMPENHO" caption="DATA DO EMPENHO" level="2" selectionLevel="2" scrollPosition="2020-01-01T00:00:00" style="TimeSlicerStyleDark6"/>
</timeline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Relationship Id="rId4" Type="http://schemas.microsoft.com/office/2011/relationships/timeline" Target="../timelines/timelin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Relationship Id="rId5" Type="http://schemas.microsoft.com/office/2011/relationships/timeline" Target="../timelines/timeline2.xml"/><Relationship Id="rId4" Type="http://schemas.microsoft.com/office/2007/relationships/slicer" Target="../slicers/slicer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4.xml"/><Relationship Id="rId5" Type="http://schemas.microsoft.com/office/2011/relationships/timeline" Target="../timelines/timeline3.xml"/><Relationship Id="rId4" Type="http://schemas.microsoft.com/office/2007/relationships/slicer" Target="../slicers/slicer3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5.xml"/><Relationship Id="rId4" Type="http://schemas.microsoft.com/office/2011/relationships/timeline" Target="../timelines/timeline4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07/relationships/slicer" Target="../slicers/slicer6.xml"/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Relationship Id="rId5" Type="http://schemas.microsoft.com/office/2011/relationships/timeline" Target="../timelines/timeline5.xml"/><Relationship Id="rId4" Type="http://schemas.microsoft.com/office/2007/relationships/slicer" Target="../slicers/slicer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9.xml"/><Relationship Id="rId5" Type="http://schemas.microsoft.com/office/2011/relationships/timeline" Target="../timelines/timeline6.xml"/><Relationship Id="rId4" Type="http://schemas.microsoft.com/office/2007/relationships/slicer" Target="../slicers/slicer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B3:I33"/>
  <sheetViews>
    <sheetView topLeftCell="A10" zoomScale="147" zoomScaleNormal="100" workbookViewId="0">
      <selection activeCell="C13" sqref="C13"/>
    </sheetView>
  </sheetViews>
  <sheetFormatPr defaultRowHeight="15" x14ac:dyDescent="0.25"/>
  <cols>
    <col min="1" max="1" width="8.5703125" customWidth="1"/>
    <col min="2" max="2" width="13.140625" customWidth="1"/>
    <col min="3" max="3" width="23.5703125" customWidth="1"/>
    <col min="4" max="4" width="3.42578125" customWidth="1"/>
    <col min="5" max="5" width="3" customWidth="1"/>
    <col min="6" max="6" width="11.5703125" customWidth="1"/>
    <col min="7" max="7" width="8.5703125" customWidth="1"/>
    <col min="8" max="8" width="29" customWidth="1"/>
    <col min="9" max="1025" width="8.5703125" customWidth="1"/>
  </cols>
  <sheetData>
    <row r="3" spans="2:8" ht="21" x14ac:dyDescent="0.25">
      <c r="B3" s="149" t="s">
        <v>0</v>
      </c>
      <c r="C3" s="149"/>
      <c r="D3" s="149"/>
      <c r="E3" s="149"/>
      <c r="F3" s="149"/>
    </row>
    <row r="4" spans="2:8" ht="45.75" customHeight="1" x14ac:dyDescent="0.25">
      <c r="B4" s="1" t="s">
        <v>1</v>
      </c>
      <c r="C4" s="1" t="s">
        <v>2</v>
      </c>
      <c r="D4" s="150" t="s">
        <v>3</v>
      </c>
      <c r="E4" s="150"/>
      <c r="F4" s="1" t="s">
        <v>4</v>
      </c>
      <c r="G4" s="2"/>
      <c r="H4" s="3"/>
    </row>
    <row r="5" spans="2:8" ht="51" customHeight="1" x14ac:dyDescent="0.25">
      <c r="B5" s="151" t="s">
        <v>5</v>
      </c>
      <c r="C5" s="4" t="s">
        <v>6</v>
      </c>
      <c r="D5" s="4" t="s">
        <v>7</v>
      </c>
      <c r="E5" s="5">
        <v>1</v>
      </c>
      <c r="F5" s="6">
        <v>300</v>
      </c>
    </row>
    <row r="6" spans="2:8" ht="51" x14ac:dyDescent="0.25">
      <c r="B6" s="151"/>
      <c r="C6" s="4" t="s">
        <v>8</v>
      </c>
      <c r="D6" s="4" t="s">
        <v>9</v>
      </c>
      <c r="E6" s="5">
        <v>2</v>
      </c>
      <c r="F6" s="6">
        <v>370</v>
      </c>
    </row>
    <row r="7" spans="2:8" ht="51" x14ac:dyDescent="0.25">
      <c r="B7" s="151"/>
      <c r="C7" s="4" t="s">
        <v>10</v>
      </c>
      <c r="D7" s="4" t="s">
        <v>11</v>
      </c>
      <c r="E7" s="5">
        <v>3</v>
      </c>
      <c r="F7" s="6">
        <v>630</v>
      </c>
    </row>
    <row r="8" spans="2:8" ht="51" x14ac:dyDescent="0.25">
      <c r="B8" s="151"/>
      <c r="C8" s="4" t="s">
        <v>12</v>
      </c>
      <c r="D8" s="4" t="s">
        <v>13</v>
      </c>
      <c r="E8" s="5">
        <v>4</v>
      </c>
      <c r="F8" s="6">
        <v>830</v>
      </c>
    </row>
    <row r="9" spans="2:8" x14ac:dyDescent="0.25">
      <c r="B9" s="151"/>
      <c r="C9" s="4" t="s">
        <v>14</v>
      </c>
      <c r="D9" s="4" t="s">
        <v>15</v>
      </c>
      <c r="E9" s="5">
        <v>5</v>
      </c>
      <c r="F9" s="6">
        <v>370</v>
      </c>
    </row>
    <row r="10" spans="2:8" ht="51" customHeight="1" x14ac:dyDescent="0.25">
      <c r="B10" s="152" t="s">
        <v>16</v>
      </c>
      <c r="C10" s="7" t="s">
        <v>17</v>
      </c>
      <c r="D10" s="7" t="s">
        <v>18</v>
      </c>
      <c r="E10" s="8">
        <v>6</v>
      </c>
      <c r="F10" s="9">
        <v>430</v>
      </c>
    </row>
    <row r="11" spans="2:8" ht="51" x14ac:dyDescent="0.25">
      <c r="B11" s="152"/>
      <c r="C11" s="7" t="s">
        <v>19</v>
      </c>
      <c r="D11" s="7" t="s">
        <v>20</v>
      </c>
      <c r="E11" s="8">
        <v>7</v>
      </c>
      <c r="F11" s="9">
        <v>530</v>
      </c>
    </row>
    <row r="12" spans="2:8" ht="63.75" x14ac:dyDescent="0.25">
      <c r="B12" s="152"/>
      <c r="C12" s="7" t="s">
        <v>765</v>
      </c>
      <c r="D12" s="7" t="s">
        <v>22</v>
      </c>
      <c r="E12" s="8">
        <v>8</v>
      </c>
      <c r="F12" s="9">
        <v>370</v>
      </c>
    </row>
    <row r="13" spans="2:8" ht="63.75" x14ac:dyDescent="0.25">
      <c r="B13" s="152"/>
      <c r="C13" s="7" t="s">
        <v>23</v>
      </c>
      <c r="D13" s="7" t="s">
        <v>24</v>
      </c>
      <c r="E13" s="8">
        <v>9</v>
      </c>
      <c r="F13" s="9">
        <v>700</v>
      </c>
    </row>
    <row r="14" spans="2:8" ht="25.5" x14ac:dyDescent="0.25">
      <c r="B14" s="152"/>
      <c r="C14" s="7" t="s">
        <v>25</v>
      </c>
      <c r="D14" s="7" t="s">
        <v>26</v>
      </c>
      <c r="E14" s="8">
        <v>10</v>
      </c>
      <c r="F14" s="9">
        <v>870</v>
      </c>
    </row>
    <row r="15" spans="2:8" ht="51" x14ac:dyDescent="0.25">
      <c r="B15" s="152"/>
      <c r="C15" s="7" t="s">
        <v>27</v>
      </c>
      <c r="D15" s="7" t="s">
        <v>28</v>
      </c>
      <c r="E15" s="8">
        <v>11</v>
      </c>
      <c r="F15" s="9">
        <v>370</v>
      </c>
    </row>
    <row r="16" spans="2:8" x14ac:dyDescent="0.25">
      <c r="B16" s="152"/>
      <c r="C16" s="7" t="s">
        <v>29</v>
      </c>
      <c r="D16" s="7" t="s">
        <v>30</v>
      </c>
      <c r="E16" s="8">
        <v>12</v>
      </c>
      <c r="F16" s="9">
        <v>370</v>
      </c>
    </row>
    <row r="17" spans="2:9" ht="25.5" customHeight="1" x14ac:dyDescent="0.25">
      <c r="B17" s="151" t="s">
        <v>31</v>
      </c>
      <c r="C17" s="4" t="s">
        <v>32</v>
      </c>
      <c r="D17" s="4" t="s">
        <v>33</v>
      </c>
      <c r="E17" s="5">
        <v>13</v>
      </c>
      <c r="F17" s="6">
        <v>370</v>
      </c>
    </row>
    <row r="18" spans="2:9" ht="25.5" x14ac:dyDescent="0.25">
      <c r="B18" s="151"/>
      <c r="C18" s="4" t="s">
        <v>34</v>
      </c>
      <c r="D18" s="4" t="s">
        <v>35</v>
      </c>
      <c r="E18" s="5">
        <v>14</v>
      </c>
      <c r="F18" s="6">
        <v>370</v>
      </c>
    </row>
    <row r="19" spans="2:9" x14ac:dyDescent="0.25">
      <c r="B19" s="151"/>
      <c r="C19" s="4" t="s">
        <v>29</v>
      </c>
      <c r="D19" s="4" t="s">
        <v>36</v>
      </c>
      <c r="E19" s="5">
        <v>15</v>
      </c>
      <c r="F19" s="6">
        <v>370</v>
      </c>
    </row>
    <row r="20" spans="2:9" x14ac:dyDescent="0.25">
      <c r="B20" s="10" t="s">
        <v>37</v>
      </c>
      <c r="C20" s="7"/>
      <c r="D20" s="7" t="s">
        <v>38</v>
      </c>
      <c r="E20" s="8">
        <v>16</v>
      </c>
      <c r="F20" s="9">
        <v>300</v>
      </c>
    </row>
    <row r="21" spans="2:9" ht="25.5" x14ac:dyDescent="0.25">
      <c r="B21" s="11" t="s">
        <v>39</v>
      </c>
      <c r="C21" s="11" t="s">
        <v>40</v>
      </c>
      <c r="D21" s="11" t="s">
        <v>41</v>
      </c>
      <c r="E21" s="12">
        <v>17</v>
      </c>
      <c r="F21" s="13">
        <v>300</v>
      </c>
    </row>
    <row r="22" spans="2:9" ht="38.25" x14ac:dyDescent="0.25">
      <c r="B22" s="147" t="s">
        <v>29</v>
      </c>
      <c r="C22" s="4" t="s">
        <v>42</v>
      </c>
      <c r="D22" s="4" t="s">
        <v>43</v>
      </c>
      <c r="E22" s="5">
        <v>18</v>
      </c>
      <c r="F22" s="6">
        <v>170</v>
      </c>
    </row>
    <row r="23" spans="2:9" ht="38.25" x14ac:dyDescent="0.25">
      <c r="B23" s="147"/>
      <c r="C23" s="4" t="s">
        <v>44</v>
      </c>
      <c r="D23" s="4" t="s">
        <v>45</v>
      </c>
      <c r="E23" s="5">
        <v>19</v>
      </c>
      <c r="F23" s="6">
        <v>330</v>
      </c>
    </row>
    <row r="24" spans="2:9" x14ac:dyDescent="0.25">
      <c r="B24" s="14"/>
      <c r="E24" s="15"/>
    </row>
    <row r="25" spans="2:9" x14ac:dyDescent="0.25">
      <c r="B25" s="148" t="s">
        <v>46</v>
      </c>
      <c r="C25" s="148"/>
      <c r="D25" s="16"/>
      <c r="E25" s="15"/>
      <c r="H25" s="148" t="s">
        <v>0</v>
      </c>
      <c r="I25" s="148"/>
    </row>
    <row r="26" spans="2:9" ht="45" x14ac:dyDescent="0.25">
      <c r="B26" s="16">
        <v>2020</v>
      </c>
      <c r="C26" s="17">
        <v>0</v>
      </c>
      <c r="D26" s="16"/>
      <c r="H26" s="18" t="s">
        <v>47</v>
      </c>
      <c r="I26" s="18" t="s">
        <v>48</v>
      </c>
    </row>
    <row r="27" spans="2:9" ht="45" x14ac:dyDescent="0.25">
      <c r="B27" s="16">
        <v>2021</v>
      </c>
      <c r="C27" s="17">
        <v>0</v>
      </c>
      <c r="D27" s="16"/>
      <c r="H27" s="19" t="s">
        <v>49</v>
      </c>
      <c r="I27" s="20">
        <v>76.22</v>
      </c>
    </row>
    <row r="28" spans="2:9" ht="30" x14ac:dyDescent="0.25">
      <c r="B28" s="16">
        <v>2022</v>
      </c>
      <c r="C28" s="17"/>
      <c r="D28" s="16"/>
      <c r="H28" s="21" t="s">
        <v>50</v>
      </c>
      <c r="I28" s="20">
        <v>24.39</v>
      </c>
    </row>
    <row r="29" spans="2:9" ht="45" x14ac:dyDescent="0.25">
      <c r="B29" s="16">
        <v>2023</v>
      </c>
      <c r="C29" s="17"/>
      <c r="D29" s="16"/>
      <c r="H29" s="21" t="s">
        <v>51</v>
      </c>
      <c r="I29" s="20">
        <v>176.7</v>
      </c>
    </row>
    <row r="30" spans="2:9" ht="45" x14ac:dyDescent="0.25">
      <c r="B30" s="16">
        <v>2024</v>
      </c>
      <c r="C30" s="17"/>
      <c r="D30" s="16"/>
      <c r="H30" s="21" t="s">
        <v>52</v>
      </c>
      <c r="I30" s="20">
        <v>38.479999999999997</v>
      </c>
    </row>
    <row r="31" spans="2:9" x14ac:dyDescent="0.25">
      <c r="B31" s="16">
        <v>2025</v>
      </c>
      <c r="C31" s="17"/>
      <c r="D31" s="16"/>
    </row>
    <row r="32" spans="2:9" x14ac:dyDescent="0.25">
      <c r="B32" s="16">
        <v>2026</v>
      </c>
      <c r="C32" s="17"/>
      <c r="D32" s="16"/>
    </row>
    <row r="33" spans="2:4" x14ac:dyDescent="0.25">
      <c r="B33" s="16">
        <v>2027</v>
      </c>
      <c r="C33" s="17"/>
      <c r="D33" s="16"/>
    </row>
  </sheetData>
  <mergeCells count="8">
    <mergeCell ref="B22:B23"/>
    <mergeCell ref="B25:C25"/>
    <mergeCell ref="H25:I25"/>
    <mergeCell ref="B3:F3"/>
    <mergeCell ref="D4:E4"/>
    <mergeCell ref="B5:B9"/>
    <mergeCell ref="B10:B16"/>
    <mergeCell ref="B17:B19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1:AS213"/>
  <sheetViews>
    <sheetView topLeftCell="B22" zoomScale="66" zoomScaleNormal="51" workbookViewId="0">
      <selection activeCell="G32" sqref="G32"/>
    </sheetView>
  </sheetViews>
  <sheetFormatPr defaultRowHeight="15" x14ac:dyDescent="0.25"/>
  <cols>
    <col min="1" max="1" width="8.5703125" hidden="1" customWidth="1"/>
    <col min="2" max="2" width="7.7109375" customWidth="1"/>
    <col min="3" max="3" width="11.42578125" customWidth="1"/>
    <col min="4" max="4" width="10.85546875" hidden="1" customWidth="1"/>
    <col min="5" max="5" width="12.140625" style="64" customWidth="1"/>
    <col min="6" max="6" width="15.140625" customWidth="1"/>
    <col min="7" max="7" width="17.140625" customWidth="1"/>
    <col min="8" max="8" width="19.28515625" hidden="1" customWidth="1"/>
    <col min="9" max="9" width="15.140625" customWidth="1"/>
    <col min="10" max="10" width="15.42578125" hidden="1" customWidth="1"/>
    <col min="11" max="11" width="13.28515625" customWidth="1"/>
    <col min="12" max="12" width="18" hidden="1" customWidth="1"/>
    <col min="13" max="13" width="13" customWidth="1"/>
    <col min="14" max="14" width="13.7109375" customWidth="1"/>
    <col min="15" max="15" width="13" customWidth="1"/>
    <col min="16" max="16" width="24.28515625" customWidth="1"/>
    <col min="17" max="17" width="13.42578125" hidden="1" customWidth="1"/>
    <col min="18" max="18" width="3.140625" customWidth="1"/>
    <col min="19" max="19" width="8.140625" customWidth="1"/>
    <col min="20" max="20" width="15" customWidth="1"/>
    <col min="21" max="21" width="10" customWidth="1"/>
    <col min="22" max="22" width="9.28515625" customWidth="1"/>
    <col min="23" max="23" width="6.42578125" customWidth="1"/>
    <col min="24" max="24" width="7.5703125" customWidth="1"/>
    <col min="25" max="25" width="9.140625" customWidth="1"/>
    <col min="26" max="26" width="10.85546875" customWidth="1"/>
    <col min="27" max="27" width="9.5703125" customWidth="1"/>
    <col min="28" max="1025" width="8.5703125" customWidth="1"/>
  </cols>
  <sheetData>
    <row r="1" spans="1:45" ht="23.25" x14ac:dyDescent="0.25">
      <c r="B1" s="22"/>
    </row>
    <row r="2" spans="1:45" ht="23.25" x14ac:dyDescent="0.25">
      <c r="B2" s="167" t="s">
        <v>53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</row>
    <row r="3" spans="1:45" ht="15" customHeight="1" x14ac:dyDescent="0.25">
      <c r="B3" s="23" t="s">
        <v>54</v>
      </c>
      <c r="C3" s="24"/>
      <c r="D3" s="25"/>
      <c r="E3" s="65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spans="1:45" ht="29.25" customHeight="1" x14ac:dyDescent="0.25">
      <c r="B4" s="168" t="s">
        <v>55</v>
      </c>
      <c r="C4" s="168" t="s">
        <v>56</v>
      </c>
      <c r="D4" s="161" t="s">
        <v>57</v>
      </c>
      <c r="E4" s="170" t="s">
        <v>58</v>
      </c>
      <c r="F4" s="168" t="s">
        <v>59</v>
      </c>
      <c r="G4" s="168" t="s">
        <v>60</v>
      </c>
      <c r="H4" s="168" t="s">
        <v>61</v>
      </c>
      <c r="I4" s="171" t="s">
        <v>62</v>
      </c>
      <c r="J4" s="172"/>
      <c r="K4" s="171" t="s">
        <v>63</v>
      </c>
      <c r="L4" s="172"/>
      <c r="M4" s="155" t="s">
        <v>64</v>
      </c>
      <c r="N4" s="155"/>
      <c r="O4" s="155"/>
      <c r="P4" s="155"/>
      <c r="Q4" s="155"/>
      <c r="R4" s="175" t="s">
        <v>65</v>
      </c>
      <c r="S4" s="161" t="s">
        <v>66</v>
      </c>
      <c r="T4" s="156" t="s">
        <v>67</v>
      </c>
      <c r="U4" s="158"/>
      <c r="V4" s="156" t="s">
        <v>68</v>
      </c>
      <c r="W4" s="157"/>
      <c r="X4" s="157"/>
      <c r="Y4" s="158"/>
      <c r="Z4" s="159" t="s">
        <v>69</v>
      </c>
      <c r="AA4" s="160"/>
    </row>
    <row r="5" spans="1:45" ht="21.75" customHeight="1" x14ac:dyDescent="0.25">
      <c r="B5" s="168"/>
      <c r="C5" s="168"/>
      <c r="D5" s="169"/>
      <c r="E5" s="170"/>
      <c r="F5" s="168"/>
      <c r="G5" s="168"/>
      <c r="H5" s="168"/>
      <c r="I5" s="173"/>
      <c r="J5" s="174"/>
      <c r="K5" s="173"/>
      <c r="L5" s="174"/>
      <c r="M5" s="155"/>
      <c r="N5" s="155"/>
      <c r="O5" s="155"/>
      <c r="P5" s="155"/>
      <c r="Q5" s="155"/>
      <c r="R5" s="175"/>
      <c r="S5" s="162"/>
      <c r="T5" s="28" t="s">
        <v>70</v>
      </c>
      <c r="U5" s="29" t="s">
        <v>71</v>
      </c>
      <c r="V5" s="163" t="s">
        <v>72</v>
      </c>
      <c r="W5" s="156" t="s">
        <v>70</v>
      </c>
      <c r="X5" s="158"/>
      <c r="Y5" s="29">
        <v>0.3</v>
      </c>
      <c r="Z5" s="28"/>
      <c r="AA5" s="30"/>
      <c r="AB5" s="32"/>
    </row>
    <row r="6" spans="1:45" ht="15" customHeight="1" x14ac:dyDescent="0.25">
      <c r="B6" s="168"/>
      <c r="C6" s="168"/>
      <c r="D6" s="162"/>
      <c r="E6" s="170"/>
      <c r="F6" s="168"/>
      <c r="G6" s="168"/>
      <c r="H6" s="168"/>
      <c r="I6" s="155" t="s">
        <v>73</v>
      </c>
      <c r="J6" s="33" t="s">
        <v>74</v>
      </c>
      <c r="K6" s="155" t="s">
        <v>73</v>
      </c>
      <c r="L6" s="33" t="s">
        <v>74</v>
      </c>
      <c r="M6" s="155" t="s">
        <v>73</v>
      </c>
      <c r="N6" s="153" t="s">
        <v>75</v>
      </c>
      <c r="O6" s="155" t="s">
        <v>76</v>
      </c>
      <c r="P6" s="155"/>
      <c r="Q6" s="33" t="s">
        <v>77</v>
      </c>
      <c r="R6" s="175"/>
      <c r="S6" s="155" t="s">
        <v>78</v>
      </c>
      <c r="T6" s="153" t="s">
        <v>78</v>
      </c>
      <c r="U6" s="153" t="s">
        <v>79</v>
      </c>
      <c r="V6" s="164"/>
      <c r="W6" s="153" t="s">
        <v>78</v>
      </c>
      <c r="X6" s="153" t="s">
        <v>80</v>
      </c>
      <c r="Y6" s="153" t="s">
        <v>79</v>
      </c>
      <c r="Z6" s="153" t="s">
        <v>72</v>
      </c>
      <c r="AA6" s="161" t="s">
        <v>81</v>
      </c>
    </row>
    <row r="7" spans="1:45" x14ac:dyDescent="0.25">
      <c r="B7" s="168"/>
      <c r="C7" s="168"/>
      <c r="D7" s="27"/>
      <c r="E7" s="170"/>
      <c r="F7" s="168"/>
      <c r="G7" s="168"/>
      <c r="H7" s="168"/>
      <c r="I7" s="155"/>
      <c r="J7" s="33"/>
      <c r="K7" s="155"/>
      <c r="L7" s="33"/>
      <c r="M7" s="154"/>
      <c r="N7" s="154"/>
      <c r="O7" s="27" t="s">
        <v>83</v>
      </c>
      <c r="P7" s="27" t="s">
        <v>84</v>
      </c>
      <c r="Q7" s="33"/>
      <c r="R7" s="175"/>
      <c r="S7" s="155"/>
      <c r="T7" s="154"/>
      <c r="U7" s="154"/>
      <c r="V7" s="165"/>
      <c r="W7" s="154"/>
      <c r="X7" s="154"/>
      <c r="Y7" s="154"/>
      <c r="Z7" s="154"/>
      <c r="AA7" s="162"/>
    </row>
    <row r="8" spans="1:45" s="34" customFormat="1" ht="38.25" x14ac:dyDescent="0.25">
      <c r="A8" s="34" t="str">
        <f t="shared" ref="A8:A19" si="0">UPPER(M8)</f>
        <v>CLÁUDIA SARMENTO GADELHA</v>
      </c>
      <c r="B8" s="35" t="s">
        <v>85</v>
      </c>
      <c r="C8" s="69">
        <v>44126</v>
      </c>
      <c r="D8" s="36"/>
      <c r="E8" s="35" t="s">
        <v>410</v>
      </c>
      <c r="F8" s="36" t="s">
        <v>418</v>
      </c>
      <c r="G8" s="38" t="s">
        <v>411</v>
      </c>
      <c r="H8" s="38"/>
      <c r="I8" s="37" t="s">
        <v>412</v>
      </c>
      <c r="J8" s="39"/>
      <c r="K8" s="37" t="s">
        <v>314</v>
      </c>
      <c r="L8" s="39"/>
      <c r="M8" s="37" t="s">
        <v>413</v>
      </c>
      <c r="N8" s="38" t="s">
        <v>414</v>
      </c>
      <c r="O8" s="39" t="s">
        <v>31</v>
      </c>
      <c r="P8" s="39" t="s">
        <v>29</v>
      </c>
      <c r="Q8" s="49" t="s">
        <v>416</v>
      </c>
      <c r="R8" s="39">
        <v>15</v>
      </c>
      <c r="S8" s="40">
        <f t="shared" ref="S8:S18" si="1">IF(R8="","",IF(R8=1,300,IF(R8=2,370,IF(R8=3,630,IF(R8=4,830,IF(R8=5,370,IF(R8=6,430,IF(R8=7,530,IF(R8=8,370,IF(R8=9,700,IF(R8=10,870,IF(R8=11,370,IF(R8=12,370,IF(R8=13,370,IF(R8=13,370,IF(R8=14,370,IF(R8=15,370,IF(R8=16,300,IF(R8=17,300,IF(R8=18,170,IF(R8=19,330)))))))))))))))))))))</f>
        <v>370</v>
      </c>
      <c r="T8" s="41">
        <v>370</v>
      </c>
      <c r="U8" s="42" t="str">
        <f t="shared" ref="U8:U18" si="2">IF(R8="","",IF(T8&gt;(5*S8),"ACIMA","OK"))</f>
        <v>OK</v>
      </c>
      <c r="V8" s="36"/>
      <c r="W8" s="41"/>
      <c r="X8" s="42" t="str">
        <f t="shared" ref="X8:X13" si="3">IF(W8="","",W8/T8)</f>
        <v/>
      </c>
      <c r="Y8" s="42" t="str">
        <f t="shared" ref="Y8:Y71" si="4">IF(X8="","",IF(X8&gt;$Y$5,"ACIMA","OK"))</f>
        <v/>
      </c>
      <c r="Z8" s="36">
        <v>44144</v>
      </c>
      <c r="AA8" s="40">
        <f>IF(R8="","",IF(Z8="",T8-W8,T8-(W8+(T8-W8))))</f>
        <v>0</v>
      </c>
      <c r="AD8" s="44"/>
    </row>
    <row r="9" spans="1:45" ht="51" x14ac:dyDescent="0.25">
      <c r="A9" s="34" t="str">
        <f t="shared" si="0"/>
        <v>FELIPE QUEIROGA GADELHA</v>
      </c>
      <c r="B9" s="45" t="s">
        <v>88</v>
      </c>
      <c r="C9" s="70">
        <v>44265</v>
      </c>
      <c r="D9" s="46"/>
      <c r="E9" s="45" t="s">
        <v>417</v>
      </c>
      <c r="F9" s="46" t="s">
        <v>419</v>
      </c>
      <c r="G9" s="48" t="s">
        <v>420</v>
      </c>
      <c r="H9" s="49"/>
      <c r="I9" s="47" t="s">
        <v>421</v>
      </c>
      <c r="J9" s="49"/>
      <c r="K9" s="47" t="s">
        <v>422</v>
      </c>
      <c r="L9" s="49"/>
      <c r="M9" s="47" t="s">
        <v>320</v>
      </c>
      <c r="N9" s="48" t="s">
        <v>317</v>
      </c>
      <c r="O9" s="48" t="s">
        <v>432</v>
      </c>
      <c r="P9" s="48" t="s">
        <v>447</v>
      </c>
      <c r="Q9" s="49" t="s">
        <v>91</v>
      </c>
      <c r="R9" s="49">
        <v>1</v>
      </c>
      <c r="S9" s="50">
        <f t="shared" si="1"/>
        <v>300</v>
      </c>
      <c r="T9" s="51">
        <v>300</v>
      </c>
      <c r="U9" s="50" t="str">
        <f t="shared" si="2"/>
        <v>OK</v>
      </c>
      <c r="V9" s="46"/>
      <c r="W9" s="51"/>
      <c r="X9" s="52" t="str">
        <f t="shared" si="3"/>
        <v/>
      </c>
      <c r="Y9" s="52" t="str">
        <f t="shared" si="4"/>
        <v/>
      </c>
      <c r="Z9" s="46">
        <v>44268</v>
      </c>
      <c r="AA9" s="50">
        <f>IF(R9="","",IF(Z9="",T9-W9,T9-(W9+(T9-W9))))</f>
        <v>0</v>
      </c>
    </row>
    <row r="10" spans="1:45" ht="89.25" x14ac:dyDescent="0.25">
      <c r="A10" s="34" t="str">
        <f t="shared" si="0"/>
        <v>ANTÔNIO LEITE LOUREIRO NETO PERÍCIAS E CÁLCULOS JURÍDICOS EIRELI</v>
      </c>
      <c r="B10" s="35" t="s">
        <v>92</v>
      </c>
      <c r="C10" s="69">
        <v>44264</v>
      </c>
      <c r="D10" s="36">
        <v>41549</v>
      </c>
      <c r="E10" s="35" t="s">
        <v>424</v>
      </c>
      <c r="F10" s="37" t="s">
        <v>425</v>
      </c>
      <c r="G10" s="38" t="s">
        <v>426</v>
      </c>
      <c r="H10" s="38" t="s">
        <v>86</v>
      </c>
      <c r="I10" s="38" t="s">
        <v>427</v>
      </c>
      <c r="J10" s="39" t="s">
        <v>89</v>
      </c>
      <c r="K10" s="38" t="s">
        <v>428</v>
      </c>
      <c r="L10" s="39" t="s">
        <v>90</v>
      </c>
      <c r="M10" s="38" t="s">
        <v>429</v>
      </c>
      <c r="N10" s="38" t="s">
        <v>430</v>
      </c>
      <c r="O10" s="38" t="s">
        <v>431</v>
      </c>
      <c r="P10" s="38" t="s">
        <v>29</v>
      </c>
      <c r="Q10" s="39" t="s">
        <v>91</v>
      </c>
      <c r="R10" s="39">
        <v>2</v>
      </c>
      <c r="S10" s="40">
        <f t="shared" si="1"/>
        <v>370</v>
      </c>
      <c r="T10" s="41">
        <v>370</v>
      </c>
      <c r="U10" s="42" t="str">
        <f t="shared" si="2"/>
        <v>OK</v>
      </c>
      <c r="V10" s="36"/>
      <c r="W10" s="41"/>
      <c r="X10" s="42" t="str">
        <f t="shared" si="3"/>
        <v/>
      </c>
      <c r="Y10" s="42" t="str">
        <f t="shared" si="4"/>
        <v/>
      </c>
      <c r="Z10" s="36">
        <v>44267</v>
      </c>
      <c r="AA10" s="40">
        <f>IF(R10="","",IF(Z10="",T10-W10,T10-(W10+(T10-W10))))</f>
        <v>0</v>
      </c>
    </row>
    <row r="11" spans="1:45" ht="38.25" x14ac:dyDescent="0.25">
      <c r="A11" s="34" t="str">
        <f t="shared" si="0"/>
        <v>ELDIMAN SOARES
DE ARAÚJO</v>
      </c>
      <c r="B11" s="45" t="s">
        <v>94</v>
      </c>
      <c r="C11" s="70">
        <v>44272</v>
      </c>
      <c r="D11" s="46">
        <v>41549</v>
      </c>
      <c r="E11" s="45" t="s">
        <v>433</v>
      </c>
      <c r="F11" s="47" t="s">
        <v>434</v>
      </c>
      <c r="G11" s="48" t="s">
        <v>435</v>
      </c>
      <c r="H11" s="49" t="s">
        <v>86</v>
      </c>
      <c r="I11" s="48" t="s">
        <v>436</v>
      </c>
      <c r="J11" s="49" t="s">
        <v>89</v>
      </c>
      <c r="K11" s="48" t="s">
        <v>437</v>
      </c>
      <c r="L11" s="49" t="s">
        <v>90</v>
      </c>
      <c r="M11" s="48" t="s">
        <v>438</v>
      </c>
      <c r="N11" s="48" t="s">
        <v>439</v>
      </c>
      <c r="O11" s="48" t="s">
        <v>95</v>
      </c>
      <c r="P11" s="48" t="s">
        <v>29</v>
      </c>
      <c r="Q11" s="49" t="s">
        <v>91</v>
      </c>
      <c r="R11" s="49">
        <v>15</v>
      </c>
      <c r="S11" s="50">
        <f t="shared" si="1"/>
        <v>370</v>
      </c>
      <c r="T11" s="51">
        <v>370</v>
      </c>
      <c r="U11" s="50" t="str">
        <f t="shared" si="2"/>
        <v>OK</v>
      </c>
      <c r="V11" s="46"/>
      <c r="W11" s="51"/>
      <c r="X11" s="52"/>
      <c r="Y11" s="52" t="str">
        <f t="shared" si="4"/>
        <v/>
      </c>
      <c r="Z11" s="46">
        <v>44273</v>
      </c>
      <c r="AA11" s="50">
        <f>IF(R11="","",IF(Z11="",T11-W11,T11-(W11+(T11-W11))))</f>
        <v>0</v>
      </c>
    </row>
    <row r="12" spans="1:45" ht="51" x14ac:dyDescent="0.25">
      <c r="A12" s="34" t="str">
        <f t="shared" si="0"/>
        <v>SILVANIA CASSIA MAYER JERONIMO</v>
      </c>
      <c r="B12" s="35" t="s">
        <v>96</v>
      </c>
      <c r="C12" s="69">
        <v>44265</v>
      </c>
      <c r="D12" s="36">
        <v>41549</v>
      </c>
      <c r="E12" s="35" t="s">
        <v>440</v>
      </c>
      <c r="F12" s="37" t="s">
        <v>441</v>
      </c>
      <c r="G12" s="38" t="s">
        <v>442</v>
      </c>
      <c r="H12" s="38" t="s">
        <v>86</v>
      </c>
      <c r="I12" s="38" t="s">
        <v>443</v>
      </c>
      <c r="J12" s="39" t="s">
        <v>89</v>
      </c>
      <c r="K12" s="38" t="s">
        <v>444</v>
      </c>
      <c r="L12" s="39" t="s">
        <v>90</v>
      </c>
      <c r="M12" s="38" t="s">
        <v>445</v>
      </c>
      <c r="N12" s="38" t="s">
        <v>446</v>
      </c>
      <c r="O12" s="38" t="s">
        <v>39</v>
      </c>
      <c r="P12" s="38" t="s">
        <v>40</v>
      </c>
      <c r="Q12" s="49" t="s">
        <v>91</v>
      </c>
      <c r="R12" s="39">
        <v>17</v>
      </c>
      <c r="S12" s="40">
        <f t="shared" si="1"/>
        <v>300</v>
      </c>
      <c r="T12" s="41">
        <v>300</v>
      </c>
      <c r="U12" s="42" t="str">
        <f t="shared" si="2"/>
        <v>OK</v>
      </c>
      <c r="V12" s="36"/>
      <c r="W12" s="41"/>
      <c r="X12" s="42" t="str">
        <f t="shared" si="3"/>
        <v/>
      </c>
      <c r="Y12" s="42" t="str">
        <f t="shared" si="4"/>
        <v/>
      </c>
      <c r="Z12" s="36">
        <v>44274</v>
      </c>
      <c r="AA12" s="40">
        <f>IF(R12="","",IF(Z12="",T12-W12,T12-(W12+(T12-W12))))</f>
        <v>0</v>
      </c>
      <c r="AO12" t="s">
        <v>973</v>
      </c>
    </row>
    <row r="13" spans="1:45" ht="38.25" x14ac:dyDescent="0.25">
      <c r="A13" s="34" t="str">
        <f t="shared" si="0"/>
        <v>SILVANIA CASSIA MAYER JERONIMO</v>
      </c>
      <c r="B13" s="45" t="s">
        <v>97</v>
      </c>
      <c r="C13" s="70">
        <v>44265</v>
      </c>
      <c r="D13" s="46"/>
      <c r="E13" s="45" t="s">
        <v>448</v>
      </c>
      <c r="F13" s="46" t="s">
        <v>441</v>
      </c>
      <c r="G13" s="48" t="s">
        <v>449</v>
      </c>
      <c r="H13" s="49"/>
      <c r="I13" s="48" t="s">
        <v>450</v>
      </c>
      <c r="J13" s="49"/>
      <c r="K13" s="48" t="s">
        <v>451</v>
      </c>
      <c r="L13" s="49"/>
      <c r="M13" s="48" t="s">
        <v>452</v>
      </c>
      <c r="N13" s="48" t="s">
        <v>453</v>
      </c>
      <c r="O13" s="49" t="s">
        <v>39</v>
      </c>
      <c r="P13" s="49" t="s">
        <v>40</v>
      </c>
      <c r="Q13" s="49" t="s">
        <v>98</v>
      </c>
      <c r="R13" s="49">
        <v>17</v>
      </c>
      <c r="S13" s="50">
        <f t="shared" si="1"/>
        <v>300</v>
      </c>
      <c r="T13" s="51">
        <v>300</v>
      </c>
      <c r="U13" s="50" t="str">
        <f t="shared" si="2"/>
        <v>OK</v>
      </c>
      <c r="V13" s="46"/>
      <c r="W13" s="51"/>
      <c r="X13" s="52" t="str">
        <f t="shared" si="3"/>
        <v/>
      </c>
      <c r="Y13" s="52" t="str">
        <f t="shared" si="4"/>
        <v/>
      </c>
      <c r="Z13" s="46">
        <v>44274</v>
      </c>
      <c r="AA13" s="50">
        <f t="shared" ref="AA13:AA18" si="5">IF(R13="","",IF(Z13="",T13-W13,T13-(W13+(T13-W13))))</f>
        <v>0</v>
      </c>
    </row>
    <row r="14" spans="1:45" ht="51" x14ac:dyDescent="0.25">
      <c r="A14" s="34" t="str">
        <f t="shared" si="0"/>
        <v>ANTÓNIO GABRIEL FEITOSA ROLIM</v>
      </c>
      <c r="B14" s="35" t="s">
        <v>99</v>
      </c>
      <c r="C14" s="69">
        <v>44265</v>
      </c>
      <c r="D14" s="36"/>
      <c r="E14" s="35" t="s">
        <v>454</v>
      </c>
      <c r="F14" s="36" t="s">
        <v>441</v>
      </c>
      <c r="G14" s="38" t="s">
        <v>449</v>
      </c>
      <c r="H14" s="38"/>
      <c r="I14" s="38" t="s">
        <v>450</v>
      </c>
      <c r="J14" s="39"/>
      <c r="K14" s="38" t="s">
        <v>451</v>
      </c>
      <c r="L14" s="39"/>
      <c r="M14" s="38" t="s">
        <v>455</v>
      </c>
      <c r="N14" s="38" t="s">
        <v>456</v>
      </c>
      <c r="O14" s="38" t="s">
        <v>37</v>
      </c>
      <c r="P14" s="39" t="s">
        <v>40</v>
      </c>
      <c r="Q14" s="39" t="s">
        <v>98</v>
      </c>
      <c r="R14" s="39">
        <v>16</v>
      </c>
      <c r="S14" s="40">
        <f t="shared" si="1"/>
        <v>300</v>
      </c>
      <c r="T14" s="41">
        <v>300</v>
      </c>
      <c r="U14" s="42" t="str">
        <f t="shared" si="2"/>
        <v>OK</v>
      </c>
      <c r="V14" s="36"/>
      <c r="W14" s="41"/>
      <c r="X14" s="42" t="str">
        <f t="shared" ref="X14:X29" si="6">IF(W14="","",W14/T14)</f>
        <v/>
      </c>
      <c r="Y14" s="42" t="str">
        <f t="shared" si="4"/>
        <v/>
      </c>
      <c r="Z14" s="36">
        <v>44274</v>
      </c>
      <c r="AA14" s="40">
        <f t="shared" si="5"/>
        <v>0</v>
      </c>
      <c r="AS14" s="34" t="s">
        <v>100</v>
      </c>
    </row>
    <row r="15" spans="1:45" ht="51" x14ac:dyDescent="0.25">
      <c r="A15" s="34" t="str">
        <f t="shared" si="0"/>
        <v>ANTÓNIO GABRIEL FEITOSA ROLIM</v>
      </c>
      <c r="B15" s="45" t="s">
        <v>101</v>
      </c>
      <c r="C15" s="70">
        <v>44265</v>
      </c>
      <c r="D15" s="46"/>
      <c r="E15" s="45" t="s">
        <v>457</v>
      </c>
      <c r="F15" s="46" t="s">
        <v>441</v>
      </c>
      <c r="G15" s="48" t="s">
        <v>458</v>
      </c>
      <c r="H15" s="48"/>
      <c r="I15" s="48" t="s">
        <v>459</v>
      </c>
      <c r="J15" s="49"/>
      <c r="K15" s="48" t="s">
        <v>460</v>
      </c>
      <c r="L15" s="49"/>
      <c r="M15" s="48" t="s">
        <v>455</v>
      </c>
      <c r="N15" s="49" t="s">
        <v>456</v>
      </c>
      <c r="O15" s="48" t="s">
        <v>37</v>
      </c>
      <c r="P15" s="49" t="s">
        <v>40</v>
      </c>
      <c r="Q15" s="49" t="s">
        <v>98</v>
      </c>
      <c r="R15" s="49">
        <v>17</v>
      </c>
      <c r="S15" s="50">
        <f t="shared" si="1"/>
        <v>300</v>
      </c>
      <c r="T15" s="51">
        <v>300</v>
      </c>
      <c r="U15" s="50" t="str">
        <f t="shared" si="2"/>
        <v>OK</v>
      </c>
      <c r="V15" s="46"/>
      <c r="W15" s="51"/>
      <c r="X15" s="52" t="str">
        <f t="shared" si="6"/>
        <v/>
      </c>
      <c r="Y15" s="52" t="str">
        <f t="shared" si="4"/>
        <v/>
      </c>
      <c r="Z15" s="46">
        <v>44274</v>
      </c>
      <c r="AA15" s="50">
        <f t="shared" si="5"/>
        <v>0</v>
      </c>
    </row>
    <row r="16" spans="1:45" ht="51" x14ac:dyDescent="0.25">
      <c r="A16" s="34" t="str">
        <f t="shared" si="0"/>
        <v>FELIPE QUEIROGA GADELHA</v>
      </c>
      <c r="B16" s="35" t="s">
        <v>102</v>
      </c>
      <c r="C16" s="69">
        <v>44271</v>
      </c>
      <c r="D16" s="36"/>
      <c r="E16" s="35" t="s">
        <v>461</v>
      </c>
      <c r="F16" s="36" t="s">
        <v>462</v>
      </c>
      <c r="G16" s="38" t="s">
        <v>463</v>
      </c>
      <c r="H16" s="38"/>
      <c r="I16" s="38" t="s">
        <v>464</v>
      </c>
      <c r="J16" s="39"/>
      <c r="K16" s="38" t="s">
        <v>465</v>
      </c>
      <c r="L16" s="39"/>
      <c r="M16" s="38" t="s">
        <v>335</v>
      </c>
      <c r="N16" s="38" t="s">
        <v>317</v>
      </c>
      <c r="O16" s="71" t="s">
        <v>16</v>
      </c>
      <c r="P16" s="7" t="s">
        <v>27</v>
      </c>
      <c r="Q16" s="39" t="s">
        <v>98</v>
      </c>
      <c r="R16" s="39">
        <v>11</v>
      </c>
      <c r="S16" s="40">
        <f t="shared" si="1"/>
        <v>370</v>
      </c>
      <c r="T16" s="41">
        <v>370</v>
      </c>
      <c r="U16" s="42" t="str">
        <f t="shared" si="2"/>
        <v>OK</v>
      </c>
      <c r="V16" s="36"/>
      <c r="W16" s="41"/>
      <c r="X16" s="42" t="str">
        <f t="shared" si="6"/>
        <v/>
      </c>
      <c r="Y16" s="42" t="str">
        <f t="shared" si="4"/>
        <v/>
      </c>
      <c r="Z16" s="36">
        <v>44274</v>
      </c>
      <c r="AA16" s="40">
        <f t="shared" si="5"/>
        <v>0</v>
      </c>
    </row>
    <row r="17" spans="1:27" ht="38.25" x14ac:dyDescent="0.25">
      <c r="A17" s="34" t="str">
        <f t="shared" si="0"/>
        <v>FELIPE QUEIROGA GADELHA</v>
      </c>
      <c r="B17" s="45" t="s">
        <v>103</v>
      </c>
      <c r="C17" s="70">
        <v>44270</v>
      </c>
      <c r="D17" s="46"/>
      <c r="E17" s="45" t="s">
        <v>481</v>
      </c>
      <c r="F17" s="46" t="s">
        <v>466</v>
      </c>
      <c r="G17" s="48" t="s">
        <v>467</v>
      </c>
      <c r="H17" s="49"/>
      <c r="I17" s="48" t="s">
        <v>468</v>
      </c>
      <c r="J17" s="49"/>
      <c r="K17" s="48" t="s">
        <v>469</v>
      </c>
      <c r="L17" s="49"/>
      <c r="M17" s="48" t="s">
        <v>335</v>
      </c>
      <c r="N17" s="48" t="s">
        <v>317</v>
      </c>
      <c r="O17" s="48" t="s">
        <v>16</v>
      </c>
      <c r="P17" s="49" t="s">
        <v>27</v>
      </c>
      <c r="Q17" s="49" t="s">
        <v>98</v>
      </c>
      <c r="R17" s="49">
        <v>11</v>
      </c>
      <c r="S17" s="50">
        <f t="shared" si="1"/>
        <v>370</v>
      </c>
      <c r="T17" s="51">
        <v>370</v>
      </c>
      <c r="U17" s="50" t="str">
        <f t="shared" si="2"/>
        <v>OK</v>
      </c>
      <c r="V17" s="46"/>
      <c r="W17" s="51"/>
      <c r="X17" s="52" t="str">
        <f t="shared" si="6"/>
        <v/>
      </c>
      <c r="Y17" s="52" t="str">
        <f t="shared" si="4"/>
        <v/>
      </c>
      <c r="Z17" s="46">
        <v>44276</v>
      </c>
      <c r="AA17" s="50">
        <f t="shared" si="5"/>
        <v>0</v>
      </c>
    </row>
    <row r="18" spans="1:27" ht="51" x14ac:dyDescent="0.25">
      <c r="A18" s="34" t="str">
        <f t="shared" si="0"/>
        <v>FELIPE QUEIROGA GADELHA</v>
      </c>
      <c r="B18" s="35" t="s">
        <v>104</v>
      </c>
      <c r="C18" s="69">
        <v>44270</v>
      </c>
      <c r="D18" s="36"/>
      <c r="E18" s="35" t="s">
        <v>482</v>
      </c>
      <c r="F18" s="36" t="s">
        <v>466</v>
      </c>
      <c r="G18" s="38" t="s">
        <v>470</v>
      </c>
      <c r="H18" s="38"/>
      <c r="I18" s="38" t="s">
        <v>471</v>
      </c>
      <c r="J18" s="39"/>
      <c r="K18" s="38" t="s">
        <v>314</v>
      </c>
      <c r="L18" s="39"/>
      <c r="M18" s="38" t="s">
        <v>335</v>
      </c>
      <c r="N18" s="38" t="s">
        <v>317</v>
      </c>
      <c r="O18" s="38" t="s">
        <v>16</v>
      </c>
      <c r="P18" s="7" t="s">
        <v>27</v>
      </c>
      <c r="Q18" s="49" t="s">
        <v>98</v>
      </c>
      <c r="R18" s="39">
        <v>11</v>
      </c>
      <c r="S18" s="40">
        <f t="shared" si="1"/>
        <v>370</v>
      </c>
      <c r="T18" s="41">
        <v>370</v>
      </c>
      <c r="U18" s="42" t="str">
        <f t="shared" si="2"/>
        <v>OK</v>
      </c>
      <c r="V18" s="36"/>
      <c r="W18" s="41"/>
      <c r="X18" s="42" t="str">
        <f t="shared" si="6"/>
        <v/>
      </c>
      <c r="Y18" s="42" t="str">
        <f t="shared" si="4"/>
        <v/>
      </c>
      <c r="Z18" s="36">
        <v>44276</v>
      </c>
      <c r="AA18" s="40">
        <f t="shared" si="5"/>
        <v>0</v>
      </c>
    </row>
    <row r="19" spans="1:27" ht="51" x14ac:dyDescent="0.25">
      <c r="A19" s="34" t="str">
        <f t="shared" si="0"/>
        <v>ALEXSANDRA DE ANDRADE CABRAL</v>
      </c>
      <c r="B19" s="45" t="s">
        <v>105</v>
      </c>
      <c r="C19" s="70">
        <v>44380</v>
      </c>
      <c r="D19" s="46"/>
      <c r="E19" s="45" t="s">
        <v>485</v>
      </c>
      <c r="F19" s="72" t="s">
        <v>989</v>
      </c>
      <c r="G19" s="48" t="s">
        <v>475</v>
      </c>
      <c r="H19" s="49"/>
      <c r="I19" s="48" t="s">
        <v>476</v>
      </c>
      <c r="J19" s="49"/>
      <c r="K19" s="48" t="s">
        <v>477</v>
      </c>
      <c r="L19" s="49"/>
      <c r="M19" s="48" t="s">
        <v>478</v>
      </c>
      <c r="N19" s="48" t="s">
        <v>479</v>
      </c>
      <c r="O19" s="49" t="s">
        <v>432</v>
      </c>
      <c r="P19" s="49" t="s">
        <v>480</v>
      </c>
      <c r="Q19" s="49" t="s">
        <v>98</v>
      </c>
      <c r="R19" s="49">
        <v>2</v>
      </c>
      <c r="S19" s="50">
        <f>IF(R19="","",IF(R19=1,300,IF(R19=2,370,IF(R19=3,630,IF(R19=4,830,IF(R19=5,370,IF(R19=6,430,IF(R19=7,530,IF(R19=8,370,IF(R19=9,700,IF(R19=10,870,IF(R19=11,370,IF(R19=12,370,IF(R19=13,370,IF(R19=13,370,IF(R19=14,370,IF(R19=15,370,IF(R19=16,300,IF(R19=17,300,IF(R19=18,170,IF(R19=19,330)))))))))))))))))))))</f>
        <v>370</v>
      </c>
      <c r="T19" s="51">
        <v>370</v>
      </c>
      <c r="U19" s="50" t="str">
        <f>IF(R19="","",IF(T19&gt;(5*S19),"ACIMA","OK"))</f>
        <v>OK</v>
      </c>
      <c r="V19" s="46"/>
      <c r="W19" s="51"/>
      <c r="X19" s="52" t="str">
        <f t="shared" si="6"/>
        <v/>
      </c>
      <c r="Y19" s="52" t="str">
        <f t="shared" si="4"/>
        <v/>
      </c>
      <c r="Z19" s="46">
        <v>44276</v>
      </c>
      <c r="AA19" s="50">
        <f>IF(R19="","",IF(Z19="",T19-W19,T19-(W19+(T19-W19))))</f>
        <v>0</v>
      </c>
    </row>
    <row r="20" spans="1:27" ht="51" x14ac:dyDescent="0.25">
      <c r="A20" s="34"/>
      <c r="B20" s="35" t="s">
        <v>106</v>
      </c>
      <c r="C20" s="69">
        <v>44271</v>
      </c>
      <c r="D20" s="36"/>
      <c r="E20" s="35" t="s">
        <v>486</v>
      </c>
      <c r="F20" s="36" t="s">
        <v>466</v>
      </c>
      <c r="G20" s="38" t="s">
        <v>473</v>
      </c>
      <c r="H20" s="38"/>
      <c r="I20" s="38" t="s">
        <v>474</v>
      </c>
      <c r="J20" s="39"/>
      <c r="K20" s="38" t="s">
        <v>314</v>
      </c>
      <c r="L20" s="39"/>
      <c r="M20" s="38" t="s">
        <v>335</v>
      </c>
      <c r="N20" s="38" t="s">
        <v>472</v>
      </c>
      <c r="O20" s="38" t="s">
        <v>16</v>
      </c>
      <c r="P20" s="7" t="s">
        <v>27</v>
      </c>
      <c r="Q20" s="49" t="s">
        <v>98</v>
      </c>
      <c r="R20" s="39">
        <v>11</v>
      </c>
      <c r="S20" s="40">
        <f>IF(R20="","",IF(R20=1,300,IF(R20=2,370,IF(R20=3,630,IF(R20=4,830,IF(R20=5,370,IF(R20=6,430,IF(R20=7,530,IF(R20=8,370,IF(R20=9,700,IF(R20=10,870,IF(R20=11,370,IF(R20=12,370,IF(R20=13,370,IF(R20=13,370,IF(R20=14,370,IF(R20=15,370,IF(R20=16,300,IF(R20=17,300,IF(R20=18,170,IF(R20=19,330)))))))))))))))))))))</f>
        <v>370</v>
      </c>
      <c r="T20" s="41">
        <v>370</v>
      </c>
      <c r="U20" s="42" t="str">
        <f>IF(R20="","",IF(T20&gt;(5*S20),"ACIMA","OK"))</f>
        <v>OK</v>
      </c>
      <c r="V20" s="36"/>
      <c r="W20" s="41"/>
      <c r="X20" s="42" t="str">
        <f t="shared" si="6"/>
        <v/>
      </c>
      <c r="Y20" s="42" t="str">
        <f t="shared" si="4"/>
        <v/>
      </c>
      <c r="Z20" s="36">
        <v>44276</v>
      </c>
      <c r="AA20" s="40">
        <f>IF(R20="","",IF(Z20="",T20-W20,T20-(W20+(T20-W20))))</f>
        <v>0</v>
      </c>
    </row>
    <row r="21" spans="1:27" ht="51" x14ac:dyDescent="0.25">
      <c r="A21" s="34"/>
      <c r="B21" s="45" t="s">
        <v>107</v>
      </c>
      <c r="C21" s="70">
        <v>44265</v>
      </c>
      <c r="D21" s="46"/>
      <c r="E21" s="45" t="s">
        <v>483</v>
      </c>
      <c r="F21" s="46" t="s">
        <v>441</v>
      </c>
      <c r="G21" s="48" t="s">
        <v>484</v>
      </c>
      <c r="H21" s="48"/>
      <c r="I21" s="48" t="s">
        <v>487</v>
      </c>
      <c r="J21" s="49"/>
      <c r="K21" s="48" t="s">
        <v>488</v>
      </c>
      <c r="L21" s="49"/>
      <c r="M21" s="48" t="s">
        <v>489</v>
      </c>
      <c r="N21" s="49" t="s">
        <v>456</v>
      </c>
      <c r="O21" s="49" t="s">
        <v>37</v>
      </c>
      <c r="P21" s="49" t="s">
        <v>40</v>
      </c>
      <c r="Q21" s="49" t="s">
        <v>98</v>
      </c>
      <c r="R21" s="49">
        <v>16</v>
      </c>
      <c r="S21" s="50">
        <f t="shared" ref="S21:S29" si="7">IF(R21="","",IF(R21=1,300,IF(R21=2,370,IF(R21=3,630,IF(R21=4,830,IF(R21=5,370,IF(R21=6,430,IF(R21=7,530,IF(R21=8,370,IF(R21=9,700,IF(R21=10,870,IF(R21=11,370,IF(R21=12,370,IF(R21=13,370,IF(R21=13,370,IF(R21=14,370,IF(R21=15,370,IF(R21=16,300,IF(R21=17,300,IF(R21=18,170,IF(R21=19,330)))))))))))))))))))))</f>
        <v>300</v>
      </c>
      <c r="T21" s="51">
        <v>300</v>
      </c>
      <c r="U21" s="50" t="str">
        <f t="shared" ref="U21:U26" si="8">IF(R21="","",IF(T21&gt;(5*S21),"ACIMA","OK"))</f>
        <v>OK</v>
      </c>
      <c r="V21" s="46"/>
      <c r="W21" s="51"/>
      <c r="X21" s="52" t="str">
        <f t="shared" si="6"/>
        <v/>
      </c>
      <c r="Y21" s="52" t="str">
        <f t="shared" si="4"/>
        <v/>
      </c>
      <c r="Z21" s="46">
        <v>44276</v>
      </c>
      <c r="AA21" s="50">
        <f t="shared" ref="AA21:AA26" si="9">IF(R21="","",IF(Z21="",T21-W21,T21-(W21+(T21-W21))))</f>
        <v>0</v>
      </c>
    </row>
    <row r="22" spans="1:27" ht="51" x14ac:dyDescent="0.25">
      <c r="A22" s="34"/>
      <c r="B22" s="35" t="s">
        <v>108</v>
      </c>
      <c r="C22" s="69">
        <v>44265</v>
      </c>
      <c r="D22" s="36"/>
      <c r="E22" s="35" t="s">
        <v>490</v>
      </c>
      <c r="F22" s="36" t="s">
        <v>441</v>
      </c>
      <c r="G22" s="38" t="s">
        <v>484</v>
      </c>
      <c r="H22" s="38"/>
      <c r="I22" s="38" t="s">
        <v>487</v>
      </c>
      <c r="J22" s="39"/>
      <c r="K22" s="38" t="s">
        <v>488</v>
      </c>
      <c r="L22" s="39"/>
      <c r="M22" s="38" t="s">
        <v>452</v>
      </c>
      <c r="N22" s="38" t="s">
        <v>453</v>
      </c>
      <c r="O22" s="39" t="s">
        <v>39</v>
      </c>
      <c r="P22" s="39" t="s">
        <v>40</v>
      </c>
      <c r="Q22" s="39" t="s">
        <v>98</v>
      </c>
      <c r="R22" s="39">
        <v>17</v>
      </c>
      <c r="S22" s="40">
        <f t="shared" si="7"/>
        <v>300</v>
      </c>
      <c r="T22" s="41">
        <v>300</v>
      </c>
      <c r="U22" s="42" t="str">
        <f t="shared" si="8"/>
        <v>OK</v>
      </c>
      <c r="V22" s="36"/>
      <c r="W22" s="41"/>
      <c r="X22" s="42" t="str">
        <f t="shared" si="6"/>
        <v/>
      </c>
      <c r="Y22" s="42" t="str">
        <f t="shared" si="4"/>
        <v/>
      </c>
      <c r="Z22" s="36">
        <v>44276</v>
      </c>
      <c r="AA22" s="40">
        <f t="shared" si="9"/>
        <v>0</v>
      </c>
    </row>
    <row r="23" spans="1:27" ht="63.75" x14ac:dyDescent="0.25">
      <c r="A23" s="34"/>
      <c r="B23" s="45" t="s">
        <v>109</v>
      </c>
      <c r="C23" s="70">
        <v>44138</v>
      </c>
      <c r="D23" s="46"/>
      <c r="E23" s="45" t="s">
        <v>491</v>
      </c>
      <c r="F23" s="72" t="s">
        <v>492</v>
      </c>
      <c r="G23" s="48" t="s">
        <v>493</v>
      </c>
      <c r="H23" s="49"/>
      <c r="I23" s="48" t="s">
        <v>494</v>
      </c>
      <c r="J23" s="49"/>
      <c r="K23" s="48" t="s">
        <v>495</v>
      </c>
      <c r="L23" s="49"/>
      <c r="M23" s="48" t="s">
        <v>496</v>
      </c>
      <c r="N23" s="48" t="s">
        <v>497</v>
      </c>
      <c r="O23" s="48" t="s">
        <v>16</v>
      </c>
      <c r="P23" s="48" t="s">
        <v>498</v>
      </c>
      <c r="Q23" s="49" t="s">
        <v>98</v>
      </c>
      <c r="R23" s="49">
        <v>1</v>
      </c>
      <c r="S23" s="50">
        <f t="shared" si="7"/>
        <v>300</v>
      </c>
      <c r="T23" s="51">
        <v>300</v>
      </c>
      <c r="U23" s="50" t="str">
        <f t="shared" si="8"/>
        <v>OK</v>
      </c>
      <c r="V23" s="46"/>
      <c r="W23" s="51"/>
      <c r="X23" s="52" t="str">
        <f t="shared" si="6"/>
        <v/>
      </c>
      <c r="Y23" s="52" t="str">
        <f t="shared" si="4"/>
        <v/>
      </c>
      <c r="Z23" s="46">
        <v>44273</v>
      </c>
      <c r="AA23" s="50">
        <f t="shared" si="9"/>
        <v>0</v>
      </c>
    </row>
    <row r="24" spans="1:27" ht="38.25" x14ac:dyDescent="0.25">
      <c r="A24" s="34"/>
      <c r="B24" s="35" t="s">
        <v>110</v>
      </c>
      <c r="C24" s="69">
        <v>44265</v>
      </c>
      <c r="D24" s="36"/>
      <c r="E24" s="35" t="s">
        <v>499</v>
      </c>
      <c r="F24" s="36" t="s">
        <v>441</v>
      </c>
      <c r="G24" s="38" t="s">
        <v>458</v>
      </c>
      <c r="H24" s="38"/>
      <c r="I24" s="38" t="s">
        <v>459</v>
      </c>
      <c r="J24" s="39"/>
      <c r="K24" s="38" t="s">
        <v>460</v>
      </c>
      <c r="L24" s="39"/>
      <c r="M24" s="38" t="s">
        <v>445</v>
      </c>
      <c r="N24" s="38" t="s">
        <v>446</v>
      </c>
      <c r="O24" s="39" t="s">
        <v>39</v>
      </c>
      <c r="P24" s="39" t="s">
        <v>40</v>
      </c>
      <c r="Q24" s="49" t="s">
        <v>98</v>
      </c>
      <c r="R24" s="39">
        <v>17</v>
      </c>
      <c r="S24" s="40">
        <f t="shared" si="7"/>
        <v>300</v>
      </c>
      <c r="T24" s="41">
        <v>300</v>
      </c>
      <c r="U24" s="42" t="str">
        <f t="shared" si="8"/>
        <v>OK</v>
      </c>
      <c r="V24" s="36"/>
      <c r="W24" s="41"/>
      <c r="X24" s="42" t="str">
        <f t="shared" si="6"/>
        <v/>
      </c>
      <c r="Y24" s="42" t="str">
        <f t="shared" si="4"/>
        <v/>
      </c>
      <c r="Z24" s="36">
        <v>44276</v>
      </c>
      <c r="AA24" s="40">
        <f t="shared" si="9"/>
        <v>0</v>
      </c>
    </row>
    <row r="25" spans="1:27" ht="51" x14ac:dyDescent="0.25">
      <c r="A25" s="34"/>
      <c r="B25" s="45" t="s">
        <v>111</v>
      </c>
      <c r="C25" s="70">
        <v>44277</v>
      </c>
      <c r="D25" s="46"/>
      <c r="E25" s="45" t="s">
        <v>500</v>
      </c>
      <c r="F25" s="46" t="s">
        <v>501</v>
      </c>
      <c r="G25" s="48" t="s">
        <v>502</v>
      </c>
      <c r="H25" s="49"/>
      <c r="I25" s="48" t="s">
        <v>503</v>
      </c>
      <c r="J25" s="49"/>
      <c r="K25" s="48" t="s">
        <v>504</v>
      </c>
      <c r="L25" s="49"/>
      <c r="M25" s="48" t="s">
        <v>320</v>
      </c>
      <c r="N25" s="48" t="s">
        <v>317</v>
      </c>
      <c r="O25" s="49" t="s">
        <v>432</v>
      </c>
      <c r="P25" s="49" t="s">
        <v>480</v>
      </c>
      <c r="Q25" s="49" t="s">
        <v>98</v>
      </c>
      <c r="R25" s="49">
        <v>1</v>
      </c>
      <c r="S25" s="50">
        <f t="shared" si="7"/>
        <v>300</v>
      </c>
      <c r="T25" s="51">
        <v>300</v>
      </c>
      <c r="U25" s="50" t="str">
        <f t="shared" si="8"/>
        <v>OK</v>
      </c>
      <c r="V25" s="46"/>
      <c r="W25" s="51"/>
      <c r="X25" s="52" t="str">
        <f t="shared" si="6"/>
        <v/>
      </c>
      <c r="Y25" s="52" t="str">
        <f t="shared" si="4"/>
        <v/>
      </c>
      <c r="Z25" s="46">
        <v>44276</v>
      </c>
      <c r="AA25" s="50">
        <f t="shared" si="9"/>
        <v>0</v>
      </c>
    </row>
    <row r="26" spans="1:27" ht="38.25" x14ac:dyDescent="0.25">
      <c r="A26" s="34"/>
      <c r="B26" s="35" t="s">
        <v>112</v>
      </c>
      <c r="C26" s="69">
        <v>44277</v>
      </c>
      <c r="D26" s="36"/>
      <c r="E26" s="35" t="s">
        <v>505</v>
      </c>
      <c r="F26" s="73" t="s">
        <v>506</v>
      </c>
      <c r="G26" s="38" t="s">
        <v>507</v>
      </c>
      <c r="H26" s="38"/>
      <c r="I26" s="38" t="s">
        <v>508</v>
      </c>
      <c r="J26" s="39"/>
      <c r="K26" s="38" t="s">
        <v>437</v>
      </c>
      <c r="L26" s="39"/>
      <c r="M26" s="38" t="s">
        <v>509</v>
      </c>
      <c r="N26" s="38" t="s">
        <v>510</v>
      </c>
      <c r="O26" s="38" t="s">
        <v>31</v>
      </c>
      <c r="P26" s="39" t="s">
        <v>29</v>
      </c>
      <c r="Q26" s="39" t="s">
        <v>98</v>
      </c>
      <c r="R26" s="39">
        <v>15</v>
      </c>
      <c r="S26" s="40">
        <f t="shared" si="7"/>
        <v>370</v>
      </c>
      <c r="T26" s="41">
        <v>370</v>
      </c>
      <c r="U26" s="42" t="str">
        <f t="shared" si="8"/>
        <v>OK</v>
      </c>
      <c r="V26" s="36"/>
      <c r="W26" s="41"/>
      <c r="X26" s="42" t="str">
        <f t="shared" si="6"/>
        <v/>
      </c>
      <c r="Y26" s="42" t="str">
        <f t="shared" si="4"/>
        <v/>
      </c>
      <c r="Z26" s="36">
        <v>44278</v>
      </c>
      <c r="AA26" s="40">
        <f t="shared" si="9"/>
        <v>0</v>
      </c>
    </row>
    <row r="27" spans="1:27" ht="38.25" x14ac:dyDescent="0.25">
      <c r="A27" s="34"/>
      <c r="B27" s="45" t="s">
        <v>113</v>
      </c>
      <c r="C27" s="70">
        <v>44277</v>
      </c>
      <c r="D27" s="46"/>
      <c r="E27" s="45" t="s">
        <v>511</v>
      </c>
      <c r="F27" s="72" t="s">
        <v>506</v>
      </c>
      <c r="G27" s="48" t="s">
        <v>512</v>
      </c>
      <c r="H27" s="48"/>
      <c r="I27" s="48" t="s">
        <v>513</v>
      </c>
      <c r="J27" s="49"/>
      <c r="K27" s="49" t="s">
        <v>437</v>
      </c>
      <c r="L27" s="49"/>
      <c r="M27" s="48" t="s">
        <v>509</v>
      </c>
      <c r="N27" s="49" t="s">
        <v>510</v>
      </c>
      <c r="O27" s="48" t="s">
        <v>31</v>
      </c>
      <c r="P27" s="49" t="s">
        <v>29</v>
      </c>
      <c r="Q27" s="49" t="s">
        <v>98</v>
      </c>
      <c r="R27" s="49">
        <v>15</v>
      </c>
      <c r="S27" s="50">
        <f t="shared" si="7"/>
        <v>370</v>
      </c>
      <c r="T27" s="51">
        <v>370</v>
      </c>
      <c r="U27" s="50" t="str">
        <f>IF(R27="","",IF(T27&gt;(5*S27),"ACIMA","OK"))</f>
        <v>OK</v>
      </c>
      <c r="V27" s="46"/>
      <c r="W27" s="51"/>
      <c r="X27" s="52" t="str">
        <f t="shared" si="6"/>
        <v/>
      </c>
      <c r="Y27" s="52" t="str">
        <f t="shared" si="4"/>
        <v/>
      </c>
      <c r="Z27" s="46">
        <v>44278</v>
      </c>
      <c r="AA27" s="50">
        <f>IF(R27="","",IF(Z27="",T27-W27,T27-(W27+(T27-W27))))</f>
        <v>0</v>
      </c>
    </row>
    <row r="28" spans="1:27" ht="38.25" x14ac:dyDescent="0.25">
      <c r="A28" s="34"/>
      <c r="B28" s="35" t="s">
        <v>114</v>
      </c>
      <c r="C28" s="69">
        <v>44277</v>
      </c>
      <c r="D28" s="36"/>
      <c r="E28" s="35" t="s">
        <v>514</v>
      </c>
      <c r="F28" s="73" t="s">
        <v>506</v>
      </c>
      <c r="G28" s="38" t="s">
        <v>515</v>
      </c>
      <c r="H28" s="38"/>
      <c r="I28" s="38" t="s">
        <v>516</v>
      </c>
      <c r="J28" s="39"/>
      <c r="K28" s="38" t="s">
        <v>437</v>
      </c>
      <c r="L28" s="39"/>
      <c r="M28" s="38" t="s">
        <v>509</v>
      </c>
      <c r="N28" s="38" t="s">
        <v>517</v>
      </c>
      <c r="O28" s="38" t="s">
        <v>31</v>
      </c>
      <c r="P28" s="39" t="s">
        <v>29</v>
      </c>
      <c r="Q28" s="39" t="s">
        <v>98</v>
      </c>
      <c r="R28" s="39">
        <v>15</v>
      </c>
      <c r="S28" s="40">
        <f t="shared" si="7"/>
        <v>370</v>
      </c>
      <c r="T28" s="41">
        <v>370</v>
      </c>
      <c r="U28" s="42" t="str">
        <f>IF(R28="","",IF(T28&gt;(5*S28),"ACIMA","OK"))</f>
        <v>OK</v>
      </c>
      <c r="V28" s="36"/>
      <c r="W28" s="41"/>
      <c r="X28" s="42" t="str">
        <f t="shared" si="6"/>
        <v/>
      </c>
      <c r="Y28" s="42" t="str">
        <f t="shared" si="4"/>
        <v/>
      </c>
      <c r="Z28" s="36">
        <v>44278</v>
      </c>
      <c r="AA28" s="40">
        <f>IF(R28="","",IF(Z28="",T28-W28,T28-(W28+(T28-W28))))</f>
        <v>0</v>
      </c>
    </row>
    <row r="29" spans="1:27" ht="38.25" x14ac:dyDescent="0.25">
      <c r="A29" s="34"/>
      <c r="B29" s="45" t="s">
        <v>115</v>
      </c>
      <c r="C29" s="70">
        <v>44277</v>
      </c>
      <c r="D29" s="46"/>
      <c r="E29" s="45" t="s">
        <v>518</v>
      </c>
      <c r="F29" s="72" t="s">
        <v>506</v>
      </c>
      <c r="G29" s="48" t="s">
        <v>519</v>
      </c>
      <c r="H29" s="49"/>
      <c r="I29" s="48" t="s">
        <v>520</v>
      </c>
      <c r="J29" s="49"/>
      <c r="K29" s="48" t="s">
        <v>437</v>
      </c>
      <c r="L29" s="49"/>
      <c r="M29" s="48" t="s">
        <v>509</v>
      </c>
      <c r="N29" s="48" t="s">
        <v>517</v>
      </c>
      <c r="O29" s="48" t="s">
        <v>31</v>
      </c>
      <c r="P29" s="49" t="s">
        <v>29</v>
      </c>
      <c r="Q29" s="49" t="s">
        <v>98</v>
      </c>
      <c r="R29" s="49">
        <v>15</v>
      </c>
      <c r="S29" s="50">
        <f t="shared" si="7"/>
        <v>370</v>
      </c>
      <c r="T29" s="51">
        <v>370</v>
      </c>
      <c r="U29" s="50" t="str">
        <f>IF(R29="","",IF(T29&gt;(5*S29),"ACIMA","OK"))</f>
        <v>OK</v>
      </c>
      <c r="V29" s="46"/>
      <c r="W29" s="51"/>
      <c r="X29" s="52" t="str">
        <f t="shared" si="6"/>
        <v/>
      </c>
      <c r="Y29" s="52" t="str">
        <f t="shared" si="4"/>
        <v/>
      </c>
      <c r="Z29" s="46">
        <v>44278</v>
      </c>
      <c r="AA29" s="50">
        <f>IF(R29="","",IF(Z29="",T29-W29,T29-(W29+(T29-W29))))</f>
        <v>0</v>
      </c>
    </row>
    <row r="30" spans="1:27" ht="38.25" x14ac:dyDescent="0.25">
      <c r="A30" s="34"/>
      <c r="B30" s="35" t="s">
        <v>116</v>
      </c>
      <c r="C30" s="69">
        <v>44277</v>
      </c>
      <c r="D30" s="36"/>
      <c r="E30" s="35" t="s">
        <v>521</v>
      </c>
      <c r="F30" s="73" t="s">
        <v>506</v>
      </c>
      <c r="G30" s="38" t="s">
        <v>522</v>
      </c>
      <c r="H30" s="38"/>
      <c r="I30" s="38" t="s">
        <v>523</v>
      </c>
      <c r="J30" s="39"/>
      <c r="K30" s="38" t="s">
        <v>437</v>
      </c>
      <c r="L30" s="39"/>
      <c r="M30" s="38" t="s">
        <v>509</v>
      </c>
      <c r="N30" s="38" t="s">
        <v>517</v>
      </c>
      <c r="O30" s="38" t="s">
        <v>31</v>
      </c>
      <c r="P30" s="39" t="s">
        <v>29</v>
      </c>
      <c r="Q30" s="49" t="s">
        <v>98</v>
      </c>
      <c r="R30" s="39">
        <v>15</v>
      </c>
      <c r="S30" s="40">
        <f t="shared" ref="S30:S93" si="10">IF(R30="","",IF(R30=1,300,IF(R30=2,370,IF(R30=3,630,IF(R30=4,830,IF(R30=5,370,IF(R30=6,430,IF(R30=7,530,IF(R30=8,370,IF(R30=9,700,IF(R30=10,870,IF(R30=11,370,IF(R30=12,370,IF(R30=13,370,IF(R30=13,370,IF(R30=14,370,IF(R30=15,370,IF(R30=16,300,IF(R30=17,300,IF(R30=18,170,IF(R30=19,330)))))))))))))))))))))</f>
        <v>370</v>
      </c>
      <c r="T30" s="41">
        <v>370</v>
      </c>
      <c r="U30" s="42" t="str">
        <f t="shared" ref="U30:U93" si="11">IF(R30="","",IF(T30&gt;(5*S30),"ACIMA","OK"))</f>
        <v>OK</v>
      </c>
      <c r="V30" s="36"/>
      <c r="W30" s="41"/>
      <c r="X30" s="42" t="str">
        <f t="shared" ref="X30:X93" si="12">IF(W30="","",W30/T30)</f>
        <v/>
      </c>
      <c r="Y30" s="42" t="str">
        <f t="shared" si="4"/>
        <v/>
      </c>
      <c r="Z30" s="36">
        <v>44278</v>
      </c>
      <c r="AA30" s="40">
        <f t="shared" ref="AA30:AA93" si="13">IF(R30="","",IF(Z30="",T30-W30,T30-(W30+(T30-W30))))</f>
        <v>0</v>
      </c>
    </row>
    <row r="31" spans="1:27" ht="51" x14ac:dyDescent="0.25">
      <c r="A31" s="34"/>
      <c r="B31" s="45" t="s">
        <v>117</v>
      </c>
      <c r="C31" s="70">
        <v>44278</v>
      </c>
      <c r="D31" s="46"/>
      <c r="E31" s="45" t="s">
        <v>524</v>
      </c>
      <c r="F31" s="72" t="s">
        <v>526</v>
      </c>
      <c r="G31" s="48" t="s">
        <v>525</v>
      </c>
      <c r="H31" s="49"/>
      <c r="I31" s="48" t="s">
        <v>527</v>
      </c>
      <c r="J31" s="49"/>
      <c r="K31" s="48" t="s">
        <v>528</v>
      </c>
      <c r="L31" s="49"/>
      <c r="M31" s="48" t="s">
        <v>529</v>
      </c>
      <c r="N31" s="48" t="s">
        <v>530</v>
      </c>
      <c r="O31" s="48" t="s">
        <v>16</v>
      </c>
      <c r="P31" s="48" t="s">
        <v>25</v>
      </c>
      <c r="Q31" s="49" t="s">
        <v>98</v>
      </c>
      <c r="R31" s="49">
        <v>10</v>
      </c>
      <c r="S31" s="50">
        <f t="shared" si="10"/>
        <v>870</v>
      </c>
      <c r="T31" s="51">
        <v>870</v>
      </c>
      <c r="U31" s="50" t="str">
        <f t="shared" si="11"/>
        <v>OK</v>
      </c>
      <c r="V31" s="46"/>
      <c r="W31" s="51"/>
      <c r="X31" s="52" t="str">
        <f t="shared" si="12"/>
        <v/>
      </c>
      <c r="Y31" s="52" t="str">
        <f t="shared" si="4"/>
        <v/>
      </c>
      <c r="Z31" s="46">
        <v>44284</v>
      </c>
      <c r="AA31" s="50">
        <f t="shared" si="13"/>
        <v>0</v>
      </c>
    </row>
    <row r="32" spans="1:27" ht="63.75" x14ac:dyDescent="0.25">
      <c r="A32" s="34"/>
      <c r="B32" s="35" t="s">
        <v>118</v>
      </c>
      <c r="C32" s="69">
        <v>44281</v>
      </c>
      <c r="D32" s="36"/>
      <c r="E32" s="35" t="s">
        <v>531</v>
      </c>
      <c r="F32" s="73" t="s">
        <v>989</v>
      </c>
      <c r="G32" s="38" t="s">
        <v>532</v>
      </c>
      <c r="H32" s="38"/>
      <c r="I32" s="38" t="s">
        <v>533</v>
      </c>
      <c r="J32" s="39"/>
      <c r="K32" s="38" t="s">
        <v>534</v>
      </c>
      <c r="L32" s="39"/>
      <c r="M32" s="38" t="s">
        <v>389</v>
      </c>
      <c r="N32" s="38" t="s">
        <v>385</v>
      </c>
      <c r="O32" s="38" t="s">
        <v>16</v>
      </c>
      <c r="P32" s="38" t="s">
        <v>21</v>
      </c>
      <c r="Q32" s="39" t="s">
        <v>98</v>
      </c>
      <c r="R32" s="39">
        <v>8</v>
      </c>
      <c r="S32" s="40">
        <f t="shared" si="10"/>
        <v>370</v>
      </c>
      <c r="T32" s="41">
        <v>370</v>
      </c>
      <c r="U32" s="42" t="str">
        <f t="shared" si="11"/>
        <v>OK</v>
      </c>
      <c r="V32" s="36"/>
      <c r="W32" s="41"/>
      <c r="X32" s="42" t="str">
        <f t="shared" si="12"/>
        <v/>
      </c>
      <c r="Y32" s="42" t="str">
        <f t="shared" si="4"/>
        <v/>
      </c>
      <c r="Z32" s="36">
        <v>44284</v>
      </c>
      <c r="AA32" s="40">
        <f t="shared" si="13"/>
        <v>0</v>
      </c>
    </row>
    <row r="33" spans="1:27" ht="51" x14ac:dyDescent="0.25">
      <c r="A33" s="34"/>
      <c r="B33" s="45" t="s">
        <v>119</v>
      </c>
      <c r="C33" s="70">
        <v>44294</v>
      </c>
      <c r="D33" s="46"/>
      <c r="E33" s="45" t="s">
        <v>535</v>
      </c>
      <c r="F33" s="72" t="s">
        <v>526</v>
      </c>
      <c r="G33" s="48" t="s">
        <v>536</v>
      </c>
      <c r="H33" s="48"/>
      <c r="I33" s="48" t="s">
        <v>537</v>
      </c>
      <c r="J33" s="49"/>
      <c r="K33" s="48" t="s">
        <v>538</v>
      </c>
      <c r="L33" s="49"/>
      <c r="M33" s="48" t="s">
        <v>539</v>
      </c>
      <c r="N33" s="48" t="s">
        <v>530</v>
      </c>
      <c r="O33" s="48" t="s">
        <v>16</v>
      </c>
      <c r="P33" s="48" t="s">
        <v>25</v>
      </c>
      <c r="Q33" s="49" t="s">
        <v>98</v>
      </c>
      <c r="R33" s="49">
        <v>10</v>
      </c>
      <c r="S33" s="50">
        <f t="shared" si="10"/>
        <v>870</v>
      </c>
      <c r="T33" s="51">
        <v>870</v>
      </c>
      <c r="U33" s="50" t="str">
        <f t="shared" si="11"/>
        <v>OK</v>
      </c>
      <c r="V33" s="46"/>
      <c r="W33" s="51"/>
      <c r="X33" s="52" t="str">
        <f t="shared" si="12"/>
        <v/>
      </c>
      <c r="Y33" s="52" t="str">
        <f t="shared" si="4"/>
        <v/>
      </c>
      <c r="Z33" s="46">
        <v>44295</v>
      </c>
      <c r="AA33" s="50">
        <f t="shared" si="13"/>
        <v>0</v>
      </c>
    </row>
    <row r="34" spans="1:27" ht="38.25" x14ac:dyDescent="0.25">
      <c r="A34" s="34"/>
      <c r="B34" s="35" t="s">
        <v>120</v>
      </c>
      <c r="C34" s="69">
        <v>44524</v>
      </c>
      <c r="D34" s="36"/>
      <c r="E34" s="35" t="s">
        <v>540</v>
      </c>
      <c r="F34" s="73" t="s">
        <v>541</v>
      </c>
      <c r="G34" s="38" t="s">
        <v>542</v>
      </c>
      <c r="H34" s="38"/>
      <c r="I34" s="38" t="s">
        <v>543</v>
      </c>
      <c r="J34" s="39"/>
      <c r="K34" s="38" t="s">
        <v>544</v>
      </c>
      <c r="L34" s="39"/>
      <c r="M34" s="38" t="s">
        <v>545</v>
      </c>
      <c r="N34" s="38" t="s">
        <v>546</v>
      </c>
      <c r="O34" s="38" t="s">
        <v>16</v>
      </c>
      <c r="P34" s="38" t="s">
        <v>25</v>
      </c>
      <c r="Q34" s="39" t="s">
        <v>98</v>
      </c>
      <c r="R34" s="39">
        <v>10</v>
      </c>
      <c r="S34" s="40">
        <f t="shared" si="10"/>
        <v>870</v>
      </c>
      <c r="T34" s="41">
        <v>1500</v>
      </c>
      <c r="U34" s="42" t="str">
        <f t="shared" si="11"/>
        <v>OK</v>
      </c>
      <c r="V34" s="36"/>
      <c r="W34" s="41"/>
      <c r="X34" s="42" t="str">
        <f t="shared" si="12"/>
        <v/>
      </c>
      <c r="Y34" s="42" t="str">
        <f t="shared" si="4"/>
        <v/>
      </c>
      <c r="Z34" s="36">
        <v>44295</v>
      </c>
      <c r="AA34" s="40">
        <f t="shared" si="13"/>
        <v>0</v>
      </c>
    </row>
    <row r="35" spans="1:27" ht="38.25" x14ac:dyDescent="0.25">
      <c r="A35" s="34"/>
      <c r="B35" s="45" t="s">
        <v>121</v>
      </c>
      <c r="C35" s="70">
        <v>44228</v>
      </c>
      <c r="D35" s="46"/>
      <c r="E35" s="45" t="s">
        <v>547</v>
      </c>
      <c r="F35" s="72" t="s">
        <v>548</v>
      </c>
      <c r="G35" s="48" t="s">
        <v>549</v>
      </c>
      <c r="H35" s="49"/>
      <c r="I35" s="48" t="s">
        <v>550</v>
      </c>
      <c r="J35" s="49"/>
      <c r="K35" s="48" t="s">
        <v>551</v>
      </c>
      <c r="L35" s="49"/>
      <c r="M35" s="48" t="s">
        <v>345</v>
      </c>
      <c r="N35" s="48" t="s">
        <v>552</v>
      </c>
      <c r="O35" s="48" t="s">
        <v>39</v>
      </c>
      <c r="P35" s="49" t="s">
        <v>40</v>
      </c>
      <c r="Q35" s="49" t="s">
        <v>98</v>
      </c>
      <c r="R35" s="49">
        <v>17</v>
      </c>
      <c r="S35" s="50">
        <f t="shared" si="10"/>
        <v>300</v>
      </c>
      <c r="T35" s="51">
        <v>450</v>
      </c>
      <c r="U35" s="50" t="str">
        <f t="shared" si="11"/>
        <v>OK</v>
      </c>
      <c r="V35" s="46"/>
      <c r="W35" s="51"/>
      <c r="X35" s="52" t="str">
        <f t="shared" si="12"/>
        <v/>
      </c>
      <c r="Y35" s="52" t="str">
        <f t="shared" si="4"/>
        <v/>
      </c>
      <c r="Z35" s="46">
        <v>44239</v>
      </c>
      <c r="AA35" s="50">
        <f t="shared" si="13"/>
        <v>0</v>
      </c>
    </row>
    <row r="36" spans="1:27" ht="63.75" x14ac:dyDescent="0.25">
      <c r="A36" s="34"/>
      <c r="B36" s="35" t="s">
        <v>122</v>
      </c>
      <c r="C36" s="69">
        <v>44225</v>
      </c>
      <c r="D36" s="36"/>
      <c r="E36" s="35" t="s">
        <v>553</v>
      </c>
      <c r="F36" s="73" t="s">
        <v>554</v>
      </c>
      <c r="G36" s="38" t="s">
        <v>555</v>
      </c>
      <c r="H36" s="38"/>
      <c r="I36" s="38" t="s">
        <v>556</v>
      </c>
      <c r="J36" s="39"/>
      <c r="K36" s="38" t="s">
        <v>557</v>
      </c>
      <c r="L36" s="39"/>
      <c r="M36" s="38" t="s">
        <v>558</v>
      </c>
      <c r="N36" s="38" t="s">
        <v>559</v>
      </c>
      <c r="O36" s="38" t="s">
        <v>16</v>
      </c>
      <c r="P36" s="38" t="s">
        <v>17</v>
      </c>
      <c r="Q36" s="49" t="s">
        <v>98</v>
      </c>
      <c r="R36" s="38">
        <v>6</v>
      </c>
      <c r="S36" s="40">
        <f t="shared" si="10"/>
        <v>430</v>
      </c>
      <c r="T36" s="41">
        <v>1850</v>
      </c>
      <c r="U36" s="42" t="str">
        <f t="shared" si="11"/>
        <v>OK</v>
      </c>
      <c r="V36" s="36"/>
      <c r="W36" s="41"/>
      <c r="X36" s="42" t="str">
        <f t="shared" si="12"/>
        <v/>
      </c>
      <c r="Y36" s="42" t="str">
        <f t="shared" si="4"/>
        <v/>
      </c>
      <c r="Z36" s="36">
        <v>44295</v>
      </c>
      <c r="AA36" s="40">
        <f t="shared" si="13"/>
        <v>0</v>
      </c>
    </row>
    <row r="37" spans="1:27" ht="38.25" x14ac:dyDescent="0.25">
      <c r="A37" s="34"/>
      <c r="B37" s="45" t="s">
        <v>123</v>
      </c>
      <c r="C37" s="70">
        <v>44238</v>
      </c>
      <c r="D37" s="46"/>
      <c r="E37" s="45" t="s">
        <v>560</v>
      </c>
      <c r="F37" s="72" t="s">
        <v>561</v>
      </c>
      <c r="G37" s="48" t="s">
        <v>562</v>
      </c>
      <c r="H37" s="49"/>
      <c r="I37" s="48" t="s">
        <v>563</v>
      </c>
      <c r="J37" s="49"/>
      <c r="K37" s="48" t="s">
        <v>564</v>
      </c>
      <c r="L37" s="49"/>
      <c r="M37" s="48" t="s">
        <v>565</v>
      </c>
      <c r="N37" s="48" t="s">
        <v>566</v>
      </c>
      <c r="O37" s="49" t="s">
        <v>39</v>
      </c>
      <c r="P37" s="49" t="s">
        <v>40</v>
      </c>
      <c r="Q37" s="49" t="s">
        <v>98</v>
      </c>
      <c r="R37" s="49">
        <v>17</v>
      </c>
      <c r="S37" s="50">
        <f t="shared" si="10"/>
        <v>300</v>
      </c>
      <c r="T37" s="51">
        <v>300</v>
      </c>
      <c r="U37" s="50" t="str">
        <f t="shared" si="11"/>
        <v>OK</v>
      </c>
      <c r="V37" s="46"/>
      <c r="W37" s="51"/>
      <c r="X37" s="52" t="str">
        <f t="shared" si="12"/>
        <v/>
      </c>
      <c r="Y37" s="52" t="str">
        <f t="shared" si="4"/>
        <v/>
      </c>
      <c r="Z37" s="46">
        <v>44299</v>
      </c>
      <c r="AA37" s="50">
        <f t="shared" si="13"/>
        <v>0</v>
      </c>
    </row>
    <row r="38" spans="1:27" ht="51" x14ac:dyDescent="0.25">
      <c r="A38" s="34"/>
      <c r="B38" s="35" t="s">
        <v>124</v>
      </c>
      <c r="C38" s="69">
        <v>43510</v>
      </c>
      <c r="D38" s="36"/>
      <c r="E38" s="35" t="s">
        <v>567</v>
      </c>
      <c r="F38" s="74" t="s">
        <v>568</v>
      </c>
      <c r="G38" s="38" t="s">
        <v>569</v>
      </c>
      <c r="H38" s="38"/>
      <c r="I38" s="38" t="s">
        <v>570</v>
      </c>
      <c r="J38" s="39"/>
      <c r="K38" s="38" t="s">
        <v>571</v>
      </c>
      <c r="L38" s="39"/>
      <c r="M38" s="38" t="s">
        <v>572</v>
      </c>
      <c r="N38" s="38" t="s">
        <v>573</v>
      </c>
      <c r="O38" s="38" t="s">
        <v>31</v>
      </c>
      <c r="P38" s="39" t="s">
        <v>29</v>
      </c>
      <c r="Q38" s="39" t="s">
        <v>98</v>
      </c>
      <c r="R38" s="39">
        <v>15</v>
      </c>
      <c r="S38" s="40">
        <f t="shared" si="10"/>
        <v>370</v>
      </c>
      <c r="T38" s="41">
        <v>200</v>
      </c>
      <c r="U38" s="42" t="str">
        <f t="shared" si="11"/>
        <v>OK</v>
      </c>
      <c r="V38" s="36"/>
      <c r="W38" s="41"/>
      <c r="X38" s="42" t="str">
        <f t="shared" si="12"/>
        <v/>
      </c>
      <c r="Y38" s="42" t="str">
        <f t="shared" si="4"/>
        <v/>
      </c>
      <c r="Z38" s="36">
        <v>44301</v>
      </c>
      <c r="AA38" s="40">
        <f t="shared" si="13"/>
        <v>0</v>
      </c>
    </row>
    <row r="39" spans="1:27" ht="38.25" x14ac:dyDescent="0.25">
      <c r="A39" s="34"/>
      <c r="B39" s="45" t="s">
        <v>125</v>
      </c>
      <c r="C39" s="70">
        <v>44301</v>
      </c>
      <c r="D39" s="46"/>
      <c r="E39" s="45" t="s">
        <v>574</v>
      </c>
      <c r="F39" s="72" t="s">
        <v>575</v>
      </c>
      <c r="G39" s="48" t="s">
        <v>576</v>
      </c>
      <c r="H39" s="48"/>
      <c r="I39" s="48" t="s">
        <v>577</v>
      </c>
      <c r="J39" s="49"/>
      <c r="K39" s="48" t="s">
        <v>578</v>
      </c>
      <c r="L39" s="49"/>
      <c r="M39" s="48" t="s">
        <v>579</v>
      </c>
      <c r="N39" s="49" t="s">
        <v>580</v>
      </c>
      <c r="O39" s="48" t="s">
        <v>39</v>
      </c>
      <c r="P39" s="49" t="s">
        <v>40</v>
      </c>
      <c r="Q39" s="49" t="s">
        <v>126</v>
      </c>
      <c r="R39" s="49">
        <v>17</v>
      </c>
      <c r="S39" s="50">
        <f t="shared" si="10"/>
        <v>300</v>
      </c>
      <c r="T39" s="51">
        <v>300</v>
      </c>
      <c r="U39" s="50" t="str">
        <f t="shared" si="11"/>
        <v>OK</v>
      </c>
      <c r="V39" s="46"/>
      <c r="W39" s="51"/>
      <c r="X39" s="52" t="str">
        <f t="shared" si="12"/>
        <v/>
      </c>
      <c r="Y39" s="52" t="str">
        <f t="shared" si="4"/>
        <v/>
      </c>
      <c r="Z39" s="46">
        <v>44302</v>
      </c>
      <c r="AA39" s="50">
        <f t="shared" si="13"/>
        <v>0</v>
      </c>
    </row>
    <row r="40" spans="1:27" ht="51" x14ac:dyDescent="0.25">
      <c r="A40" s="34"/>
      <c r="B40" s="35" t="s">
        <v>127</v>
      </c>
      <c r="C40" s="69">
        <v>44306</v>
      </c>
      <c r="D40" s="36"/>
      <c r="E40" s="35" t="s">
        <v>581</v>
      </c>
      <c r="F40" s="36" t="s">
        <v>582</v>
      </c>
      <c r="G40" s="38" t="s">
        <v>584</v>
      </c>
      <c r="H40" s="38"/>
      <c r="I40" s="38" t="s">
        <v>583</v>
      </c>
      <c r="J40" s="39"/>
      <c r="K40" s="38" t="s">
        <v>585</v>
      </c>
      <c r="L40" s="39"/>
      <c r="M40" s="38" t="s">
        <v>586</v>
      </c>
      <c r="N40" s="38" t="s">
        <v>587</v>
      </c>
      <c r="O40" s="38" t="s">
        <v>5</v>
      </c>
      <c r="P40" s="39" t="s">
        <v>14</v>
      </c>
      <c r="Q40" s="39"/>
      <c r="R40" s="39">
        <v>5</v>
      </c>
      <c r="S40" s="40">
        <f t="shared" si="10"/>
        <v>370</v>
      </c>
      <c r="T40" s="41">
        <v>200</v>
      </c>
      <c r="U40" s="42" t="str">
        <f t="shared" si="11"/>
        <v>OK</v>
      </c>
      <c r="V40" s="36"/>
      <c r="W40" s="41"/>
      <c r="X40" s="42" t="str">
        <f t="shared" si="12"/>
        <v/>
      </c>
      <c r="Y40" s="42" t="str">
        <f t="shared" si="4"/>
        <v/>
      </c>
      <c r="Z40" s="36">
        <v>44306</v>
      </c>
      <c r="AA40" s="40">
        <f t="shared" si="13"/>
        <v>0</v>
      </c>
    </row>
    <row r="41" spans="1:27" ht="63.75" x14ac:dyDescent="0.25">
      <c r="A41" s="34"/>
      <c r="B41" s="45" t="s">
        <v>128</v>
      </c>
      <c r="C41" s="70">
        <v>44308</v>
      </c>
      <c r="D41" s="46"/>
      <c r="E41" s="45" t="s">
        <v>588</v>
      </c>
      <c r="F41" s="72" t="s">
        <v>548</v>
      </c>
      <c r="G41" s="48" t="s">
        <v>589</v>
      </c>
      <c r="H41" s="49"/>
      <c r="I41" s="48" t="s">
        <v>590</v>
      </c>
      <c r="J41" s="49"/>
      <c r="K41" s="48" t="s">
        <v>591</v>
      </c>
      <c r="L41" s="49"/>
      <c r="M41" s="48" t="s">
        <v>592</v>
      </c>
      <c r="N41" s="48" t="s">
        <v>593</v>
      </c>
      <c r="O41" s="48" t="s">
        <v>16</v>
      </c>
      <c r="P41" s="48" t="s">
        <v>594</v>
      </c>
      <c r="Q41" s="49"/>
      <c r="R41" s="49">
        <v>9</v>
      </c>
      <c r="S41" s="50">
        <f t="shared" si="10"/>
        <v>700</v>
      </c>
      <c r="T41" s="51">
        <v>700</v>
      </c>
      <c r="U41" s="50" t="str">
        <f t="shared" si="11"/>
        <v>OK</v>
      </c>
      <c r="V41" s="46"/>
      <c r="W41" s="51"/>
      <c r="X41" s="52" t="str">
        <f t="shared" si="12"/>
        <v/>
      </c>
      <c r="Y41" s="52" t="str">
        <f t="shared" si="4"/>
        <v/>
      </c>
      <c r="Z41" s="46">
        <v>44308</v>
      </c>
      <c r="AA41" s="50">
        <f t="shared" si="13"/>
        <v>0</v>
      </c>
    </row>
    <row r="42" spans="1:27" ht="89.25" x14ac:dyDescent="0.25">
      <c r="B42" s="35" t="s">
        <v>129</v>
      </c>
      <c r="C42" s="69">
        <v>44308</v>
      </c>
      <c r="D42" s="36"/>
      <c r="E42" s="35" t="s">
        <v>595</v>
      </c>
      <c r="F42" s="73" t="s">
        <v>548</v>
      </c>
      <c r="G42" s="38" t="s">
        <v>596</v>
      </c>
      <c r="H42" s="38"/>
      <c r="I42" s="38" t="s">
        <v>597</v>
      </c>
      <c r="J42" s="39"/>
      <c r="K42" s="38" t="s">
        <v>598</v>
      </c>
      <c r="L42" s="39"/>
      <c r="M42" s="38" t="s">
        <v>599</v>
      </c>
      <c r="N42" s="38" t="s">
        <v>600</v>
      </c>
      <c r="O42" s="38" t="s">
        <v>16</v>
      </c>
      <c r="P42" s="39" t="s">
        <v>29</v>
      </c>
      <c r="Q42" s="49"/>
      <c r="R42" s="39">
        <v>12</v>
      </c>
      <c r="S42" s="40">
        <f t="shared" si="10"/>
        <v>370</v>
      </c>
      <c r="T42" s="41">
        <v>300</v>
      </c>
      <c r="U42" s="42" t="str">
        <f t="shared" si="11"/>
        <v>OK</v>
      </c>
      <c r="V42" s="36"/>
      <c r="W42" s="41"/>
      <c r="X42" s="42" t="str">
        <f t="shared" si="12"/>
        <v/>
      </c>
      <c r="Y42" s="42" t="str">
        <f t="shared" si="4"/>
        <v/>
      </c>
      <c r="Z42" s="36">
        <v>44308</v>
      </c>
      <c r="AA42" s="40">
        <f t="shared" si="13"/>
        <v>0</v>
      </c>
    </row>
    <row r="43" spans="1:27" ht="38.25" x14ac:dyDescent="0.25">
      <c r="B43" s="45" t="s">
        <v>130</v>
      </c>
      <c r="C43" s="70">
        <v>43636</v>
      </c>
      <c r="D43" s="46"/>
      <c r="E43" s="45" t="s">
        <v>601</v>
      </c>
      <c r="F43" s="72" t="s">
        <v>575</v>
      </c>
      <c r="G43" s="48" t="s">
        <v>602</v>
      </c>
      <c r="H43" s="49"/>
      <c r="I43" s="48" t="s">
        <v>603</v>
      </c>
      <c r="J43" s="49"/>
      <c r="K43" s="48" t="s">
        <v>604</v>
      </c>
      <c r="L43" s="49"/>
      <c r="M43" s="48" t="s">
        <v>605</v>
      </c>
      <c r="N43" s="48" t="s">
        <v>606</v>
      </c>
      <c r="O43" s="48" t="s">
        <v>31</v>
      </c>
      <c r="P43" s="48" t="s">
        <v>32</v>
      </c>
      <c r="Q43" s="49"/>
      <c r="R43" s="49">
        <v>13</v>
      </c>
      <c r="S43" s="50">
        <f t="shared" si="10"/>
        <v>370</v>
      </c>
      <c r="T43" s="51">
        <v>300</v>
      </c>
      <c r="U43" s="50" t="str">
        <f t="shared" si="11"/>
        <v>OK</v>
      </c>
      <c r="V43" s="46"/>
      <c r="W43" s="51"/>
      <c r="X43" s="52" t="str">
        <f t="shared" si="12"/>
        <v/>
      </c>
      <c r="Y43" s="52" t="str">
        <f t="shared" si="4"/>
        <v/>
      </c>
      <c r="Z43" s="46">
        <v>44315</v>
      </c>
      <c r="AA43" s="50">
        <f t="shared" si="13"/>
        <v>0</v>
      </c>
    </row>
    <row r="44" spans="1:27" ht="76.5" x14ac:dyDescent="0.25">
      <c r="B44" s="35" t="s">
        <v>131</v>
      </c>
      <c r="C44" s="69">
        <v>43796</v>
      </c>
      <c r="D44" s="36"/>
      <c r="E44" s="35" t="s">
        <v>607</v>
      </c>
      <c r="F44" s="73" t="s">
        <v>608</v>
      </c>
      <c r="G44" s="38" t="s">
        <v>609</v>
      </c>
      <c r="H44" s="38"/>
      <c r="I44" s="38" t="s">
        <v>610</v>
      </c>
      <c r="J44" s="39"/>
      <c r="K44" s="38" t="s">
        <v>611</v>
      </c>
      <c r="L44" s="39"/>
      <c r="M44" s="38" t="s">
        <v>612</v>
      </c>
      <c r="N44" s="38" t="s">
        <v>479</v>
      </c>
      <c r="O44" s="39" t="s">
        <v>432</v>
      </c>
      <c r="P44" s="39" t="s">
        <v>480</v>
      </c>
      <c r="Q44" s="39"/>
      <c r="R44" s="39">
        <v>1</v>
      </c>
      <c r="S44" s="40">
        <f t="shared" si="10"/>
        <v>300</v>
      </c>
      <c r="T44" s="41">
        <v>300</v>
      </c>
      <c r="U44" s="42" t="str">
        <f t="shared" si="11"/>
        <v>OK</v>
      </c>
      <c r="V44" s="36"/>
      <c r="W44" s="41"/>
      <c r="X44" s="42" t="str">
        <f t="shared" si="12"/>
        <v/>
      </c>
      <c r="Y44" s="42" t="str">
        <f t="shared" si="4"/>
        <v/>
      </c>
      <c r="Z44" s="36">
        <v>44315</v>
      </c>
      <c r="AA44" s="40">
        <f t="shared" si="13"/>
        <v>0</v>
      </c>
    </row>
    <row r="45" spans="1:27" ht="25.5" x14ac:dyDescent="0.25">
      <c r="B45" s="45" t="s">
        <v>132</v>
      </c>
      <c r="C45" s="70">
        <v>43082</v>
      </c>
      <c r="D45" s="46"/>
      <c r="E45" s="45" t="s">
        <v>613</v>
      </c>
      <c r="F45" s="72" t="s">
        <v>608</v>
      </c>
      <c r="G45" s="48" t="s">
        <v>614</v>
      </c>
      <c r="H45" s="48"/>
      <c r="I45" s="48" t="s">
        <v>615</v>
      </c>
      <c r="J45" s="49"/>
      <c r="K45" s="49" t="s">
        <v>616</v>
      </c>
      <c r="L45" s="49"/>
      <c r="M45" s="48" t="s">
        <v>617</v>
      </c>
      <c r="N45" s="49" t="s">
        <v>618</v>
      </c>
      <c r="O45" s="48" t="s">
        <v>39</v>
      </c>
      <c r="P45" s="49" t="s">
        <v>40</v>
      </c>
      <c r="Q45" s="49"/>
      <c r="R45" s="49">
        <v>17</v>
      </c>
      <c r="S45" s="50">
        <f t="shared" si="10"/>
        <v>300</v>
      </c>
      <c r="T45" s="51">
        <v>442.93</v>
      </c>
      <c r="U45" s="50" t="str">
        <f t="shared" si="11"/>
        <v>OK</v>
      </c>
      <c r="V45" s="46"/>
      <c r="W45" s="51"/>
      <c r="X45" s="52" t="str">
        <f t="shared" si="12"/>
        <v/>
      </c>
      <c r="Y45" s="52" t="str">
        <f t="shared" si="4"/>
        <v/>
      </c>
      <c r="Z45" s="46">
        <v>44321</v>
      </c>
      <c r="AA45" s="50">
        <f t="shared" si="13"/>
        <v>0</v>
      </c>
    </row>
    <row r="46" spans="1:27" ht="63.75" x14ac:dyDescent="0.25">
      <c r="B46" s="35" t="s">
        <v>133</v>
      </c>
      <c r="C46" s="69">
        <v>43509</v>
      </c>
      <c r="D46" s="36"/>
      <c r="E46" s="35" t="s">
        <v>619</v>
      </c>
      <c r="F46" s="73" t="s">
        <v>620</v>
      </c>
      <c r="G46" s="38" t="s">
        <v>621</v>
      </c>
      <c r="H46" s="38"/>
      <c r="I46" s="38" t="s">
        <v>622</v>
      </c>
      <c r="J46" s="39"/>
      <c r="K46" s="38" t="s">
        <v>623</v>
      </c>
      <c r="L46" s="39"/>
      <c r="M46" s="38" t="s">
        <v>624</v>
      </c>
      <c r="N46" s="38" t="s">
        <v>625</v>
      </c>
      <c r="O46" s="38" t="s">
        <v>16</v>
      </c>
      <c r="P46" s="39" t="s">
        <v>594</v>
      </c>
      <c r="Q46" s="39"/>
      <c r="R46" s="39">
        <v>12</v>
      </c>
      <c r="S46" s="40">
        <f t="shared" si="10"/>
        <v>370</v>
      </c>
      <c r="T46" s="41">
        <v>954</v>
      </c>
      <c r="U46" s="42" t="str">
        <f t="shared" si="11"/>
        <v>OK</v>
      </c>
      <c r="V46" s="36"/>
      <c r="W46" s="41"/>
      <c r="X46" s="42" t="str">
        <f t="shared" si="12"/>
        <v/>
      </c>
      <c r="Y46" s="42" t="str">
        <f t="shared" si="4"/>
        <v/>
      </c>
      <c r="Z46" s="36">
        <v>44323</v>
      </c>
      <c r="AA46" s="40">
        <f t="shared" si="13"/>
        <v>0</v>
      </c>
    </row>
    <row r="47" spans="1:27" ht="63.75" x14ac:dyDescent="0.25">
      <c r="B47" s="45" t="s">
        <v>134</v>
      </c>
      <c r="C47" s="70">
        <v>43882</v>
      </c>
      <c r="D47" s="46"/>
      <c r="E47" s="45" t="s">
        <v>626</v>
      </c>
      <c r="F47" s="72" t="s">
        <v>627</v>
      </c>
      <c r="G47" s="48" t="s">
        <v>628</v>
      </c>
      <c r="H47" s="49"/>
      <c r="I47" s="48" t="s">
        <v>629</v>
      </c>
      <c r="J47" s="49"/>
      <c r="K47" s="48" t="s">
        <v>630</v>
      </c>
      <c r="L47" s="49"/>
      <c r="M47" s="48" t="s">
        <v>632</v>
      </c>
      <c r="N47" s="48" t="s">
        <v>631</v>
      </c>
      <c r="O47" s="49" t="s">
        <v>432</v>
      </c>
      <c r="P47" s="49" t="s">
        <v>480</v>
      </c>
      <c r="Q47" s="49"/>
      <c r="R47" s="49">
        <v>1</v>
      </c>
      <c r="S47" s="50">
        <f t="shared" si="10"/>
        <v>300</v>
      </c>
      <c r="T47" s="51">
        <v>300</v>
      </c>
      <c r="U47" s="50" t="str">
        <f t="shared" si="11"/>
        <v>OK</v>
      </c>
      <c r="V47" s="46"/>
      <c r="W47" s="51"/>
      <c r="X47" s="52" t="str">
        <f t="shared" si="12"/>
        <v/>
      </c>
      <c r="Y47" s="52" t="str">
        <f t="shared" si="4"/>
        <v/>
      </c>
      <c r="Z47" s="46">
        <v>44323</v>
      </c>
      <c r="AA47" s="50">
        <f t="shared" si="13"/>
        <v>0</v>
      </c>
    </row>
    <row r="48" spans="1:27" ht="38.25" x14ac:dyDescent="0.25">
      <c r="B48" s="35" t="s">
        <v>135</v>
      </c>
      <c r="C48" s="69">
        <v>43698</v>
      </c>
      <c r="D48" s="36"/>
      <c r="E48" s="35" t="s">
        <v>633</v>
      </c>
      <c r="F48" s="73" t="s">
        <v>561</v>
      </c>
      <c r="G48" s="38" t="s">
        <v>634</v>
      </c>
      <c r="H48" s="38"/>
      <c r="I48" s="38" t="s">
        <v>635</v>
      </c>
      <c r="J48" s="39"/>
      <c r="K48" s="38" t="s">
        <v>636</v>
      </c>
      <c r="L48" s="39"/>
      <c r="M48" s="38" t="s">
        <v>637</v>
      </c>
      <c r="N48" s="38" t="s">
        <v>638</v>
      </c>
      <c r="O48" s="39" t="s">
        <v>39</v>
      </c>
      <c r="P48" s="39" t="s">
        <v>40</v>
      </c>
      <c r="Q48" s="49"/>
      <c r="R48" s="39">
        <v>17</v>
      </c>
      <c r="S48" s="40">
        <f t="shared" si="10"/>
        <v>300</v>
      </c>
      <c r="T48" s="41">
        <v>300</v>
      </c>
      <c r="U48" s="42" t="str">
        <f t="shared" si="11"/>
        <v>OK</v>
      </c>
      <c r="V48" s="36"/>
      <c r="W48" s="41"/>
      <c r="X48" s="42" t="str">
        <f t="shared" si="12"/>
        <v/>
      </c>
      <c r="Y48" s="42" t="str">
        <f t="shared" si="4"/>
        <v/>
      </c>
      <c r="Z48" s="36">
        <v>44326</v>
      </c>
      <c r="AA48" s="40">
        <f t="shared" si="13"/>
        <v>0</v>
      </c>
    </row>
    <row r="49" spans="2:27" ht="63.75" x14ac:dyDescent="0.25">
      <c r="B49" s="45" t="s">
        <v>136</v>
      </c>
      <c r="C49" s="70">
        <v>44125</v>
      </c>
      <c r="D49" s="46"/>
      <c r="E49" s="45" t="s">
        <v>639</v>
      </c>
      <c r="F49" s="72" t="s">
        <v>640</v>
      </c>
      <c r="G49" s="48" t="s">
        <v>641</v>
      </c>
      <c r="H49" s="49"/>
      <c r="I49" s="48" t="s">
        <v>642</v>
      </c>
      <c r="J49" s="49"/>
      <c r="K49" s="48" t="s">
        <v>643</v>
      </c>
      <c r="L49" s="49"/>
      <c r="M49" s="48" t="s">
        <v>644</v>
      </c>
      <c r="N49" s="48" t="s">
        <v>645</v>
      </c>
      <c r="O49" s="49" t="s">
        <v>39</v>
      </c>
      <c r="P49" s="49" t="s">
        <v>40</v>
      </c>
      <c r="Q49" s="49"/>
      <c r="R49" s="49">
        <v>17</v>
      </c>
      <c r="S49" s="50">
        <f t="shared" si="10"/>
        <v>300</v>
      </c>
      <c r="T49" s="51">
        <v>300</v>
      </c>
      <c r="U49" s="50" t="str">
        <f t="shared" si="11"/>
        <v>OK</v>
      </c>
      <c r="V49" s="46"/>
      <c r="W49" s="51"/>
      <c r="X49" s="52" t="str">
        <f t="shared" si="12"/>
        <v/>
      </c>
      <c r="Y49" s="52" t="str">
        <f t="shared" si="4"/>
        <v/>
      </c>
      <c r="Z49" s="46">
        <v>44326</v>
      </c>
      <c r="AA49" s="50">
        <f t="shared" si="13"/>
        <v>0</v>
      </c>
    </row>
    <row r="50" spans="2:27" ht="63.75" x14ac:dyDescent="0.25">
      <c r="B50" s="35" t="s">
        <v>137</v>
      </c>
      <c r="C50" s="69">
        <v>43805</v>
      </c>
      <c r="D50" s="36"/>
      <c r="E50" s="35" t="s">
        <v>646</v>
      </c>
      <c r="F50" s="73" t="s">
        <v>608</v>
      </c>
      <c r="G50" s="38" t="s">
        <v>647</v>
      </c>
      <c r="H50" s="38"/>
      <c r="I50" s="38" t="s">
        <v>648</v>
      </c>
      <c r="J50" s="39"/>
      <c r="K50" s="38" t="s">
        <v>649</v>
      </c>
      <c r="L50" s="39"/>
      <c r="M50" s="38" t="s">
        <v>650</v>
      </c>
      <c r="N50" s="38" t="s">
        <v>385</v>
      </c>
      <c r="O50" s="38" t="s">
        <v>16</v>
      </c>
      <c r="P50" s="38" t="s">
        <v>21</v>
      </c>
      <c r="Q50" s="39"/>
      <c r="R50" s="39">
        <v>8</v>
      </c>
      <c r="S50" s="40">
        <f t="shared" si="10"/>
        <v>370</v>
      </c>
      <c r="T50" s="41">
        <v>370</v>
      </c>
      <c r="U50" s="42" t="str">
        <f t="shared" si="11"/>
        <v>OK</v>
      </c>
      <c r="V50" s="36"/>
      <c r="W50" s="41"/>
      <c r="X50" s="42" t="str">
        <f t="shared" si="12"/>
        <v/>
      </c>
      <c r="Y50" s="42" t="str">
        <f t="shared" si="4"/>
        <v/>
      </c>
      <c r="Z50" s="36">
        <v>44326</v>
      </c>
      <c r="AA50" s="40">
        <f t="shared" si="13"/>
        <v>0</v>
      </c>
    </row>
    <row r="51" spans="2:27" ht="51" x14ac:dyDescent="0.25">
      <c r="B51" s="45" t="s">
        <v>138</v>
      </c>
      <c r="C51" s="70">
        <v>43907</v>
      </c>
      <c r="D51" s="46"/>
      <c r="E51" s="45" t="s">
        <v>651</v>
      </c>
      <c r="F51" s="46" t="s">
        <v>652</v>
      </c>
      <c r="G51" s="48" t="s">
        <v>653</v>
      </c>
      <c r="H51" s="48"/>
      <c r="I51" s="48" t="s">
        <v>656</v>
      </c>
      <c r="J51" s="49"/>
      <c r="K51" s="49" t="s">
        <v>657</v>
      </c>
      <c r="L51" s="49"/>
      <c r="M51" s="48" t="s">
        <v>654</v>
      </c>
      <c r="N51" s="49" t="s">
        <v>655</v>
      </c>
      <c r="O51" s="48" t="s">
        <v>16</v>
      </c>
      <c r="P51" s="48" t="s">
        <v>27</v>
      </c>
      <c r="Q51" s="49"/>
      <c r="R51" s="49">
        <v>11</v>
      </c>
      <c r="S51" s="50">
        <f t="shared" si="10"/>
        <v>370</v>
      </c>
      <c r="T51" s="51">
        <v>370</v>
      </c>
      <c r="U51" s="50" t="str">
        <f t="shared" si="11"/>
        <v>OK</v>
      </c>
      <c r="V51" s="46"/>
      <c r="W51" s="51"/>
      <c r="X51" s="52" t="str">
        <f t="shared" si="12"/>
        <v/>
      </c>
      <c r="Y51" s="52" t="str">
        <f t="shared" si="4"/>
        <v/>
      </c>
      <c r="Z51" s="46">
        <v>44329</v>
      </c>
      <c r="AA51" s="50">
        <f t="shared" si="13"/>
        <v>0</v>
      </c>
    </row>
    <row r="52" spans="2:27" ht="38.25" x14ac:dyDescent="0.25">
      <c r="B52" s="35" t="s">
        <v>139</v>
      </c>
      <c r="C52" s="69">
        <v>44042</v>
      </c>
      <c r="D52" s="36"/>
      <c r="E52" s="35" t="s">
        <v>658</v>
      </c>
      <c r="F52" s="36" t="s">
        <v>659</v>
      </c>
      <c r="G52" s="38" t="s">
        <v>660</v>
      </c>
      <c r="H52" s="38"/>
      <c r="I52" s="38" t="s">
        <v>661</v>
      </c>
      <c r="J52" s="39"/>
      <c r="K52" s="38" t="s">
        <v>662</v>
      </c>
      <c r="L52" s="39"/>
      <c r="M52" s="38" t="s">
        <v>316</v>
      </c>
      <c r="N52" s="38" t="s">
        <v>317</v>
      </c>
      <c r="O52" s="38" t="s">
        <v>16</v>
      </c>
      <c r="P52" s="39" t="s">
        <v>27</v>
      </c>
      <c r="Q52" s="39"/>
      <c r="R52" s="39">
        <v>11</v>
      </c>
      <c r="S52" s="40">
        <f t="shared" si="10"/>
        <v>370</v>
      </c>
      <c r="T52" s="41">
        <v>370</v>
      </c>
      <c r="U52" s="42" t="str">
        <f t="shared" si="11"/>
        <v>OK</v>
      </c>
      <c r="V52" s="36"/>
      <c r="W52" s="41"/>
      <c r="X52" s="42" t="str">
        <f t="shared" si="12"/>
        <v/>
      </c>
      <c r="Y52" s="42" t="str">
        <f t="shared" si="4"/>
        <v/>
      </c>
      <c r="Z52" s="36">
        <v>44329</v>
      </c>
      <c r="AA52" s="40">
        <f t="shared" si="13"/>
        <v>0</v>
      </c>
    </row>
    <row r="53" spans="2:27" ht="38.25" x14ac:dyDescent="0.25">
      <c r="B53" s="45" t="s">
        <v>140</v>
      </c>
      <c r="C53" s="70">
        <v>43878</v>
      </c>
      <c r="D53" s="46"/>
      <c r="E53" s="45" t="s">
        <v>663</v>
      </c>
      <c r="F53" s="46" t="s">
        <v>548</v>
      </c>
      <c r="G53" s="48" t="s">
        <v>664</v>
      </c>
      <c r="H53" s="49"/>
      <c r="I53" s="48" t="s">
        <v>665</v>
      </c>
      <c r="J53" s="49"/>
      <c r="K53" s="48" t="s">
        <v>666</v>
      </c>
      <c r="L53" s="49"/>
      <c r="M53" s="48" t="s">
        <v>667</v>
      </c>
      <c r="N53" s="48" t="s">
        <v>668</v>
      </c>
      <c r="O53" s="49" t="s">
        <v>39</v>
      </c>
      <c r="P53" s="49" t="s">
        <v>40</v>
      </c>
      <c r="Q53" s="49"/>
      <c r="R53" s="49">
        <v>17</v>
      </c>
      <c r="S53" s="50">
        <f t="shared" si="10"/>
        <v>300</v>
      </c>
      <c r="T53" s="51">
        <v>450</v>
      </c>
      <c r="U53" s="50" t="str">
        <f t="shared" si="11"/>
        <v>OK</v>
      </c>
      <c r="V53" s="46"/>
      <c r="W53" s="51"/>
      <c r="X53" s="52" t="str">
        <f t="shared" si="12"/>
        <v/>
      </c>
      <c r="Y53" s="52" t="str">
        <f t="shared" si="4"/>
        <v/>
      </c>
      <c r="Z53" s="46">
        <v>44330</v>
      </c>
      <c r="AA53" s="50">
        <f t="shared" si="13"/>
        <v>0</v>
      </c>
    </row>
    <row r="54" spans="2:27" ht="38.25" x14ac:dyDescent="0.25">
      <c r="B54" s="35" t="s">
        <v>141</v>
      </c>
      <c r="C54" s="69">
        <v>44083</v>
      </c>
      <c r="D54" s="36"/>
      <c r="E54" s="35" t="s">
        <v>669</v>
      </c>
      <c r="F54" s="36" t="s">
        <v>548</v>
      </c>
      <c r="G54" s="38" t="s">
        <v>670</v>
      </c>
      <c r="H54" s="38"/>
      <c r="I54" s="38" t="s">
        <v>671</v>
      </c>
      <c r="J54" s="39"/>
      <c r="K54" s="38" t="s">
        <v>672</v>
      </c>
      <c r="L54" s="39"/>
      <c r="M54" s="38" t="s">
        <v>673</v>
      </c>
      <c r="N54" s="38" t="s">
        <v>668</v>
      </c>
      <c r="O54" s="39" t="s">
        <v>39</v>
      </c>
      <c r="P54" s="39" t="s">
        <v>40</v>
      </c>
      <c r="Q54" s="49"/>
      <c r="R54" s="39">
        <v>17</v>
      </c>
      <c r="S54" s="40">
        <f t="shared" si="10"/>
        <v>300</v>
      </c>
      <c r="T54" s="41">
        <v>450</v>
      </c>
      <c r="U54" s="42" t="str">
        <f t="shared" si="11"/>
        <v>OK</v>
      </c>
      <c r="V54" s="36"/>
      <c r="W54" s="41"/>
      <c r="X54" s="42" t="str">
        <f t="shared" si="12"/>
        <v/>
      </c>
      <c r="Y54" s="42" t="str">
        <f t="shared" si="4"/>
        <v/>
      </c>
      <c r="Z54" s="36">
        <v>44330</v>
      </c>
      <c r="AA54" s="40">
        <f t="shared" si="13"/>
        <v>0</v>
      </c>
    </row>
    <row r="55" spans="2:27" ht="38.25" x14ac:dyDescent="0.25">
      <c r="B55" s="45" t="s">
        <v>142</v>
      </c>
      <c r="C55" s="70">
        <v>43851</v>
      </c>
      <c r="D55" s="46"/>
      <c r="E55" s="45" t="s">
        <v>674</v>
      </c>
      <c r="F55" s="72" t="s">
        <v>548</v>
      </c>
      <c r="G55" s="48" t="s">
        <v>675</v>
      </c>
      <c r="H55" s="49"/>
      <c r="I55" s="48" t="s">
        <v>676</v>
      </c>
      <c r="J55" s="49"/>
      <c r="K55" s="48" t="s">
        <v>677</v>
      </c>
      <c r="L55" s="49"/>
      <c r="M55" s="48" t="s">
        <v>679</v>
      </c>
      <c r="N55" s="48" t="s">
        <v>678</v>
      </c>
      <c r="O55" s="49" t="s">
        <v>39</v>
      </c>
      <c r="P55" s="49" t="s">
        <v>40</v>
      </c>
      <c r="Q55" s="49"/>
      <c r="R55" s="49">
        <v>17</v>
      </c>
      <c r="S55" s="50">
        <f t="shared" si="10"/>
        <v>300</v>
      </c>
      <c r="T55" s="51">
        <v>450</v>
      </c>
      <c r="U55" s="50" t="str">
        <f t="shared" si="11"/>
        <v>OK</v>
      </c>
      <c r="V55" s="46"/>
      <c r="W55" s="51"/>
      <c r="X55" s="52" t="str">
        <f t="shared" si="12"/>
        <v/>
      </c>
      <c r="Y55" s="52" t="str">
        <f t="shared" si="4"/>
        <v/>
      </c>
      <c r="Z55" s="46">
        <v>44330</v>
      </c>
      <c r="AA55" s="50">
        <f t="shared" si="13"/>
        <v>0</v>
      </c>
    </row>
    <row r="56" spans="2:27" ht="51" x14ac:dyDescent="0.25">
      <c r="B56" s="35" t="s">
        <v>143</v>
      </c>
      <c r="C56" s="69">
        <v>44251</v>
      </c>
      <c r="D56" s="36"/>
      <c r="E56" s="35" t="s">
        <v>680</v>
      </c>
      <c r="F56" s="73" t="s">
        <v>681</v>
      </c>
      <c r="G56" s="38" t="s">
        <v>682</v>
      </c>
      <c r="H56" s="38"/>
      <c r="I56" s="38" t="s">
        <v>683</v>
      </c>
      <c r="J56" s="39"/>
      <c r="K56" s="38" t="s">
        <v>684</v>
      </c>
      <c r="L56" s="39"/>
      <c r="M56" s="38" t="s">
        <v>685</v>
      </c>
      <c r="N56" s="38" t="s">
        <v>686</v>
      </c>
      <c r="O56" s="38" t="s">
        <v>5</v>
      </c>
      <c r="P56" s="39" t="s">
        <v>8</v>
      </c>
      <c r="Q56" s="39"/>
      <c r="R56" s="39">
        <v>2</v>
      </c>
      <c r="S56" s="40">
        <f t="shared" si="10"/>
        <v>370</v>
      </c>
      <c r="T56" s="41">
        <v>1164</v>
      </c>
      <c r="U56" s="42" t="str">
        <f t="shared" si="11"/>
        <v>OK</v>
      </c>
      <c r="V56" s="36"/>
      <c r="W56" s="41"/>
      <c r="X56" s="42" t="str">
        <f t="shared" si="12"/>
        <v/>
      </c>
      <c r="Y56" s="42" t="str">
        <f t="shared" si="4"/>
        <v/>
      </c>
      <c r="Z56" s="36">
        <v>44330</v>
      </c>
      <c r="AA56" s="40">
        <f t="shared" si="13"/>
        <v>0</v>
      </c>
    </row>
    <row r="57" spans="2:27" ht="38.25" x14ac:dyDescent="0.25">
      <c r="B57" s="45" t="s">
        <v>144</v>
      </c>
      <c r="C57" s="70">
        <v>44250</v>
      </c>
      <c r="D57" s="46"/>
      <c r="E57" s="45" t="s">
        <v>687</v>
      </c>
      <c r="F57" s="72" t="s">
        <v>548</v>
      </c>
      <c r="G57" s="48" t="s">
        <v>688</v>
      </c>
      <c r="H57" s="48"/>
      <c r="I57" s="48" t="s">
        <v>689</v>
      </c>
      <c r="J57" s="49"/>
      <c r="K57" s="49" t="s">
        <v>690</v>
      </c>
      <c r="L57" s="49"/>
      <c r="M57" s="48" t="s">
        <v>345</v>
      </c>
      <c r="N57" s="49" t="s">
        <v>668</v>
      </c>
      <c r="O57" s="49" t="s">
        <v>39</v>
      </c>
      <c r="P57" s="49" t="s">
        <v>40</v>
      </c>
      <c r="Q57" s="49"/>
      <c r="R57" s="49">
        <v>17</v>
      </c>
      <c r="S57" s="50">
        <f t="shared" si="10"/>
        <v>300</v>
      </c>
      <c r="T57" s="51">
        <v>450</v>
      </c>
      <c r="U57" s="50" t="str">
        <f t="shared" si="11"/>
        <v>OK</v>
      </c>
      <c r="V57" s="46"/>
      <c r="W57" s="51"/>
      <c r="X57" s="52" t="str">
        <f t="shared" si="12"/>
        <v/>
      </c>
      <c r="Y57" s="52" t="str">
        <f t="shared" si="4"/>
        <v/>
      </c>
      <c r="Z57" s="46">
        <v>44330</v>
      </c>
      <c r="AA57" s="50">
        <f t="shared" si="13"/>
        <v>0</v>
      </c>
    </row>
    <row r="58" spans="2:27" ht="38.25" x14ac:dyDescent="0.25">
      <c r="B58" s="35" t="s">
        <v>145</v>
      </c>
      <c r="C58" s="69">
        <v>44293</v>
      </c>
      <c r="D58" s="36"/>
      <c r="E58" s="35" t="s">
        <v>691</v>
      </c>
      <c r="F58" s="36" t="s">
        <v>501</v>
      </c>
      <c r="G58" s="38" t="s">
        <v>692</v>
      </c>
      <c r="H58" s="38"/>
      <c r="I58" s="38" t="s">
        <v>693</v>
      </c>
      <c r="J58" s="39"/>
      <c r="K58" s="38" t="s">
        <v>694</v>
      </c>
      <c r="L58" s="39"/>
      <c r="M58" s="38" t="s">
        <v>335</v>
      </c>
      <c r="N58" s="38" t="s">
        <v>317</v>
      </c>
      <c r="O58" s="39" t="s">
        <v>432</v>
      </c>
      <c r="P58" s="39" t="s">
        <v>447</v>
      </c>
      <c r="Q58" s="39"/>
      <c r="R58" s="39">
        <v>1</v>
      </c>
      <c r="S58" s="40">
        <f t="shared" si="10"/>
        <v>300</v>
      </c>
      <c r="T58" s="41">
        <v>1000</v>
      </c>
      <c r="U58" s="42" t="str">
        <f t="shared" si="11"/>
        <v>OK</v>
      </c>
      <c r="V58" s="36"/>
      <c r="W58" s="41"/>
      <c r="X58" s="42" t="str">
        <f t="shared" si="12"/>
        <v/>
      </c>
      <c r="Y58" s="42" t="str">
        <f t="shared" si="4"/>
        <v/>
      </c>
      <c r="Z58" s="36">
        <v>44330</v>
      </c>
      <c r="AA58" s="40">
        <f t="shared" si="13"/>
        <v>0</v>
      </c>
    </row>
    <row r="59" spans="2:27" ht="38.25" x14ac:dyDescent="0.25">
      <c r="B59" s="45" t="s">
        <v>146</v>
      </c>
      <c r="C59" s="70">
        <v>43937</v>
      </c>
      <c r="D59" s="46"/>
      <c r="E59" s="45" t="s">
        <v>695</v>
      </c>
      <c r="F59" s="46" t="s">
        <v>696</v>
      </c>
      <c r="G59" s="48" t="s">
        <v>699</v>
      </c>
      <c r="H59" s="49"/>
      <c r="I59" s="48" t="s">
        <v>697</v>
      </c>
      <c r="J59" s="49"/>
      <c r="K59" s="48" t="s">
        <v>698</v>
      </c>
      <c r="L59" s="49"/>
      <c r="M59" s="48" t="s">
        <v>700</v>
      </c>
      <c r="N59" s="48" t="s">
        <v>701</v>
      </c>
      <c r="O59" s="49" t="s">
        <v>16</v>
      </c>
      <c r="P59" s="49" t="s">
        <v>25</v>
      </c>
      <c r="Q59" s="49"/>
      <c r="R59" s="49">
        <v>10</v>
      </c>
      <c r="S59" s="50">
        <f t="shared" si="10"/>
        <v>870</v>
      </c>
      <c r="T59" s="51">
        <v>880</v>
      </c>
      <c r="U59" s="50" t="str">
        <f t="shared" si="11"/>
        <v>OK</v>
      </c>
      <c r="V59" s="46"/>
      <c r="W59" s="51"/>
      <c r="X59" s="52" t="str">
        <f t="shared" si="12"/>
        <v/>
      </c>
      <c r="Y59" s="52" t="str">
        <f t="shared" si="4"/>
        <v/>
      </c>
      <c r="Z59" s="46">
        <v>44330</v>
      </c>
      <c r="AA59" s="50">
        <f t="shared" si="13"/>
        <v>0</v>
      </c>
    </row>
    <row r="60" spans="2:27" ht="38.25" x14ac:dyDescent="0.25">
      <c r="B60" s="35" t="s">
        <v>147</v>
      </c>
      <c r="C60" s="69">
        <v>43878</v>
      </c>
      <c r="D60" s="36"/>
      <c r="E60" s="35" t="s">
        <v>702</v>
      </c>
      <c r="F60" s="73" t="s">
        <v>548</v>
      </c>
      <c r="G60" s="38" t="s">
        <v>703</v>
      </c>
      <c r="H60" s="38"/>
      <c r="I60" s="38" t="s">
        <v>704</v>
      </c>
      <c r="J60" s="39"/>
      <c r="K60" s="38" t="s">
        <v>705</v>
      </c>
      <c r="L60" s="39"/>
      <c r="M60" s="38" t="s">
        <v>345</v>
      </c>
      <c r="N60" s="38" t="s">
        <v>668</v>
      </c>
      <c r="O60" s="39" t="s">
        <v>39</v>
      </c>
      <c r="P60" s="39" t="s">
        <v>40</v>
      </c>
      <c r="Q60" s="49"/>
      <c r="R60" s="39">
        <v>17</v>
      </c>
      <c r="S60" s="40">
        <f t="shared" si="10"/>
        <v>300</v>
      </c>
      <c r="T60" s="41">
        <v>450</v>
      </c>
      <c r="U60" s="42" t="str">
        <f t="shared" si="11"/>
        <v>OK</v>
      </c>
      <c r="V60" s="36"/>
      <c r="W60" s="41"/>
      <c r="X60" s="42" t="str">
        <f t="shared" si="12"/>
        <v/>
      </c>
      <c r="Y60" s="42" t="str">
        <f t="shared" si="4"/>
        <v/>
      </c>
      <c r="Z60" s="36">
        <v>44330</v>
      </c>
      <c r="AA60" s="40">
        <f t="shared" si="13"/>
        <v>0</v>
      </c>
    </row>
    <row r="61" spans="2:27" ht="38.25" x14ac:dyDescent="0.25">
      <c r="B61" s="45" t="s">
        <v>148</v>
      </c>
      <c r="C61" s="70">
        <v>43878</v>
      </c>
      <c r="D61" s="46"/>
      <c r="E61" s="45" t="s">
        <v>706</v>
      </c>
      <c r="F61" s="72" t="s">
        <v>548</v>
      </c>
      <c r="G61" s="48" t="s">
        <v>707</v>
      </c>
      <c r="H61" s="49"/>
      <c r="I61" s="48" t="s">
        <v>708</v>
      </c>
      <c r="J61" s="49"/>
      <c r="K61" s="48" t="s">
        <v>709</v>
      </c>
      <c r="L61" s="49"/>
      <c r="M61" s="48" t="s">
        <v>345</v>
      </c>
      <c r="N61" s="48" t="s">
        <v>668</v>
      </c>
      <c r="O61" s="49" t="s">
        <v>39</v>
      </c>
      <c r="P61" s="49" t="s">
        <v>40</v>
      </c>
      <c r="Q61" s="49"/>
      <c r="R61" s="49">
        <v>17</v>
      </c>
      <c r="S61" s="50">
        <f t="shared" si="10"/>
        <v>300</v>
      </c>
      <c r="T61" s="51">
        <v>450</v>
      </c>
      <c r="U61" s="50" t="str">
        <f t="shared" si="11"/>
        <v>OK</v>
      </c>
      <c r="V61" s="46"/>
      <c r="W61" s="51"/>
      <c r="X61" s="52" t="str">
        <f t="shared" si="12"/>
        <v/>
      </c>
      <c r="Y61" s="52" t="str">
        <f t="shared" si="4"/>
        <v/>
      </c>
      <c r="Z61" s="46">
        <v>44330</v>
      </c>
      <c r="AA61" s="50">
        <f t="shared" si="13"/>
        <v>0</v>
      </c>
    </row>
    <row r="62" spans="2:27" ht="38.25" x14ac:dyDescent="0.25">
      <c r="B62" s="35" t="s">
        <v>149</v>
      </c>
      <c r="C62" s="69">
        <v>43795</v>
      </c>
      <c r="D62" s="36"/>
      <c r="E62" s="35" t="s">
        <v>710</v>
      </c>
      <c r="F62" s="73" t="s">
        <v>548</v>
      </c>
      <c r="G62" s="38" t="s">
        <v>711</v>
      </c>
      <c r="H62" s="38"/>
      <c r="I62" s="38" t="s">
        <v>712</v>
      </c>
      <c r="J62" s="39"/>
      <c r="K62" s="38" t="s">
        <v>713</v>
      </c>
      <c r="L62" s="39"/>
      <c r="M62" s="38" t="s">
        <v>345</v>
      </c>
      <c r="N62" s="38" t="s">
        <v>668</v>
      </c>
      <c r="O62" s="39" t="s">
        <v>39</v>
      </c>
      <c r="P62" s="39" t="s">
        <v>40</v>
      </c>
      <c r="Q62" s="39"/>
      <c r="R62" s="39">
        <v>17</v>
      </c>
      <c r="S62" s="40">
        <f t="shared" si="10"/>
        <v>300</v>
      </c>
      <c r="T62" s="41">
        <v>450</v>
      </c>
      <c r="U62" s="42" t="str">
        <f t="shared" si="11"/>
        <v>OK</v>
      </c>
      <c r="V62" s="36"/>
      <c r="W62" s="41"/>
      <c r="X62" s="42" t="str">
        <f t="shared" si="12"/>
        <v/>
      </c>
      <c r="Y62" s="42" t="str">
        <f t="shared" si="4"/>
        <v/>
      </c>
      <c r="Z62" s="36">
        <v>44333</v>
      </c>
      <c r="AA62" s="40">
        <f t="shared" si="13"/>
        <v>0</v>
      </c>
    </row>
    <row r="63" spans="2:27" ht="51" x14ac:dyDescent="0.25">
      <c r="B63" s="45" t="s">
        <v>150</v>
      </c>
      <c r="C63" s="70">
        <v>44000</v>
      </c>
      <c r="D63" s="46"/>
      <c r="E63" s="45" t="s">
        <v>714</v>
      </c>
      <c r="F63" s="72" t="s">
        <v>548</v>
      </c>
      <c r="G63" s="48" t="s">
        <v>715</v>
      </c>
      <c r="H63" s="48"/>
      <c r="I63" s="48" t="s">
        <v>716</v>
      </c>
      <c r="J63" s="49"/>
      <c r="K63" s="48" t="s">
        <v>717</v>
      </c>
      <c r="L63" s="49"/>
      <c r="M63" s="48" t="s">
        <v>718</v>
      </c>
      <c r="N63" s="49" t="s">
        <v>719</v>
      </c>
      <c r="O63" s="49" t="s">
        <v>39</v>
      </c>
      <c r="P63" s="49" t="s">
        <v>40</v>
      </c>
      <c r="Q63" s="49"/>
      <c r="R63" s="49">
        <v>17</v>
      </c>
      <c r="S63" s="50">
        <f t="shared" si="10"/>
        <v>300</v>
      </c>
      <c r="T63" s="51">
        <v>622</v>
      </c>
      <c r="U63" s="50" t="str">
        <f t="shared" si="11"/>
        <v>OK</v>
      </c>
      <c r="V63" s="46"/>
      <c r="W63" s="51"/>
      <c r="X63" s="52" t="str">
        <f t="shared" si="12"/>
        <v/>
      </c>
      <c r="Y63" s="52" t="str">
        <f t="shared" si="4"/>
        <v/>
      </c>
      <c r="Z63" s="46">
        <v>44330</v>
      </c>
      <c r="AA63" s="50">
        <f t="shared" si="13"/>
        <v>0</v>
      </c>
    </row>
    <row r="64" spans="2:27" ht="38.25" x14ac:dyDescent="0.25">
      <c r="B64" s="35" t="s">
        <v>151</v>
      </c>
      <c r="C64" s="69">
        <v>44253</v>
      </c>
      <c r="D64" s="36"/>
      <c r="E64" s="35" t="s">
        <v>720</v>
      </c>
      <c r="F64" s="73" t="s">
        <v>728</v>
      </c>
      <c r="G64" s="38" t="s">
        <v>721</v>
      </c>
      <c r="H64" s="38"/>
      <c r="I64" s="38" t="s">
        <v>722</v>
      </c>
      <c r="J64" s="39"/>
      <c r="K64" s="38" t="s">
        <v>723</v>
      </c>
      <c r="L64" s="39"/>
      <c r="M64" s="38" t="s">
        <v>724</v>
      </c>
      <c r="N64" s="38" t="s">
        <v>725</v>
      </c>
      <c r="O64" s="39" t="s">
        <v>16</v>
      </c>
      <c r="P64" s="39" t="s">
        <v>27</v>
      </c>
      <c r="Q64" s="39"/>
      <c r="R64" s="39">
        <v>11</v>
      </c>
      <c r="S64" s="40">
        <f t="shared" si="10"/>
        <v>370</v>
      </c>
      <c r="T64" s="41">
        <v>400</v>
      </c>
      <c r="U64" s="42" t="str">
        <f t="shared" si="11"/>
        <v>OK</v>
      </c>
      <c r="V64" s="36"/>
      <c r="W64" s="41"/>
      <c r="X64" s="42" t="str">
        <f t="shared" si="12"/>
        <v/>
      </c>
      <c r="Y64" s="42" t="str">
        <f t="shared" si="4"/>
        <v/>
      </c>
      <c r="Z64" s="36">
        <v>44330</v>
      </c>
      <c r="AA64" s="40">
        <f t="shared" si="13"/>
        <v>0</v>
      </c>
    </row>
    <row r="65" spans="2:27" ht="38.25" x14ac:dyDescent="0.25">
      <c r="B65" s="45" t="s">
        <v>152</v>
      </c>
      <c r="C65" s="70">
        <v>44264</v>
      </c>
      <c r="D65" s="46"/>
      <c r="E65" s="45" t="s">
        <v>726</v>
      </c>
      <c r="F65" s="72" t="s">
        <v>548</v>
      </c>
      <c r="G65" s="48" t="s">
        <v>727</v>
      </c>
      <c r="H65" s="49"/>
      <c r="I65" s="48" t="s">
        <v>729</v>
      </c>
      <c r="J65" s="49"/>
      <c r="K65" s="48" t="s">
        <v>730</v>
      </c>
      <c r="L65" s="49"/>
      <c r="M65" s="48" t="s">
        <v>345</v>
      </c>
      <c r="N65" s="48" t="s">
        <v>668</v>
      </c>
      <c r="O65" s="49" t="s">
        <v>39</v>
      </c>
      <c r="P65" s="49" t="s">
        <v>40</v>
      </c>
      <c r="Q65" s="49"/>
      <c r="R65" s="49">
        <v>17</v>
      </c>
      <c r="S65" s="50">
        <f t="shared" si="10"/>
        <v>300</v>
      </c>
      <c r="T65" s="51">
        <v>450</v>
      </c>
      <c r="U65" s="50" t="str">
        <f t="shared" si="11"/>
        <v>OK</v>
      </c>
      <c r="V65" s="46"/>
      <c r="W65" s="51"/>
      <c r="X65" s="52" t="str">
        <f t="shared" si="12"/>
        <v/>
      </c>
      <c r="Y65" s="52" t="str">
        <f t="shared" si="4"/>
        <v/>
      </c>
      <c r="Z65" s="46">
        <v>44330</v>
      </c>
      <c r="AA65" s="50">
        <f t="shared" si="13"/>
        <v>0</v>
      </c>
    </row>
    <row r="66" spans="2:27" ht="38.25" x14ac:dyDescent="0.25">
      <c r="B66" s="35" t="s">
        <v>153</v>
      </c>
      <c r="C66" s="69">
        <v>43746</v>
      </c>
      <c r="D66" s="36"/>
      <c r="E66" s="35" t="s">
        <v>731</v>
      </c>
      <c r="F66" s="73" t="s">
        <v>548</v>
      </c>
      <c r="G66" s="38" t="s">
        <v>732</v>
      </c>
      <c r="H66" s="38"/>
      <c r="I66" s="38" t="s">
        <v>733</v>
      </c>
      <c r="J66" s="39"/>
      <c r="K66" s="38" t="s">
        <v>734</v>
      </c>
      <c r="L66" s="39"/>
      <c r="M66" s="38" t="s">
        <v>736</v>
      </c>
      <c r="N66" s="38" t="s">
        <v>735</v>
      </c>
      <c r="O66" s="39" t="s">
        <v>39</v>
      </c>
      <c r="P66" s="39" t="s">
        <v>40</v>
      </c>
      <c r="Q66" s="49"/>
      <c r="R66" s="39">
        <v>17</v>
      </c>
      <c r="S66" s="40">
        <f t="shared" si="10"/>
        <v>300</v>
      </c>
      <c r="T66" s="41">
        <v>622</v>
      </c>
      <c r="U66" s="42" t="str">
        <f t="shared" si="11"/>
        <v>OK</v>
      </c>
      <c r="V66" s="36"/>
      <c r="W66" s="41"/>
      <c r="X66" s="42" t="str">
        <f t="shared" si="12"/>
        <v/>
      </c>
      <c r="Y66" s="42" t="str">
        <f t="shared" si="4"/>
        <v/>
      </c>
      <c r="Z66" s="36">
        <v>44330</v>
      </c>
      <c r="AA66" s="40">
        <f t="shared" si="13"/>
        <v>0</v>
      </c>
    </row>
    <row r="67" spans="2:27" ht="38.25" x14ac:dyDescent="0.25">
      <c r="B67" s="45" t="s">
        <v>154</v>
      </c>
      <c r="C67" s="70">
        <v>44252</v>
      </c>
      <c r="D67" s="46"/>
      <c r="E67" s="45" t="s">
        <v>737</v>
      </c>
      <c r="F67" s="72" t="s">
        <v>738</v>
      </c>
      <c r="G67" s="48" t="s">
        <v>739</v>
      </c>
      <c r="H67" s="49"/>
      <c r="I67" s="48" t="s">
        <v>740</v>
      </c>
      <c r="J67" s="49"/>
      <c r="K67" s="48" t="s">
        <v>741</v>
      </c>
      <c r="L67" s="49"/>
      <c r="M67" s="48" t="s">
        <v>742</v>
      </c>
      <c r="N67" s="48" t="s">
        <v>743</v>
      </c>
      <c r="O67" s="48" t="s">
        <v>31</v>
      </c>
      <c r="P67" s="49" t="s">
        <v>32</v>
      </c>
      <c r="Q67" s="49"/>
      <c r="R67" s="49">
        <v>13</v>
      </c>
      <c r="S67" s="50">
        <f t="shared" si="10"/>
        <v>370</v>
      </c>
      <c r="T67" s="51">
        <v>370</v>
      </c>
      <c r="U67" s="50" t="str">
        <f t="shared" si="11"/>
        <v>OK</v>
      </c>
      <c r="V67" s="46"/>
      <c r="W67" s="51"/>
      <c r="X67" s="52" t="str">
        <f t="shared" si="12"/>
        <v/>
      </c>
      <c r="Y67" s="52" t="str">
        <f t="shared" si="4"/>
        <v/>
      </c>
      <c r="Z67" s="46">
        <v>44331</v>
      </c>
      <c r="AA67" s="50">
        <f t="shared" si="13"/>
        <v>0</v>
      </c>
    </row>
    <row r="68" spans="2:27" ht="51" x14ac:dyDescent="0.25">
      <c r="B68" s="35" t="s">
        <v>155</v>
      </c>
      <c r="C68" s="69">
        <v>44326</v>
      </c>
      <c r="D68" s="36"/>
      <c r="E68" s="35" t="s">
        <v>744</v>
      </c>
      <c r="F68" s="36" t="s">
        <v>652</v>
      </c>
      <c r="G68" s="38" t="s">
        <v>745</v>
      </c>
      <c r="H68" s="38"/>
      <c r="I68" s="38" t="s">
        <v>747</v>
      </c>
      <c r="J68" s="39"/>
      <c r="K68" s="38" t="s">
        <v>657</v>
      </c>
      <c r="L68" s="39"/>
      <c r="M68" s="38" t="s">
        <v>746</v>
      </c>
      <c r="N68" s="38" t="s">
        <v>655</v>
      </c>
      <c r="O68" s="38" t="s">
        <v>16</v>
      </c>
      <c r="P68" s="38" t="s">
        <v>27</v>
      </c>
      <c r="Q68" s="39"/>
      <c r="R68" s="39">
        <v>11</v>
      </c>
      <c r="S68" s="40">
        <f t="shared" si="10"/>
        <v>370</v>
      </c>
      <c r="T68" s="41">
        <v>370</v>
      </c>
      <c r="U68" s="42" t="str">
        <f t="shared" si="11"/>
        <v>OK</v>
      </c>
      <c r="V68" s="36"/>
      <c r="W68" s="41"/>
      <c r="X68" s="42" t="str">
        <f t="shared" si="12"/>
        <v/>
      </c>
      <c r="Y68" s="42" t="str">
        <f t="shared" si="4"/>
        <v/>
      </c>
      <c r="Z68" s="36">
        <v>44331</v>
      </c>
      <c r="AA68" s="40">
        <f t="shared" si="13"/>
        <v>0</v>
      </c>
    </row>
    <row r="69" spans="2:27" ht="51" x14ac:dyDescent="0.25">
      <c r="B69" s="45" t="s">
        <v>156</v>
      </c>
      <c r="C69" s="70">
        <v>44330</v>
      </c>
      <c r="D69" s="46"/>
      <c r="E69" s="45" t="s">
        <v>748</v>
      </c>
      <c r="F69" s="72" t="s">
        <v>749</v>
      </c>
      <c r="G69" s="48" t="s">
        <v>750</v>
      </c>
      <c r="H69" s="48"/>
      <c r="I69" s="48" t="s">
        <v>751</v>
      </c>
      <c r="J69" s="49"/>
      <c r="K69" s="48" t="s">
        <v>752</v>
      </c>
      <c r="L69" s="49"/>
      <c r="M69" s="48" t="s">
        <v>753</v>
      </c>
      <c r="N69" s="49" t="s">
        <v>754</v>
      </c>
      <c r="O69" s="48" t="s">
        <v>31</v>
      </c>
      <c r="P69" s="49" t="s">
        <v>29</v>
      </c>
      <c r="Q69" s="49"/>
      <c r="R69" s="49">
        <v>15</v>
      </c>
      <c r="S69" s="50">
        <f t="shared" si="10"/>
        <v>370</v>
      </c>
      <c r="T69" s="51">
        <v>200</v>
      </c>
      <c r="U69" s="50" t="str">
        <f t="shared" si="11"/>
        <v>OK</v>
      </c>
      <c r="V69" s="46"/>
      <c r="W69" s="51"/>
      <c r="X69" s="52" t="str">
        <f t="shared" si="12"/>
        <v/>
      </c>
      <c r="Y69" s="52" t="str">
        <f t="shared" si="4"/>
        <v/>
      </c>
      <c r="Z69" s="46">
        <v>44334</v>
      </c>
      <c r="AA69" s="50">
        <f t="shared" si="13"/>
        <v>0</v>
      </c>
    </row>
    <row r="70" spans="2:27" ht="51" x14ac:dyDescent="0.25">
      <c r="B70" s="35" t="s">
        <v>157</v>
      </c>
      <c r="C70" s="69">
        <v>44330</v>
      </c>
      <c r="D70" s="36"/>
      <c r="E70" s="35" t="s">
        <v>755</v>
      </c>
      <c r="F70" s="73" t="s">
        <v>749</v>
      </c>
      <c r="G70" s="38" t="s">
        <v>756</v>
      </c>
      <c r="H70" s="38"/>
      <c r="I70" s="38" t="s">
        <v>757</v>
      </c>
      <c r="J70" s="39"/>
      <c r="K70" s="38" t="s">
        <v>752</v>
      </c>
      <c r="L70" s="39"/>
      <c r="M70" s="38" t="s">
        <v>758</v>
      </c>
      <c r="N70" s="38" t="s">
        <v>754</v>
      </c>
      <c r="O70" s="38" t="s">
        <v>31</v>
      </c>
      <c r="P70" s="39" t="s">
        <v>29</v>
      </c>
      <c r="Q70" s="39"/>
      <c r="R70" s="39">
        <v>15</v>
      </c>
      <c r="S70" s="40">
        <f t="shared" si="10"/>
        <v>370</v>
      </c>
      <c r="T70" s="41">
        <v>500</v>
      </c>
      <c r="U70" s="42" t="str">
        <f t="shared" si="11"/>
        <v>OK</v>
      </c>
      <c r="V70" s="36"/>
      <c r="W70" s="41"/>
      <c r="X70" s="42" t="str">
        <f t="shared" si="12"/>
        <v/>
      </c>
      <c r="Y70" s="42" t="str">
        <f t="shared" si="4"/>
        <v/>
      </c>
      <c r="Z70" s="36">
        <v>44334</v>
      </c>
      <c r="AA70" s="40">
        <f t="shared" si="13"/>
        <v>0</v>
      </c>
    </row>
    <row r="71" spans="2:27" ht="38.25" x14ac:dyDescent="0.25">
      <c r="B71" s="45" t="s">
        <v>158</v>
      </c>
      <c r="C71" s="70">
        <v>44330</v>
      </c>
      <c r="D71" s="46"/>
      <c r="E71" s="45" t="s">
        <v>759</v>
      </c>
      <c r="F71" s="72" t="s">
        <v>640</v>
      </c>
      <c r="G71" s="48" t="s">
        <v>760</v>
      </c>
      <c r="H71" s="49"/>
      <c r="I71" s="48" t="s">
        <v>761</v>
      </c>
      <c r="J71" s="49"/>
      <c r="K71" s="48" t="s">
        <v>762</v>
      </c>
      <c r="L71" s="49"/>
      <c r="M71" s="48" t="s">
        <v>763</v>
      </c>
      <c r="N71" s="48" t="s">
        <v>764</v>
      </c>
      <c r="O71" s="49" t="s">
        <v>16</v>
      </c>
      <c r="P71" s="49" t="s">
        <v>765</v>
      </c>
      <c r="Q71" s="49"/>
      <c r="R71" s="49">
        <v>8</v>
      </c>
      <c r="S71" s="50">
        <f t="shared" si="10"/>
        <v>370</v>
      </c>
      <c r="T71" s="51">
        <v>370</v>
      </c>
      <c r="U71" s="50" t="str">
        <f t="shared" si="11"/>
        <v>OK</v>
      </c>
      <c r="V71" s="46"/>
      <c r="W71" s="51"/>
      <c r="X71" s="52" t="str">
        <f t="shared" si="12"/>
        <v/>
      </c>
      <c r="Y71" s="52" t="str">
        <f t="shared" si="4"/>
        <v/>
      </c>
      <c r="Z71" s="46">
        <v>44334</v>
      </c>
      <c r="AA71" s="50">
        <f t="shared" si="13"/>
        <v>0</v>
      </c>
    </row>
    <row r="72" spans="2:27" ht="38.25" x14ac:dyDescent="0.25">
      <c r="B72" s="35" t="s">
        <v>159</v>
      </c>
      <c r="C72" s="69">
        <v>44312</v>
      </c>
      <c r="D72" s="36"/>
      <c r="E72" s="35" t="s">
        <v>766</v>
      </c>
      <c r="F72" s="36" t="s">
        <v>767</v>
      </c>
      <c r="G72" s="38" t="s">
        <v>768</v>
      </c>
      <c r="H72" s="38"/>
      <c r="I72" s="38" t="s">
        <v>769</v>
      </c>
      <c r="J72" s="39"/>
      <c r="K72" s="38" t="s">
        <v>770</v>
      </c>
      <c r="L72" s="39"/>
      <c r="M72" s="38" t="s">
        <v>771</v>
      </c>
      <c r="N72" s="38" t="s">
        <v>772</v>
      </c>
      <c r="O72" s="39" t="s">
        <v>31</v>
      </c>
      <c r="P72" s="39" t="s">
        <v>32</v>
      </c>
      <c r="Q72" s="49"/>
      <c r="R72" s="39">
        <v>13</v>
      </c>
      <c r="S72" s="40">
        <f t="shared" si="10"/>
        <v>370</v>
      </c>
      <c r="T72" s="41">
        <v>370</v>
      </c>
      <c r="U72" s="42" t="str">
        <f t="shared" si="11"/>
        <v>OK</v>
      </c>
      <c r="V72" s="36"/>
      <c r="W72" s="41"/>
      <c r="X72" s="42" t="str">
        <f t="shared" si="12"/>
        <v/>
      </c>
      <c r="Y72" s="42" t="str">
        <f t="shared" ref="Y72:Y135" si="14">IF(X72="","",IF(X72&gt;$Y$5,"ACIMA","OK"))</f>
        <v/>
      </c>
      <c r="Z72" s="36">
        <v>44334</v>
      </c>
      <c r="AA72" s="40">
        <f t="shared" si="13"/>
        <v>0</v>
      </c>
    </row>
    <row r="73" spans="2:27" ht="38.25" x14ac:dyDescent="0.25">
      <c r="B73" s="45" t="s">
        <v>160</v>
      </c>
      <c r="C73" s="70">
        <v>43858</v>
      </c>
      <c r="D73" s="46"/>
      <c r="E73" s="45" t="s">
        <v>773</v>
      </c>
      <c r="F73" s="72" t="s">
        <v>627</v>
      </c>
      <c r="G73" s="48" t="s">
        <v>774</v>
      </c>
      <c r="H73" s="49"/>
      <c r="I73" s="48" t="s">
        <v>775</v>
      </c>
      <c r="J73" s="49"/>
      <c r="K73" s="48" t="s">
        <v>776</v>
      </c>
      <c r="L73" s="49"/>
      <c r="M73" s="48" t="s">
        <v>777</v>
      </c>
      <c r="N73" s="48" t="s">
        <v>778</v>
      </c>
      <c r="O73" s="49" t="s">
        <v>37</v>
      </c>
      <c r="P73" s="49" t="s">
        <v>37</v>
      </c>
      <c r="Q73" s="49"/>
      <c r="R73" s="49">
        <v>16</v>
      </c>
      <c r="S73" s="50">
        <f t="shared" si="10"/>
        <v>300</v>
      </c>
      <c r="T73" s="51">
        <v>300</v>
      </c>
      <c r="U73" s="50" t="str">
        <f t="shared" si="11"/>
        <v>OK</v>
      </c>
      <c r="V73" s="46"/>
      <c r="W73" s="51"/>
      <c r="X73" s="52" t="str">
        <f t="shared" si="12"/>
        <v/>
      </c>
      <c r="Y73" s="52" t="str">
        <f t="shared" si="14"/>
        <v/>
      </c>
      <c r="Z73" s="46">
        <v>44338</v>
      </c>
      <c r="AA73" s="50">
        <f t="shared" si="13"/>
        <v>0</v>
      </c>
    </row>
    <row r="74" spans="2:27" ht="51" x14ac:dyDescent="0.25">
      <c r="B74" s="35" t="s">
        <v>161</v>
      </c>
      <c r="C74" s="69">
        <v>44343</v>
      </c>
      <c r="D74" s="36"/>
      <c r="E74" s="35" t="s">
        <v>779</v>
      </c>
      <c r="F74" s="36" t="s">
        <v>501</v>
      </c>
      <c r="G74" s="38" t="s">
        <v>780</v>
      </c>
      <c r="H74" s="38"/>
      <c r="I74" s="38" t="s">
        <v>781</v>
      </c>
      <c r="J74" s="39"/>
      <c r="K74" s="38" t="s">
        <v>782</v>
      </c>
      <c r="L74" s="39"/>
      <c r="M74" s="38" t="s">
        <v>320</v>
      </c>
      <c r="N74" s="38" t="s">
        <v>317</v>
      </c>
      <c r="O74" s="39" t="s">
        <v>432</v>
      </c>
      <c r="P74" s="39" t="s">
        <v>480</v>
      </c>
      <c r="Q74" s="39"/>
      <c r="R74" s="39">
        <v>1</v>
      </c>
      <c r="S74" s="40">
        <f t="shared" si="10"/>
        <v>300</v>
      </c>
      <c r="T74" s="41">
        <v>300</v>
      </c>
      <c r="U74" s="42" t="str">
        <f t="shared" si="11"/>
        <v>OK</v>
      </c>
      <c r="V74" s="36"/>
      <c r="W74" s="41"/>
      <c r="X74" s="42" t="str">
        <f t="shared" si="12"/>
        <v/>
      </c>
      <c r="Y74" s="42" t="str">
        <f t="shared" si="14"/>
        <v/>
      </c>
      <c r="Z74" s="36">
        <v>44341</v>
      </c>
      <c r="AA74" s="40">
        <f t="shared" si="13"/>
        <v>0</v>
      </c>
    </row>
    <row r="75" spans="2:27" ht="63.75" x14ac:dyDescent="0.25">
      <c r="B75" s="45" t="s">
        <v>162</v>
      </c>
      <c r="C75" s="70">
        <v>44349</v>
      </c>
      <c r="D75" s="46"/>
      <c r="E75" s="45" t="s">
        <v>783</v>
      </c>
      <c r="F75" s="72" t="s">
        <v>640</v>
      </c>
      <c r="G75" s="48" t="s">
        <v>784</v>
      </c>
      <c r="H75" s="48"/>
      <c r="I75" s="48" t="s">
        <v>785</v>
      </c>
      <c r="J75" s="49"/>
      <c r="K75" s="48" t="s">
        <v>786</v>
      </c>
      <c r="L75" s="49"/>
      <c r="M75" s="48" t="s">
        <v>787</v>
      </c>
      <c r="N75" s="49" t="s">
        <v>764</v>
      </c>
      <c r="O75" s="49" t="s">
        <v>16</v>
      </c>
      <c r="P75" s="49" t="s">
        <v>765</v>
      </c>
      <c r="Q75" s="49"/>
      <c r="R75" s="49">
        <v>8</v>
      </c>
      <c r="S75" s="50">
        <f t="shared" si="10"/>
        <v>370</v>
      </c>
      <c r="T75" s="51">
        <v>370</v>
      </c>
      <c r="U75" s="50" t="str">
        <f t="shared" si="11"/>
        <v>OK</v>
      </c>
      <c r="V75" s="46"/>
      <c r="W75" s="51"/>
      <c r="X75" s="52" t="str">
        <f t="shared" si="12"/>
        <v/>
      </c>
      <c r="Y75" s="52" t="str">
        <f t="shared" si="14"/>
        <v/>
      </c>
      <c r="Z75" s="46">
        <v>44350</v>
      </c>
      <c r="AA75" s="50">
        <f t="shared" si="13"/>
        <v>0</v>
      </c>
    </row>
    <row r="76" spans="2:27" ht="25.5" x14ac:dyDescent="0.25">
      <c r="B76" s="35" t="s">
        <v>163</v>
      </c>
      <c r="C76" s="69">
        <v>44344</v>
      </c>
      <c r="D76" s="36"/>
      <c r="E76" s="35" t="s">
        <v>788</v>
      </c>
      <c r="F76" s="73" t="s">
        <v>640</v>
      </c>
      <c r="G76" s="38" t="s">
        <v>789</v>
      </c>
      <c r="H76" s="38"/>
      <c r="I76" s="38" t="s">
        <v>790</v>
      </c>
      <c r="J76" s="39"/>
      <c r="K76" s="38" t="s">
        <v>791</v>
      </c>
      <c r="L76" s="39"/>
      <c r="M76" s="38" t="s">
        <v>793</v>
      </c>
      <c r="N76" s="38" t="s">
        <v>792</v>
      </c>
      <c r="O76" s="39" t="s">
        <v>432</v>
      </c>
      <c r="P76" s="39" t="s">
        <v>447</v>
      </c>
      <c r="Q76" s="39"/>
      <c r="R76" s="39">
        <v>1</v>
      </c>
      <c r="S76" s="40">
        <f t="shared" si="10"/>
        <v>300</v>
      </c>
      <c r="T76" s="41">
        <v>300</v>
      </c>
      <c r="U76" s="42" t="str">
        <f t="shared" si="11"/>
        <v>OK</v>
      </c>
      <c r="V76" s="36"/>
      <c r="W76" s="41"/>
      <c r="X76" s="42" t="str">
        <f t="shared" si="12"/>
        <v/>
      </c>
      <c r="Y76" s="42" t="str">
        <f t="shared" si="14"/>
        <v/>
      </c>
      <c r="Z76" s="36">
        <v>44350</v>
      </c>
      <c r="AA76" s="40">
        <f t="shared" si="13"/>
        <v>0</v>
      </c>
    </row>
    <row r="77" spans="2:27" ht="63.75" x14ac:dyDescent="0.25">
      <c r="B77" s="45" t="s">
        <v>164</v>
      </c>
      <c r="C77" s="70">
        <v>44354</v>
      </c>
      <c r="D77" s="46"/>
      <c r="E77" s="45" t="s">
        <v>794</v>
      </c>
      <c r="F77" s="72" t="s">
        <v>795</v>
      </c>
      <c r="G77" s="48" t="s">
        <v>796</v>
      </c>
      <c r="H77" s="49"/>
      <c r="I77" s="48" t="s">
        <v>797</v>
      </c>
      <c r="J77" s="49"/>
      <c r="K77" s="48" t="s">
        <v>798</v>
      </c>
      <c r="L77" s="49"/>
      <c r="M77" s="48" t="s">
        <v>799</v>
      </c>
      <c r="N77" s="48" t="s">
        <v>800</v>
      </c>
      <c r="O77" s="48" t="s">
        <v>16</v>
      </c>
      <c r="P77" s="49" t="s">
        <v>765</v>
      </c>
      <c r="Q77" s="49"/>
      <c r="R77" s="49">
        <v>8</v>
      </c>
      <c r="S77" s="50">
        <f t="shared" si="10"/>
        <v>370</v>
      </c>
      <c r="T77" s="51">
        <v>370</v>
      </c>
      <c r="U77" s="50" t="str">
        <f t="shared" si="11"/>
        <v>OK</v>
      </c>
      <c r="V77" s="46"/>
      <c r="W77" s="51"/>
      <c r="X77" s="52" t="str">
        <f t="shared" si="12"/>
        <v/>
      </c>
      <c r="Y77" s="52" t="str">
        <f t="shared" si="14"/>
        <v/>
      </c>
      <c r="Z77" s="46">
        <v>44354</v>
      </c>
      <c r="AA77" s="50">
        <f t="shared" si="13"/>
        <v>0</v>
      </c>
    </row>
    <row r="78" spans="2:27" ht="51" x14ac:dyDescent="0.25">
      <c r="B78" s="35" t="s">
        <v>165</v>
      </c>
      <c r="C78" s="69">
        <v>44355</v>
      </c>
      <c r="D78" s="36"/>
      <c r="E78" s="35" t="s">
        <v>801</v>
      </c>
      <c r="F78" s="36" t="s">
        <v>802</v>
      </c>
      <c r="G78" s="38" t="s">
        <v>803</v>
      </c>
      <c r="H78" s="38"/>
      <c r="I78" s="38" t="s">
        <v>804</v>
      </c>
      <c r="J78" s="39"/>
      <c r="K78" s="38" t="s">
        <v>805</v>
      </c>
      <c r="L78" s="39"/>
      <c r="M78" s="38" t="s">
        <v>806</v>
      </c>
      <c r="N78" s="38" t="s">
        <v>807</v>
      </c>
      <c r="O78" s="38" t="s">
        <v>31</v>
      </c>
      <c r="P78" s="39" t="s">
        <v>29</v>
      </c>
      <c r="Q78" s="49"/>
      <c r="R78" s="39">
        <v>12</v>
      </c>
      <c r="S78" s="40">
        <f t="shared" si="10"/>
        <v>370</v>
      </c>
      <c r="T78" s="41">
        <v>200</v>
      </c>
      <c r="U78" s="42" t="str">
        <f t="shared" si="11"/>
        <v>OK</v>
      </c>
      <c r="V78" s="36"/>
      <c r="W78" s="41"/>
      <c r="X78" s="42" t="str">
        <f t="shared" si="12"/>
        <v/>
      </c>
      <c r="Y78" s="42" t="str">
        <f t="shared" si="14"/>
        <v/>
      </c>
      <c r="Z78" s="36">
        <v>44355</v>
      </c>
      <c r="AA78" s="40">
        <f t="shared" si="13"/>
        <v>0</v>
      </c>
    </row>
    <row r="79" spans="2:27" ht="89.25" x14ac:dyDescent="0.25">
      <c r="B79" s="45" t="s">
        <v>166</v>
      </c>
      <c r="C79" s="70">
        <v>44354</v>
      </c>
      <c r="D79" s="46"/>
      <c r="E79" s="45" t="s">
        <v>808</v>
      </c>
      <c r="F79" s="72" t="s">
        <v>640</v>
      </c>
      <c r="G79" s="48" t="s">
        <v>809</v>
      </c>
      <c r="H79" s="49"/>
      <c r="I79" s="48" t="s">
        <v>811</v>
      </c>
      <c r="J79" s="49"/>
      <c r="K79" s="48" t="s">
        <v>810</v>
      </c>
      <c r="L79" s="49"/>
      <c r="M79" s="48" t="s">
        <v>812</v>
      </c>
      <c r="N79" s="48" t="s">
        <v>764</v>
      </c>
      <c r="O79" s="48" t="s">
        <v>16</v>
      </c>
      <c r="P79" s="49" t="s">
        <v>765</v>
      </c>
      <c r="Q79" s="49"/>
      <c r="R79" s="49">
        <v>8</v>
      </c>
      <c r="S79" s="50">
        <f t="shared" si="10"/>
        <v>370</v>
      </c>
      <c r="T79" s="51">
        <v>370</v>
      </c>
      <c r="U79" s="50" t="str">
        <f t="shared" si="11"/>
        <v>OK</v>
      </c>
      <c r="V79" s="46"/>
      <c r="W79" s="51"/>
      <c r="X79" s="52" t="str">
        <f t="shared" si="12"/>
        <v/>
      </c>
      <c r="Y79" s="52" t="str">
        <f t="shared" si="14"/>
        <v/>
      </c>
      <c r="Z79" s="46">
        <v>44355</v>
      </c>
      <c r="AA79" s="50">
        <f t="shared" si="13"/>
        <v>0</v>
      </c>
    </row>
    <row r="80" spans="2:27" ht="38.25" x14ac:dyDescent="0.25">
      <c r="B80" s="35" t="s">
        <v>167</v>
      </c>
      <c r="C80" s="69">
        <v>44176</v>
      </c>
      <c r="D80" s="36"/>
      <c r="E80" s="35" t="s">
        <v>813</v>
      </c>
      <c r="F80" s="36" t="s">
        <v>681</v>
      </c>
      <c r="G80" s="38" t="s">
        <v>814</v>
      </c>
      <c r="H80" s="38"/>
      <c r="I80" s="38" t="s">
        <v>815</v>
      </c>
      <c r="J80" s="39"/>
      <c r="K80" s="38" t="s">
        <v>816</v>
      </c>
      <c r="L80" s="39"/>
      <c r="M80" s="38" t="s">
        <v>320</v>
      </c>
      <c r="N80" s="38" t="s">
        <v>317</v>
      </c>
      <c r="O80" s="39" t="s">
        <v>432</v>
      </c>
      <c r="P80" s="39" t="s">
        <v>447</v>
      </c>
      <c r="Q80" s="39"/>
      <c r="R80" s="39">
        <v>1</v>
      </c>
      <c r="S80" s="40">
        <f t="shared" si="10"/>
        <v>300</v>
      </c>
      <c r="T80" s="41">
        <v>300</v>
      </c>
      <c r="U80" s="42" t="str">
        <f t="shared" si="11"/>
        <v>OK</v>
      </c>
      <c r="V80" s="36"/>
      <c r="W80" s="41"/>
      <c r="X80" s="42" t="str">
        <f t="shared" si="12"/>
        <v/>
      </c>
      <c r="Y80" s="42" t="str">
        <f t="shared" si="14"/>
        <v/>
      </c>
      <c r="Z80" s="36">
        <v>44363</v>
      </c>
      <c r="AA80" s="40">
        <f t="shared" si="13"/>
        <v>0</v>
      </c>
    </row>
    <row r="81" spans="2:27" ht="38.25" x14ac:dyDescent="0.25">
      <c r="B81" s="45" t="s">
        <v>168</v>
      </c>
      <c r="C81" s="70">
        <v>44253</v>
      </c>
      <c r="D81" s="46"/>
      <c r="E81" s="45" t="s">
        <v>817</v>
      </c>
      <c r="F81" s="72" t="s">
        <v>819</v>
      </c>
      <c r="G81" s="48" t="s">
        <v>820</v>
      </c>
      <c r="H81" s="48"/>
      <c r="I81" s="48" t="s">
        <v>818</v>
      </c>
      <c r="J81" s="49"/>
      <c r="K81" s="49" t="s">
        <v>437</v>
      </c>
      <c r="L81" s="49"/>
      <c r="M81" s="48" t="s">
        <v>724</v>
      </c>
      <c r="N81" s="49" t="s">
        <v>725</v>
      </c>
      <c r="O81" s="48" t="s">
        <v>31</v>
      </c>
      <c r="P81" s="49" t="s">
        <v>27</v>
      </c>
      <c r="Q81" s="49"/>
      <c r="R81" s="49">
        <v>11</v>
      </c>
      <c r="S81" s="50">
        <f t="shared" si="10"/>
        <v>370</v>
      </c>
      <c r="T81" s="51">
        <v>400</v>
      </c>
      <c r="U81" s="50" t="str">
        <f t="shared" si="11"/>
        <v>OK</v>
      </c>
      <c r="V81" s="46"/>
      <c r="W81" s="51"/>
      <c r="X81" s="52" t="str">
        <f t="shared" si="12"/>
        <v/>
      </c>
      <c r="Y81" s="52" t="str">
        <f t="shared" si="14"/>
        <v/>
      </c>
      <c r="Z81" s="46">
        <v>44256</v>
      </c>
      <c r="AA81" s="50">
        <f t="shared" si="13"/>
        <v>0</v>
      </c>
    </row>
    <row r="82" spans="2:27" ht="51" x14ac:dyDescent="0.25">
      <c r="B82" s="35" t="s">
        <v>169</v>
      </c>
      <c r="C82" s="69">
        <v>44253</v>
      </c>
      <c r="D82" s="36"/>
      <c r="E82" s="35" t="s">
        <v>821</v>
      </c>
      <c r="F82" s="73" t="s">
        <v>819</v>
      </c>
      <c r="G82" s="38" t="s">
        <v>822</v>
      </c>
      <c r="H82" s="38"/>
      <c r="I82" s="38" t="s">
        <v>823</v>
      </c>
      <c r="J82" s="39"/>
      <c r="K82" s="38" t="s">
        <v>824</v>
      </c>
      <c r="L82" s="39"/>
      <c r="M82" s="38" t="s">
        <v>724</v>
      </c>
      <c r="N82" s="38" t="s">
        <v>725</v>
      </c>
      <c r="O82" s="38" t="s">
        <v>31</v>
      </c>
      <c r="P82" s="38" t="s">
        <v>27</v>
      </c>
      <c r="Q82" s="39"/>
      <c r="R82" s="38">
        <v>11</v>
      </c>
      <c r="S82" s="40">
        <f t="shared" si="10"/>
        <v>370</v>
      </c>
      <c r="T82" s="41">
        <v>400</v>
      </c>
      <c r="U82" s="42" t="str">
        <f t="shared" si="11"/>
        <v>OK</v>
      </c>
      <c r="V82" s="36"/>
      <c r="W82" s="41"/>
      <c r="X82" s="42" t="str">
        <f t="shared" si="12"/>
        <v/>
      </c>
      <c r="Y82" s="42" t="str">
        <f t="shared" si="14"/>
        <v/>
      </c>
      <c r="Z82" s="36">
        <v>44256</v>
      </c>
      <c r="AA82" s="40">
        <f t="shared" si="13"/>
        <v>0</v>
      </c>
    </row>
    <row r="83" spans="2:27" ht="38.25" x14ac:dyDescent="0.25">
      <c r="B83" s="45" t="s">
        <v>170</v>
      </c>
      <c r="C83" s="70">
        <v>44159</v>
      </c>
      <c r="D83" s="46"/>
      <c r="E83" s="45" t="s">
        <v>825</v>
      </c>
      <c r="F83" s="46" t="s">
        <v>827</v>
      </c>
      <c r="G83" s="48" t="s">
        <v>826</v>
      </c>
      <c r="H83" s="49"/>
      <c r="I83" s="48" t="s">
        <v>828</v>
      </c>
      <c r="J83" s="49"/>
      <c r="K83" s="48" t="s">
        <v>829</v>
      </c>
      <c r="L83" s="49"/>
      <c r="M83" s="48" t="s">
        <v>830</v>
      </c>
      <c r="N83" s="48" t="s">
        <v>546</v>
      </c>
      <c r="O83" s="48" t="s">
        <v>16</v>
      </c>
      <c r="P83" s="49" t="s">
        <v>17</v>
      </c>
      <c r="Q83" s="49"/>
      <c r="R83" s="49">
        <v>6</v>
      </c>
      <c r="S83" s="50">
        <f t="shared" si="10"/>
        <v>430</v>
      </c>
      <c r="T83" s="51">
        <v>1500</v>
      </c>
      <c r="U83" s="50" t="str">
        <f t="shared" si="11"/>
        <v>OK</v>
      </c>
      <c r="V83" s="46"/>
      <c r="W83" s="51"/>
      <c r="X83" s="52" t="str">
        <f t="shared" si="12"/>
        <v/>
      </c>
      <c r="Y83" s="52" t="str">
        <f t="shared" si="14"/>
        <v/>
      </c>
      <c r="Z83" s="46">
        <v>44330</v>
      </c>
      <c r="AA83" s="50">
        <f t="shared" si="13"/>
        <v>0</v>
      </c>
    </row>
    <row r="84" spans="2:27" ht="51" x14ac:dyDescent="0.25">
      <c r="B84" s="35" t="s">
        <v>171</v>
      </c>
      <c r="C84" s="69">
        <v>44214</v>
      </c>
      <c r="D84" s="36"/>
      <c r="E84" s="35" t="s">
        <v>831</v>
      </c>
      <c r="F84" s="73" t="s">
        <v>620</v>
      </c>
      <c r="G84" s="38" t="s">
        <v>832</v>
      </c>
      <c r="H84" s="38"/>
      <c r="I84" s="38" t="s">
        <v>833</v>
      </c>
      <c r="J84" s="39"/>
      <c r="K84" s="38" t="s">
        <v>834</v>
      </c>
      <c r="L84" s="39"/>
      <c r="M84" s="38" t="s">
        <v>835</v>
      </c>
      <c r="N84" s="38" t="s">
        <v>836</v>
      </c>
      <c r="O84" s="39" t="s">
        <v>31</v>
      </c>
      <c r="P84" s="39" t="s">
        <v>34</v>
      </c>
      <c r="Q84" s="49"/>
      <c r="R84" s="39">
        <v>14</v>
      </c>
      <c r="S84" s="40">
        <f t="shared" si="10"/>
        <v>370</v>
      </c>
      <c r="T84" s="41">
        <v>870</v>
      </c>
      <c r="U84" s="42" t="str">
        <f t="shared" si="11"/>
        <v>OK</v>
      </c>
      <c r="V84" s="36"/>
      <c r="W84" s="41"/>
      <c r="X84" s="42" t="str">
        <f t="shared" si="12"/>
        <v/>
      </c>
      <c r="Y84" s="42" t="str">
        <f t="shared" si="14"/>
        <v/>
      </c>
      <c r="Z84" s="36">
        <v>44330</v>
      </c>
      <c r="AA84" s="40">
        <f t="shared" si="13"/>
        <v>0</v>
      </c>
    </row>
    <row r="85" spans="2:27" ht="63.75" x14ac:dyDescent="0.25">
      <c r="B85" s="45" t="s">
        <v>172</v>
      </c>
      <c r="C85" s="70">
        <v>44263</v>
      </c>
      <c r="D85" s="46"/>
      <c r="E85" s="45" t="s">
        <v>837</v>
      </c>
      <c r="F85" s="72" t="s">
        <v>838</v>
      </c>
      <c r="G85" s="48" t="s">
        <v>839</v>
      </c>
      <c r="H85" s="49"/>
      <c r="I85" s="48" t="s">
        <v>840</v>
      </c>
      <c r="J85" s="49"/>
      <c r="K85" s="48" t="s">
        <v>841</v>
      </c>
      <c r="L85" s="49"/>
      <c r="M85" s="48" t="s">
        <v>842</v>
      </c>
      <c r="N85" s="48" t="s">
        <v>912</v>
      </c>
      <c r="O85" s="48" t="s">
        <v>5</v>
      </c>
      <c r="P85" s="49" t="s">
        <v>14</v>
      </c>
      <c r="Q85" s="49"/>
      <c r="R85" s="49">
        <v>5</v>
      </c>
      <c r="S85" s="50">
        <f t="shared" si="10"/>
        <v>370</v>
      </c>
      <c r="T85" s="51">
        <v>1850</v>
      </c>
      <c r="U85" s="50" t="str">
        <f t="shared" si="11"/>
        <v>OK</v>
      </c>
      <c r="V85" s="46"/>
      <c r="W85" s="51"/>
      <c r="X85" s="52" t="str">
        <f t="shared" si="12"/>
        <v/>
      </c>
      <c r="Y85" s="52" t="str">
        <f t="shared" si="14"/>
        <v/>
      </c>
      <c r="Z85" s="46">
        <v>44330</v>
      </c>
      <c r="AA85" s="50">
        <f t="shared" si="13"/>
        <v>0</v>
      </c>
    </row>
    <row r="86" spans="2:27" ht="38.25" x14ac:dyDescent="0.25">
      <c r="B86" s="35" t="s">
        <v>173</v>
      </c>
      <c r="C86" s="75">
        <v>44236</v>
      </c>
      <c r="D86" s="36"/>
      <c r="E86" s="35" t="s">
        <v>843</v>
      </c>
      <c r="F86" s="73" t="s">
        <v>844</v>
      </c>
      <c r="G86" s="38" t="s">
        <v>846</v>
      </c>
      <c r="H86" s="38"/>
      <c r="I86" s="38" t="s">
        <v>847</v>
      </c>
      <c r="J86" s="39"/>
      <c r="K86" s="38" t="s">
        <v>848</v>
      </c>
      <c r="L86" s="39"/>
      <c r="M86" s="38" t="s">
        <v>845</v>
      </c>
      <c r="N86" s="38" t="s">
        <v>849</v>
      </c>
      <c r="O86" s="38" t="s">
        <v>16</v>
      </c>
      <c r="P86" s="39" t="s">
        <v>25</v>
      </c>
      <c r="Q86" s="39"/>
      <c r="R86" s="39">
        <v>10</v>
      </c>
      <c r="S86" s="40">
        <f t="shared" si="10"/>
        <v>870</v>
      </c>
      <c r="T86" s="41">
        <v>1480</v>
      </c>
      <c r="U86" s="42" t="str">
        <f t="shared" si="11"/>
        <v>OK</v>
      </c>
      <c r="V86" s="36"/>
      <c r="W86" s="41"/>
      <c r="X86" s="42" t="str">
        <f t="shared" si="12"/>
        <v/>
      </c>
      <c r="Y86" s="42" t="str">
        <f t="shared" si="14"/>
        <v/>
      </c>
      <c r="Z86" s="36">
        <v>44333</v>
      </c>
      <c r="AA86" s="40">
        <f t="shared" si="13"/>
        <v>0</v>
      </c>
    </row>
    <row r="87" spans="2:27" ht="38.25" x14ac:dyDescent="0.25">
      <c r="B87" s="45" t="s">
        <v>174</v>
      </c>
      <c r="C87" s="70">
        <v>44095</v>
      </c>
      <c r="D87" s="46"/>
      <c r="E87" s="45" t="s">
        <v>850</v>
      </c>
      <c r="F87" s="72" t="s">
        <v>548</v>
      </c>
      <c r="G87" s="48" t="s">
        <v>851</v>
      </c>
      <c r="H87" s="48"/>
      <c r="I87" s="48" t="s">
        <v>852</v>
      </c>
      <c r="J87" s="49"/>
      <c r="K87" s="48" t="s">
        <v>853</v>
      </c>
      <c r="L87" s="49"/>
      <c r="M87" s="48" t="s">
        <v>673</v>
      </c>
      <c r="N87" s="49" t="s">
        <v>668</v>
      </c>
      <c r="O87" s="49" t="s">
        <v>39</v>
      </c>
      <c r="P87" s="49" t="s">
        <v>40</v>
      </c>
      <c r="Q87" s="49"/>
      <c r="R87" s="49">
        <v>17</v>
      </c>
      <c r="S87" s="50">
        <f t="shared" si="10"/>
        <v>300</v>
      </c>
      <c r="T87" s="51">
        <v>300</v>
      </c>
      <c r="U87" s="50" t="str">
        <f t="shared" si="11"/>
        <v>OK</v>
      </c>
      <c r="V87" s="46"/>
      <c r="W87" s="51"/>
      <c r="X87" s="52" t="str">
        <f t="shared" si="12"/>
        <v/>
      </c>
      <c r="Y87" s="52" t="str">
        <f t="shared" si="14"/>
        <v/>
      </c>
      <c r="Z87" s="46">
        <v>44267</v>
      </c>
      <c r="AA87" s="50">
        <f t="shared" si="13"/>
        <v>0</v>
      </c>
    </row>
    <row r="88" spans="2:27" ht="38.25" x14ac:dyDescent="0.25">
      <c r="B88" s="35" t="s">
        <v>175</v>
      </c>
      <c r="C88" s="69">
        <v>43902</v>
      </c>
      <c r="D88" s="36"/>
      <c r="E88" s="35" t="s">
        <v>854</v>
      </c>
      <c r="F88" s="36" t="s">
        <v>548</v>
      </c>
      <c r="G88" s="38" t="s">
        <v>855</v>
      </c>
      <c r="H88" s="38"/>
      <c r="I88" s="38" t="s">
        <v>856</v>
      </c>
      <c r="J88" s="39"/>
      <c r="K88" s="38" t="s">
        <v>857</v>
      </c>
      <c r="L88" s="39"/>
      <c r="M88" s="38" t="s">
        <v>858</v>
      </c>
      <c r="N88" s="38" t="s">
        <v>678</v>
      </c>
      <c r="O88" s="39" t="s">
        <v>39</v>
      </c>
      <c r="P88" s="39" t="s">
        <v>40</v>
      </c>
      <c r="Q88" s="39"/>
      <c r="R88" s="39">
        <v>17</v>
      </c>
      <c r="S88" s="40">
        <f t="shared" si="10"/>
        <v>300</v>
      </c>
      <c r="T88" s="41">
        <v>300</v>
      </c>
      <c r="U88" s="42" t="str">
        <f t="shared" si="11"/>
        <v>OK</v>
      </c>
      <c r="V88" s="36"/>
      <c r="W88" s="41"/>
      <c r="X88" s="42" t="str">
        <f t="shared" si="12"/>
        <v/>
      </c>
      <c r="Y88" s="42" t="str">
        <f t="shared" si="14"/>
        <v/>
      </c>
      <c r="Z88" s="36">
        <v>44267</v>
      </c>
      <c r="AA88" s="40">
        <f t="shared" si="13"/>
        <v>0</v>
      </c>
    </row>
    <row r="89" spans="2:27" ht="38.25" x14ac:dyDescent="0.25">
      <c r="B89" s="45" t="s">
        <v>176</v>
      </c>
      <c r="C89" s="70">
        <v>43873</v>
      </c>
      <c r="D89" s="46"/>
      <c r="E89" s="45" t="s">
        <v>859</v>
      </c>
      <c r="F89" s="46" t="s">
        <v>548</v>
      </c>
      <c r="G89" s="48" t="s">
        <v>862</v>
      </c>
      <c r="H89" s="49"/>
      <c r="I89" s="48" t="s">
        <v>860</v>
      </c>
      <c r="J89" s="49"/>
      <c r="K89" s="48" t="s">
        <v>861</v>
      </c>
      <c r="L89" s="49"/>
      <c r="M89" s="48" t="s">
        <v>679</v>
      </c>
      <c r="N89" s="48" t="s">
        <v>566</v>
      </c>
      <c r="O89" s="49" t="s">
        <v>39</v>
      </c>
      <c r="P89" s="49" t="s">
        <v>40</v>
      </c>
      <c r="Q89" s="49"/>
      <c r="R89" s="49">
        <v>17</v>
      </c>
      <c r="S89" s="50">
        <f t="shared" si="10"/>
        <v>300</v>
      </c>
      <c r="T89" s="51">
        <v>300</v>
      </c>
      <c r="U89" s="50" t="str">
        <f t="shared" si="11"/>
        <v>OK</v>
      </c>
      <c r="V89" s="46"/>
      <c r="W89" s="51"/>
      <c r="X89" s="52" t="str">
        <f t="shared" si="12"/>
        <v/>
      </c>
      <c r="Y89" s="52" t="str">
        <f t="shared" si="14"/>
        <v/>
      </c>
      <c r="Z89" s="46">
        <v>44267</v>
      </c>
      <c r="AA89" s="50">
        <f t="shared" si="13"/>
        <v>0</v>
      </c>
    </row>
    <row r="90" spans="2:27" ht="38.25" x14ac:dyDescent="0.25">
      <c r="B90" s="35" t="s">
        <v>177</v>
      </c>
      <c r="C90" s="69">
        <v>43893</v>
      </c>
      <c r="D90" s="36"/>
      <c r="E90" s="35" t="s">
        <v>863</v>
      </c>
      <c r="F90" s="36" t="s">
        <v>548</v>
      </c>
      <c r="G90" s="38" t="s">
        <v>864</v>
      </c>
      <c r="H90" s="38"/>
      <c r="I90" s="38" t="s">
        <v>865</v>
      </c>
      <c r="J90" s="39"/>
      <c r="K90" s="38" t="s">
        <v>866</v>
      </c>
      <c r="L90" s="39"/>
      <c r="M90" s="38" t="s">
        <v>679</v>
      </c>
      <c r="N90" s="38" t="s">
        <v>566</v>
      </c>
      <c r="O90" s="39" t="s">
        <v>39</v>
      </c>
      <c r="P90" s="39" t="s">
        <v>40</v>
      </c>
      <c r="Q90" s="49"/>
      <c r="R90" s="39">
        <v>17</v>
      </c>
      <c r="S90" s="40">
        <f t="shared" si="10"/>
        <v>300</v>
      </c>
      <c r="T90" s="41">
        <v>300</v>
      </c>
      <c r="U90" s="42" t="str">
        <f t="shared" si="11"/>
        <v>OK</v>
      </c>
      <c r="V90" s="36"/>
      <c r="W90" s="41"/>
      <c r="X90" s="42" t="str">
        <f t="shared" si="12"/>
        <v/>
      </c>
      <c r="Y90" s="42" t="str">
        <f t="shared" si="14"/>
        <v/>
      </c>
      <c r="Z90" s="36">
        <v>44267</v>
      </c>
      <c r="AA90" s="40">
        <f t="shared" si="13"/>
        <v>0</v>
      </c>
    </row>
    <row r="91" spans="2:27" ht="51" x14ac:dyDescent="0.25">
      <c r="B91" s="45" t="s">
        <v>178</v>
      </c>
      <c r="C91" s="70">
        <v>44361</v>
      </c>
      <c r="D91" s="46"/>
      <c r="E91" s="45" t="s">
        <v>867</v>
      </c>
      <c r="F91" s="46" t="s">
        <v>868</v>
      </c>
      <c r="G91" s="48" t="s">
        <v>871</v>
      </c>
      <c r="H91" s="49"/>
      <c r="I91" s="48" t="s">
        <v>869</v>
      </c>
      <c r="J91" s="49"/>
      <c r="K91" s="48" t="s">
        <v>870</v>
      </c>
      <c r="L91" s="49"/>
      <c r="M91" s="48" t="s">
        <v>335</v>
      </c>
      <c r="N91" s="48" t="s">
        <v>317</v>
      </c>
      <c r="O91" s="49" t="s">
        <v>432</v>
      </c>
      <c r="P91" s="49" t="s">
        <v>447</v>
      </c>
      <c r="Q91" s="49"/>
      <c r="R91" s="49">
        <v>1</v>
      </c>
      <c r="S91" s="50">
        <f t="shared" si="10"/>
        <v>300</v>
      </c>
      <c r="T91" s="51">
        <v>300</v>
      </c>
      <c r="U91" s="50" t="str">
        <f t="shared" si="11"/>
        <v>OK</v>
      </c>
      <c r="V91" s="46"/>
      <c r="W91" s="51"/>
      <c r="X91" s="52" t="str">
        <f t="shared" si="12"/>
        <v/>
      </c>
      <c r="Y91" s="52" t="str">
        <f t="shared" si="14"/>
        <v/>
      </c>
      <c r="Z91" s="46">
        <v>44361</v>
      </c>
      <c r="AA91" s="50">
        <f t="shared" si="13"/>
        <v>0</v>
      </c>
    </row>
    <row r="92" spans="2:27" ht="38.25" x14ac:dyDescent="0.25">
      <c r="B92" s="35" t="s">
        <v>179</v>
      </c>
      <c r="C92" s="69">
        <v>43846</v>
      </c>
      <c r="D92" s="36"/>
      <c r="E92" s="35" t="s">
        <v>872</v>
      </c>
      <c r="F92" s="36" t="s">
        <v>548</v>
      </c>
      <c r="G92" s="38" t="s">
        <v>873</v>
      </c>
      <c r="H92" s="38"/>
      <c r="I92" s="38" t="s">
        <v>874</v>
      </c>
      <c r="J92" s="39"/>
      <c r="K92" s="38" t="s">
        <v>875</v>
      </c>
      <c r="L92" s="39"/>
      <c r="M92" s="38" t="s">
        <v>667</v>
      </c>
      <c r="N92" s="38" t="s">
        <v>668</v>
      </c>
      <c r="O92" s="39" t="s">
        <v>39</v>
      </c>
      <c r="P92" s="39" t="s">
        <v>40</v>
      </c>
      <c r="Q92" s="39"/>
      <c r="R92" s="39">
        <v>17</v>
      </c>
      <c r="S92" s="40">
        <f t="shared" si="10"/>
        <v>300</v>
      </c>
      <c r="T92" s="41">
        <v>450</v>
      </c>
      <c r="U92" s="42" t="str">
        <f t="shared" si="11"/>
        <v>OK</v>
      </c>
      <c r="V92" s="36"/>
      <c r="W92" s="41"/>
      <c r="X92" s="42" t="str">
        <f t="shared" si="12"/>
        <v/>
      </c>
      <c r="Y92" s="42" t="str">
        <f t="shared" si="14"/>
        <v/>
      </c>
      <c r="Z92" s="36">
        <v>44358</v>
      </c>
      <c r="AA92" s="40">
        <f t="shared" si="13"/>
        <v>0</v>
      </c>
    </row>
    <row r="93" spans="2:27" ht="38.25" x14ac:dyDescent="0.25">
      <c r="B93" s="45" t="s">
        <v>180</v>
      </c>
      <c r="C93" s="70">
        <v>43878</v>
      </c>
      <c r="D93" s="46"/>
      <c r="E93" s="45" t="s">
        <v>876</v>
      </c>
      <c r="F93" s="46" t="s">
        <v>548</v>
      </c>
      <c r="G93" s="48" t="s">
        <v>877</v>
      </c>
      <c r="H93" s="48"/>
      <c r="I93" s="48" t="s">
        <v>878</v>
      </c>
      <c r="J93" s="49"/>
      <c r="K93" s="49" t="s">
        <v>879</v>
      </c>
      <c r="L93" s="49"/>
      <c r="M93" s="48" t="s">
        <v>667</v>
      </c>
      <c r="N93" s="49" t="s">
        <v>668</v>
      </c>
      <c r="O93" s="49" t="s">
        <v>39</v>
      </c>
      <c r="P93" s="49" t="s">
        <v>40</v>
      </c>
      <c r="Q93" s="49"/>
      <c r="R93" s="49">
        <v>17</v>
      </c>
      <c r="S93" s="50">
        <f t="shared" si="10"/>
        <v>300</v>
      </c>
      <c r="T93" s="51">
        <v>450</v>
      </c>
      <c r="U93" s="50" t="str">
        <f t="shared" si="11"/>
        <v>OK</v>
      </c>
      <c r="V93" s="46"/>
      <c r="W93" s="51"/>
      <c r="X93" s="52" t="str">
        <f t="shared" si="12"/>
        <v/>
      </c>
      <c r="Y93" s="52" t="str">
        <f t="shared" si="14"/>
        <v/>
      </c>
      <c r="Z93" s="46">
        <v>44358</v>
      </c>
      <c r="AA93" s="50">
        <f t="shared" si="13"/>
        <v>0</v>
      </c>
    </row>
    <row r="94" spans="2:27" ht="38.25" x14ac:dyDescent="0.25">
      <c r="B94" s="35" t="s">
        <v>181</v>
      </c>
      <c r="C94" s="69">
        <v>44257</v>
      </c>
      <c r="D94" s="36"/>
      <c r="E94" s="35" t="s">
        <v>880</v>
      </c>
      <c r="F94" s="36" t="s">
        <v>548</v>
      </c>
      <c r="G94" s="38" t="s">
        <v>881</v>
      </c>
      <c r="H94" s="38"/>
      <c r="I94" s="38" t="s">
        <v>882</v>
      </c>
      <c r="J94" s="39"/>
      <c r="K94" s="38" t="s">
        <v>883</v>
      </c>
      <c r="L94" s="39"/>
      <c r="M94" s="38" t="s">
        <v>667</v>
      </c>
      <c r="N94" s="38" t="s">
        <v>668</v>
      </c>
      <c r="O94" s="39" t="s">
        <v>39</v>
      </c>
      <c r="P94" s="39" t="s">
        <v>40</v>
      </c>
      <c r="Q94" s="39"/>
      <c r="R94" s="39">
        <v>17</v>
      </c>
      <c r="S94" s="40">
        <f>IF(R94="","",IF(R94=1,300,IF(R94=2,370,IF(R94=3,630,IF(R94=4,830,IF(R94=5,370,IF(R94=6,430,IF(R94=7,530,IF(R94=8,370,IF(R94=9,700,IF(R94=10,870,IF(R94=11,370,IF(R94=12,370,IF(R94=13,370,IF(R94=13,370,IF(R94=14,370,IF(R94=15,370,IF(R94=16,300,IF(R94=17,300,IF(R94=18,170,IF(R94=19,330)))))))))))))))))))))</f>
        <v>300</v>
      </c>
      <c r="T94" s="41">
        <v>450</v>
      </c>
      <c r="U94" s="42" t="str">
        <f>IF(R94="","",IF(T94&gt;(5*S94),"ACIMA","OK"))</f>
        <v>OK</v>
      </c>
      <c r="V94" s="36"/>
      <c r="W94" s="41"/>
      <c r="X94" s="42" t="str">
        <f>IF(W94="","",W94/T94)</f>
        <v/>
      </c>
      <c r="Y94" s="42" t="str">
        <f t="shared" si="14"/>
        <v/>
      </c>
      <c r="Z94" s="36">
        <v>44358</v>
      </c>
      <c r="AA94" s="40">
        <f>IF(R94="","",IF(Z94="",T94-W94,T94-(W94+(T94-W94))))</f>
        <v>0</v>
      </c>
    </row>
    <row r="95" spans="2:27" ht="38.25" x14ac:dyDescent="0.25">
      <c r="B95" s="45" t="s">
        <v>182</v>
      </c>
      <c r="C95" s="70">
        <v>44250</v>
      </c>
      <c r="D95" s="46"/>
      <c r="E95" s="45" t="s">
        <v>884</v>
      </c>
      <c r="F95" s="46" t="s">
        <v>620</v>
      </c>
      <c r="G95" s="48" t="s">
        <v>885</v>
      </c>
      <c r="H95" s="49"/>
      <c r="I95" s="48" t="s">
        <v>886</v>
      </c>
      <c r="J95" s="49"/>
      <c r="K95" s="48" t="s">
        <v>887</v>
      </c>
      <c r="L95" s="49"/>
      <c r="M95" s="48" t="s">
        <v>888</v>
      </c>
      <c r="N95" s="48" t="s">
        <v>889</v>
      </c>
      <c r="O95" s="49" t="s">
        <v>16</v>
      </c>
      <c r="P95" s="49" t="s">
        <v>23</v>
      </c>
      <c r="Q95" s="49"/>
      <c r="R95" s="49">
        <v>9</v>
      </c>
      <c r="S95" s="50">
        <f>IF(R95="","",IF(R95=1,300,IF(R95=2,370,IF(R95=3,630,IF(R95=4,830,IF(R95=5,370,IF(R95=6,430,IF(R95=7,530,IF(R95=8,370,IF(R95=9,700,IF(R95=10,870,IF(R95=11,370,IF(R95=12,370,IF(R95=13,370,IF(R95=13,370,IF(R95=14,370,IF(R95=15,370,IF(R95=16,300,IF(R95=17,300,IF(R95=18,170,IF(R95=19,330)))))))))))))))))))))</f>
        <v>700</v>
      </c>
      <c r="T95" s="51">
        <v>1480</v>
      </c>
      <c r="U95" s="50" t="str">
        <f>IF(R95="","",IF(T95&gt;(5*S95),"ACIMA","OK"))</f>
        <v>OK</v>
      </c>
      <c r="V95" s="46"/>
      <c r="W95" s="51"/>
      <c r="X95" s="52" t="str">
        <f>IF(W95="","",W95/T95)</f>
        <v/>
      </c>
      <c r="Y95" s="52" t="str">
        <f t="shared" si="14"/>
        <v/>
      </c>
      <c r="Z95" s="46">
        <v>44362</v>
      </c>
      <c r="AA95" s="50">
        <f>IF(R95="","",IF(Z95="",T95-W95,T95-(W95+(T95-W95))))</f>
        <v>0</v>
      </c>
    </row>
    <row r="96" spans="2:27" ht="38.25" x14ac:dyDescent="0.25">
      <c r="B96" s="35" t="s">
        <v>183</v>
      </c>
      <c r="C96" s="69">
        <v>44228</v>
      </c>
      <c r="D96" s="36"/>
      <c r="E96" s="35" t="s">
        <v>890</v>
      </c>
      <c r="F96" s="36" t="s">
        <v>548</v>
      </c>
      <c r="G96" s="38" t="s">
        <v>891</v>
      </c>
      <c r="H96" s="38"/>
      <c r="I96" s="38" t="s">
        <v>892</v>
      </c>
      <c r="J96" s="39"/>
      <c r="K96" s="38" t="s">
        <v>893</v>
      </c>
      <c r="L96" s="39"/>
      <c r="M96" s="38" t="s">
        <v>894</v>
      </c>
      <c r="N96" s="38" t="s">
        <v>668</v>
      </c>
      <c r="O96" s="39" t="s">
        <v>39</v>
      </c>
      <c r="P96" s="39" t="s">
        <v>40</v>
      </c>
      <c r="Q96" s="49"/>
      <c r="R96" s="39">
        <v>17</v>
      </c>
      <c r="S96" s="40">
        <f>IF(R96="","",IF(R96=1,300,IF(R96=2,370,IF(R96=3,630,IF(R96=4,830,IF(R96=5,370,IF(R96=6,430,IF(R96=7,530,IF(R96=8,370,IF(R96=9,700,IF(R96=10,870,IF(R96=11,370,IF(R96=12,370,IF(R96=13,370,IF(R96=13,370,IF(R96=14,370,IF(R96=15,370,IF(R96=16,300,IF(R96=17,300,IF(R96=18,170,IF(R96=19,330)))))))))))))))))))))</f>
        <v>300</v>
      </c>
      <c r="T96" s="41">
        <v>450</v>
      </c>
      <c r="U96" s="42" t="str">
        <f>IF(R96="","",IF(T96&gt;(5*S96),"ACIMA","OK"))</f>
        <v>OK</v>
      </c>
      <c r="V96" s="36"/>
      <c r="W96" s="41"/>
      <c r="X96" s="42" t="str">
        <f>IF(W96="","",W96/T96)</f>
        <v/>
      </c>
      <c r="Y96" s="42" t="str">
        <f t="shared" si="14"/>
        <v/>
      </c>
      <c r="Z96" s="36">
        <v>44358</v>
      </c>
      <c r="AA96" s="40">
        <f>IF(R96="","",IF(Z96="",T96-W96,T96-(W96+(T96-W96))))</f>
        <v>0</v>
      </c>
    </row>
    <row r="97" spans="2:27" ht="38.25" x14ac:dyDescent="0.25">
      <c r="B97" s="45" t="s">
        <v>184</v>
      </c>
      <c r="C97" s="70">
        <v>44295</v>
      </c>
      <c r="D97" s="46"/>
      <c r="E97" s="45" t="s">
        <v>895</v>
      </c>
      <c r="F97" s="46" t="s">
        <v>548</v>
      </c>
      <c r="G97" s="48" t="s">
        <v>896</v>
      </c>
      <c r="H97" s="49"/>
      <c r="I97" s="48" t="s">
        <v>897</v>
      </c>
      <c r="J97" s="49"/>
      <c r="K97" s="48" t="s">
        <v>898</v>
      </c>
      <c r="L97" s="49"/>
      <c r="M97" s="48" t="s">
        <v>894</v>
      </c>
      <c r="N97" s="48" t="s">
        <v>668</v>
      </c>
      <c r="O97" s="49" t="s">
        <v>39</v>
      </c>
      <c r="P97" s="49" t="s">
        <v>40</v>
      </c>
      <c r="Q97" s="49"/>
      <c r="R97" s="49">
        <v>17</v>
      </c>
      <c r="S97" s="50">
        <f>IF(R97="","",IF(R97=1,300,IF(R97=2,370,IF(R97=3,630,IF(R97=4,830,IF(R97=5,370,IF(R97=6,430,IF(R97=7,530,IF(R97=8,370,IF(R97=9,700,IF(R97=10,870,IF(R97=11,370,IF(R97=12,370,IF(R97=13,370,IF(R97=13,370,IF(R97=14,370,IF(R97=15,370,IF(R97=16,300,IF(R97=17,300,IF(R97=18,170,IF(R97=19,330)))))))))))))))))))))</f>
        <v>300</v>
      </c>
      <c r="T97" s="51">
        <v>450</v>
      </c>
      <c r="U97" s="50" t="str">
        <f>IF(R97="","",IF(T97&gt;(5*S97),"ACIMA","OK"))</f>
        <v>OK</v>
      </c>
      <c r="V97" s="46"/>
      <c r="W97" s="51"/>
      <c r="X97" s="52" t="str">
        <f>IF(W97="","",W97/T97)</f>
        <v/>
      </c>
      <c r="Y97" s="52" t="str">
        <f t="shared" si="14"/>
        <v/>
      </c>
      <c r="Z97" s="46">
        <v>44358</v>
      </c>
      <c r="AA97" s="50">
        <f>IF(R97="","",IF(Z97="",T97-W97,T97-(W97+(T97-W97))))</f>
        <v>0</v>
      </c>
    </row>
    <row r="98" spans="2:27" ht="38.25" x14ac:dyDescent="0.25">
      <c r="B98" s="35" t="s">
        <v>185</v>
      </c>
      <c r="C98" s="69">
        <v>43775</v>
      </c>
      <c r="D98" s="36"/>
      <c r="E98" s="35" t="s">
        <v>899</v>
      </c>
      <c r="F98" s="36" t="s">
        <v>548</v>
      </c>
      <c r="G98" s="38" t="s">
        <v>900</v>
      </c>
      <c r="H98" s="38"/>
      <c r="I98" s="38" t="s">
        <v>901</v>
      </c>
      <c r="J98" s="39"/>
      <c r="K98" s="38" t="s">
        <v>902</v>
      </c>
      <c r="L98" s="39"/>
      <c r="M98" s="38" t="s">
        <v>565</v>
      </c>
      <c r="N98" s="38" t="s">
        <v>678</v>
      </c>
      <c r="O98" s="39" t="s">
        <v>39</v>
      </c>
      <c r="P98" s="39" t="s">
        <v>40</v>
      </c>
      <c r="Q98" s="39"/>
      <c r="R98" s="39">
        <v>17</v>
      </c>
      <c r="S98" s="40">
        <f t="shared" ref="S98:S106" si="15">IF(R98="","",IF(R98=1,300,IF(R98=2,370,IF(R98=3,630,IF(R98=4,830,IF(R98=5,370,IF(R98=6,430,IF(R98=7,530,IF(R98=8,370,IF(R98=9,700,IF(R98=10,870,IF(R98=11,370,IF(R98=12,370,IF(R98=13,370,IF(R98=13,370,IF(R98=14,370,IF(R98=15,370,IF(R98=16,300,IF(R98=17,300,IF(R98=18,170,IF(R98=19,330)))))))))))))))))))))</f>
        <v>300</v>
      </c>
      <c r="T98" s="41">
        <v>450</v>
      </c>
      <c r="U98" s="42" t="str">
        <f t="shared" ref="U98:U106" si="16">IF(R98="","",IF(T98&gt;(5*S98),"ACIMA","OK"))</f>
        <v>OK</v>
      </c>
      <c r="V98" s="36"/>
      <c r="W98" s="41"/>
      <c r="X98" s="42" t="str">
        <f t="shared" ref="X98:X106" si="17">IF(W98="","",W98/T98)</f>
        <v/>
      </c>
      <c r="Y98" s="42" t="str">
        <f t="shared" si="14"/>
        <v/>
      </c>
      <c r="Z98" s="36">
        <v>44358</v>
      </c>
      <c r="AA98" s="40">
        <f t="shared" ref="AA98:AA106" si="18">IF(R98="","",IF(Z98="",T98-W98,T98-(W98+(T98-W98))))</f>
        <v>0</v>
      </c>
    </row>
    <row r="99" spans="2:27" ht="38.25" x14ac:dyDescent="0.25">
      <c r="B99" s="45" t="s">
        <v>186</v>
      </c>
      <c r="C99" s="70">
        <v>44292</v>
      </c>
      <c r="D99" s="46"/>
      <c r="E99" s="45" t="s">
        <v>903</v>
      </c>
      <c r="F99" s="46" t="s">
        <v>548</v>
      </c>
      <c r="G99" s="48" t="s">
        <v>904</v>
      </c>
      <c r="H99" s="48"/>
      <c r="I99" s="48" t="s">
        <v>905</v>
      </c>
      <c r="J99" s="49"/>
      <c r="K99" s="49" t="s">
        <v>906</v>
      </c>
      <c r="L99" s="49"/>
      <c r="M99" s="48" t="s">
        <v>894</v>
      </c>
      <c r="N99" s="49" t="s">
        <v>668</v>
      </c>
      <c r="O99" s="49" t="s">
        <v>39</v>
      </c>
      <c r="P99" s="49" t="s">
        <v>40</v>
      </c>
      <c r="Q99" s="49"/>
      <c r="R99" s="49">
        <v>17</v>
      </c>
      <c r="S99" s="50">
        <f t="shared" si="15"/>
        <v>300</v>
      </c>
      <c r="T99" s="51">
        <v>450</v>
      </c>
      <c r="U99" s="50" t="str">
        <f t="shared" si="16"/>
        <v>OK</v>
      </c>
      <c r="V99" s="46"/>
      <c r="W99" s="51"/>
      <c r="X99" s="52" t="str">
        <f t="shared" si="17"/>
        <v/>
      </c>
      <c r="Y99" s="52" t="str">
        <f t="shared" si="14"/>
        <v/>
      </c>
      <c r="Z99" s="46">
        <v>44358</v>
      </c>
      <c r="AA99" s="50">
        <f t="shared" si="18"/>
        <v>0</v>
      </c>
    </row>
    <row r="100" spans="2:27" ht="51" x14ac:dyDescent="0.25">
      <c r="B100" s="35" t="s">
        <v>187</v>
      </c>
      <c r="C100" s="69">
        <v>44258</v>
      </c>
      <c r="D100" s="36"/>
      <c r="E100" s="35" t="s">
        <v>907</v>
      </c>
      <c r="F100" s="36" t="s">
        <v>911</v>
      </c>
      <c r="G100" s="38" t="s">
        <v>908</v>
      </c>
      <c r="H100" s="38"/>
      <c r="I100" s="38" t="s">
        <v>909</v>
      </c>
      <c r="J100" s="39"/>
      <c r="K100" s="38" t="s">
        <v>910</v>
      </c>
      <c r="L100" s="39"/>
      <c r="M100" s="38" t="s">
        <v>842</v>
      </c>
      <c r="N100" s="38" t="s">
        <v>912</v>
      </c>
      <c r="O100" s="39" t="s">
        <v>5</v>
      </c>
      <c r="P100" s="39" t="s">
        <v>8</v>
      </c>
      <c r="Q100" s="39"/>
      <c r="R100" s="39">
        <v>2</v>
      </c>
      <c r="S100" s="40">
        <f t="shared" si="15"/>
        <v>370</v>
      </c>
      <c r="T100" s="41">
        <v>1000</v>
      </c>
      <c r="U100" s="42" t="str">
        <f t="shared" si="16"/>
        <v>OK</v>
      </c>
      <c r="V100" s="36"/>
      <c r="W100" s="41"/>
      <c r="X100" s="42" t="str">
        <f t="shared" si="17"/>
        <v/>
      </c>
      <c r="Y100" s="42" t="str">
        <f t="shared" si="14"/>
        <v/>
      </c>
      <c r="Z100" s="36">
        <v>44358</v>
      </c>
      <c r="AA100" s="40">
        <f t="shared" si="18"/>
        <v>0</v>
      </c>
    </row>
    <row r="101" spans="2:27" ht="25.5" x14ac:dyDescent="0.25">
      <c r="B101" s="45" t="s">
        <v>188</v>
      </c>
      <c r="C101" s="70">
        <v>43279</v>
      </c>
      <c r="D101" s="46"/>
      <c r="E101" s="45" t="s">
        <v>913</v>
      </c>
      <c r="F101" s="46" t="s">
        <v>919</v>
      </c>
      <c r="G101" s="48" t="s">
        <v>914</v>
      </c>
      <c r="H101" s="49"/>
      <c r="I101" s="48" t="s">
        <v>915</v>
      </c>
      <c r="J101" s="49"/>
      <c r="K101" s="48" t="s">
        <v>916</v>
      </c>
      <c r="L101" s="49"/>
      <c r="M101" s="48" t="s">
        <v>917</v>
      </c>
      <c r="N101" s="48" t="s">
        <v>918</v>
      </c>
      <c r="O101" s="49" t="s">
        <v>5</v>
      </c>
      <c r="P101" s="49" t="s">
        <v>8</v>
      </c>
      <c r="Q101" s="49"/>
      <c r="R101" s="49">
        <v>2</v>
      </c>
      <c r="S101" s="50">
        <f t="shared" si="15"/>
        <v>370</v>
      </c>
      <c r="T101" s="51">
        <v>937</v>
      </c>
      <c r="U101" s="50" t="str">
        <f t="shared" si="16"/>
        <v>OK</v>
      </c>
      <c r="V101" s="46"/>
      <c r="W101" s="51"/>
      <c r="X101" s="52" t="str">
        <f t="shared" si="17"/>
        <v/>
      </c>
      <c r="Y101" s="52" t="str">
        <f t="shared" si="14"/>
        <v/>
      </c>
      <c r="Z101" s="46">
        <v>44358</v>
      </c>
      <c r="AA101" s="50">
        <f t="shared" si="18"/>
        <v>0</v>
      </c>
    </row>
    <row r="102" spans="2:27" ht="38.25" x14ac:dyDescent="0.25">
      <c r="B102" s="35" t="s">
        <v>189</v>
      </c>
      <c r="C102" s="69">
        <v>44223</v>
      </c>
      <c r="D102" s="36"/>
      <c r="E102" s="35" t="s">
        <v>920</v>
      </c>
      <c r="F102" s="36" t="s">
        <v>548</v>
      </c>
      <c r="G102" s="38" t="s">
        <v>923</v>
      </c>
      <c r="H102" s="38"/>
      <c r="I102" s="38" t="s">
        <v>921</v>
      </c>
      <c r="J102" s="39"/>
      <c r="K102" s="38" t="s">
        <v>922</v>
      </c>
      <c r="L102" s="39"/>
      <c r="M102" s="38" t="s">
        <v>894</v>
      </c>
      <c r="N102" s="38" t="s">
        <v>668</v>
      </c>
      <c r="O102" s="39" t="s">
        <v>39</v>
      </c>
      <c r="P102" s="39" t="s">
        <v>40</v>
      </c>
      <c r="Q102" s="49"/>
      <c r="R102" s="39">
        <v>17</v>
      </c>
      <c r="S102" s="40">
        <f t="shared" si="15"/>
        <v>300</v>
      </c>
      <c r="T102" s="41">
        <v>450</v>
      </c>
      <c r="U102" s="42" t="str">
        <f t="shared" si="16"/>
        <v>OK</v>
      </c>
      <c r="V102" s="36"/>
      <c r="W102" s="41"/>
      <c r="X102" s="42" t="str">
        <f t="shared" si="17"/>
        <v/>
      </c>
      <c r="Y102" s="42" t="str">
        <f t="shared" si="14"/>
        <v/>
      </c>
      <c r="Z102" s="36">
        <v>44358</v>
      </c>
      <c r="AA102" s="40">
        <f t="shared" si="18"/>
        <v>0</v>
      </c>
    </row>
    <row r="103" spans="2:27" ht="25.5" x14ac:dyDescent="0.25">
      <c r="B103" s="45" t="s">
        <v>190</v>
      </c>
      <c r="C103" s="70">
        <v>43270</v>
      </c>
      <c r="D103" s="46"/>
      <c r="E103" s="45" t="s">
        <v>924</v>
      </c>
      <c r="F103" s="72" t="s">
        <v>911</v>
      </c>
      <c r="G103" s="48" t="s">
        <v>925</v>
      </c>
      <c r="H103" s="49"/>
      <c r="I103" s="48" t="s">
        <v>926</v>
      </c>
      <c r="J103" s="49"/>
      <c r="K103" s="48" t="s">
        <v>927</v>
      </c>
      <c r="L103" s="49"/>
      <c r="M103" s="48" t="s">
        <v>928</v>
      </c>
      <c r="N103" s="48" t="s">
        <v>929</v>
      </c>
      <c r="O103" s="49" t="s">
        <v>5</v>
      </c>
      <c r="P103" s="49" t="s">
        <v>8</v>
      </c>
      <c r="Q103" s="49"/>
      <c r="R103" s="49">
        <v>2</v>
      </c>
      <c r="S103" s="50">
        <f t="shared" si="15"/>
        <v>370</v>
      </c>
      <c r="T103" s="51">
        <v>1500</v>
      </c>
      <c r="U103" s="50" t="str">
        <f t="shared" si="16"/>
        <v>OK</v>
      </c>
      <c r="V103" s="46"/>
      <c r="W103" s="51"/>
      <c r="X103" s="52" t="str">
        <f t="shared" si="17"/>
        <v/>
      </c>
      <c r="Y103" s="52" t="str">
        <f t="shared" si="14"/>
        <v/>
      </c>
      <c r="Z103" s="46">
        <v>44358</v>
      </c>
      <c r="AA103" s="50">
        <f t="shared" si="18"/>
        <v>0</v>
      </c>
    </row>
    <row r="104" spans="2:27" ht="38.25" x14ac:dyDescent="0.25">
      <c r="B104" s="35" t="s">
        <v>191</v>
      </c>
      <c r="C104" s="69">
        <v>44054</v>
      </c>
      <c r="D104" s="36"/>
      <c r="E104" s="35" t="s">
        <v>930</v>
      </c>
      <c r="F104" s="73" t="s">
        <v>931</v>
      </c>
      <c r="G104" s="38" t="s">
        <v>932</v>
      </c>
      <c r="H104" s="38"/>
      <c r="I104" s="38" t="s">
        <v>933</v>
      </c>
      <c r="J104" s="39"/>
      <c r="K104" s="38" t="s">
        <v>934</v>
      </c>
      <c r="L104" s="39"/>
      <c r="M104" s="38" t="s">
        <v>935</v>
      </c>
      <c r="N104" s="38" t="s">
        <v>936</v>
      </c>
      <c r="O104" s="39" t="s">
        <v>5</v>
      </c>
      <c r="P104" s="39" t="s">
        <v>8</v>
      </c>
      <c r="Q104" s="39"/>
      <c r="R104" s="39">
        <v>2</v>
      </c>
      <c r="S104" s="40">
        <f t="shared" si="15"/>
        <v>370</v>
      </c>
      <c r="T104" s="41">
        <v>1500</v>
      </c>
      <c r="U104" s="42" t="str">
        <f t="shared" si="16"/>
        <v>OK</v>
      </c>
      <c r="V104" s="36"/>
      <c r="W104" s="41"/>
      <c r="X104" s="42" t="str">
        <f t="shared" si="17"/>
        <v/>
      </c>
      <c r="Y104" s="42" t="str">
        <f t="shared" si="14"/>
        <v/>
      </c>
      <c r="Z104" s="36">
        <v>44358</v>
      </c>
      <c r="AA104" s="40">
        <f t="shared" si="18"/>
        <v>0</v>
      </c>
    </row>
    <row r="105" spans="2:27" ht="63.75" x14ac:dyDescent="0.25">
      <c r="B105" s="45" t="s">
        <v>192</v>
      </c>
      <c r="C105" s="70">
        <v>43865</v>
      </c>
      <c r="D105" s="46"/>
      <c r="E105" s="45" t="s">
        <v>937</v>
      </c>
      <c r="F105" s="46" t="s">
        <v>911</v>
      </c>
      <c r="G105" s="48" t="s">
        <v>940</v>
      </c>
      <c r="H105" s="48"/>
      <c r="I105" s="48" t="s">
        <v>938</v>
      </c>
      <c r="J105" s="49"/>
      <c r="K105" s="48" t="s">
        <v>939</v>
      </c>
      <c r="L105" s="49"/>
      <c r="M105" s="48" t="s">
        <v>941</v>
      </c>
      <c r="N105" s="49" t="s">
        <v>912</v>
      </c>
      <c r="O105" s="49" t="s">
        <v>5</v>
      </c>
      <c r="P105" s="49" t="s">
        <v>8</v>
      </c>
      <c r="Q105" s="49"/>
      <c r="R105" s="49">
        <v>2</v>
      </c>
      <c r="S105" s="80">
        <f t="shared" si="15"/>
        <v>370</v>
      </c>
      <c r="T105" s="76">
        <v>1200</v>
      </c>
      <c r="U105" s="81" t="str">
        <f t="shared" si="16"/>
        <v>OK</v>
      </c>
      <c r="V105" s="77"/>
      <c r="W105" s="76"/>
      <c r="X105" s="81" t="str">
        <f t="shared" si="17"/>
        <v/>
      </c>
      <c r="Y105" s="81" t="str">
        <f t="shared" si="14"/>
        <v/>
      </c>
      <c r="Z105" s="77">
        <v>44358</v>
      </c>
      <c r="AA105" s="80">
        <f t="shared" si="18"/>
        <v>0</v>
      </c>
    </row>
    <row r="106" spans="2:27" ht="38.25" x14ac:dyDescent="0.25">
      <c r="B106" s="35" t="s">
        <v>193</v>
      </c>
      <c r="C106" s="69">
        <v>44271</v>
      </c>
      <c r="D106" s="36"/>
      <c r="E106" s="35" t="s">
        <v>942</v>
      </c>
      <c r="F106" s="73" t="s">
        <v>943</v>
      </c>
      <c r="G106" s="39" t="s">
        <v>944</v>
      </c>
      <c r="H106" s="38"/>
      <c r="I106" s="38" t="s">
        <v>945</v>
      </c>
      <c r="J106" s="39"/>
      <c r="K106" s="38" t="s">
        <v>946</v>
      </c>
      <c r="L106" s="39"/>
      <c r="M106" s="38" t="s">
        <v>947</v>
      </c>
      <c r="N106" s="38">
        <v>9104652401</v>
      </c>
      <c r="O106" s="39" t="s">
        <v>5</v>
      </c>
      <c r="P106" s="39" t="s">
        <v>14</v>
      </c>
      <c r="Q106" s="39"/>
      <c r="R106" s="39">
        <v>5</v>
      </c>
      <c r="S106" s="82">
        <f t="shared" si="15"/>
        <v>370</v>
      </c>
      <c r="T106" s="78">
        <v>1110</v>
      </c>
      <c r="U106" s="82" t="str">
        <f t="shared" si="16"/>
        <v>OK</v>
      </c>
      <c r="V106" s="79"/>
      <c r="W106" s="78"/>
      <c r="X106" s="83" t="str">
        <f t="shared" si="17"/>
        <v/>
      </c>
      <c r="Y106" s="83" t="str">
        <f t="shared" si="14"/>
        <v/>
      </c>
      <c r="Z106" s="79">
        <v>44358</v>
      </c>
      <c r="AA106" s="82">
        <f t="shared" si="18"/>
        <v>0</v>
      </c>
    </row>
    <row r="107" spans="2:27" ht="38.25" x14ac:dyDescent="0.25">
      <c r="B107" s="45" t="s">
        <v>194</v>
      </c>
      <c r="C107" s="70">
        <v>44362</v>
      </c>
      <c r="D107" s="46"/>
      <c r="E107" s="45" t="s">
        <v>948</v>
      </c>
      <c r="F107" s="46" t="s">
        <v>949</v>
      </c>
      <c r="G107" s="48" t="s">
        <v>950</v>
      </c>
      <c r="H107" s="49"/>
      <c r="I107" s="48" t="s">
        <v>951</v>
      </c>
      <c r="J107" s="49"/>
      <c r="K107" s="48" t="s">
        <v>952</v>
      </c>
      <c r="L107" s="49"/>
      <c r="M107" s="48" t="s">
        <v>953</v>
      </c>
      <c r="N107" s="48" t="s">
        <v>792</v>
      </c>
      <c r="O107" s="49" t="s">
        <v>432</v>
      </c>
      <c r="P107" s="49" t="s">
        <v>480</v>
      </c>
      <c r="Q107" s="49"/>
      <c r="R107" s="49">
        <v>1</v>
      </c>
      <c r="S107" s="84">
        <f>IF(R107="","",IF(R107=1,300,IF(R107=2,370,IF(R107=3,630,IF(R107=4,830,IF(R107=5,370,IF(R107=6,430,IF(R107=7,530,IF(R107=8,370,IF(R107=9,700,IF(R107=10,870,IF(R107=11,370,IF(R107=12,370,IF(R107=13,370,IF(R107=13,370,IF(R107=14,370,IF(R107=15,370,IF(R107=16,300,IF(R107=17,300,IF(R107=18,170,IF(R107=19,330)))))))))))))))))))))</f>
        <v>300</v>
      </c>
      <c r="T107" s="76">
        <v>300</v>
      </c>
      <c r="U107" s="85" t="str">
        <f>IF(R107="","",IF(T107&gt;(5*S107),"ACIMA","OK"))</f>
        <v>OK</v>
      </c>
      <c r="V107" s="77"/>
      <c r="W107" s="76"/>
      <c r="X107" s="85" t="str">
        <f>IF(W107="","",W107/T107)</f>
        <v/>
      </c>
      <c r="Y107" s="85" t="str">
        <f t="shared" si="14"/>
        <v/>
      </c>
      <c r="Z107" s="77">
        <v>44363</v>
      </c>
      <c r="AA107" s="84">
        <f>IF(R107="","",IF(Z107="",T107-W107,T107-(W107+(T107-W107))))</f>
        <v>0</v>
      </c>
    </row>
    <row r="108" spans="2:27" ht="38.25" x14ac:dyDescent="0.25">
      <c r="B108" s="35" t="s">
        <v>195</v>
      </c>
      <c r="C108" s="69">
        <v>44312</v>
      </c>
      <c r="D108" s="36"/>
      <c r="E108" s="35" t="s">
        <v>954</v>
      </c>
      <c r="F108" s="36" t="s">
        <v>955</v>
      </c>
      <c r="G108" s="38" t="s">
        <v>956</v>
      </c>
      <c r="H108" s="38"/>
      <c r="I108" s="38" t="s">
        <v>957</v>
      </c>
      <c r="J108" s="39"/>
      <c r="K108" s="38" t="s">
        <v>958</v>
      </c>
      <c r="L108" s="39"/>
      <c r="M108" s="38" t="s">
        <v>771</v>
      </c>
      <c r="N108" s="38" t="s">
        <v>772</v>
      </c>
      <c r="O108" s="39" t="s">
        <v>31</v>
      </c>
      <c r="P108" s="39" t="s">
        <v>32</v>
      </c>
      <c r="Q108" s="49"/>
      <c r="R108" s="39">
        <v>13</v>
      </c>
      <c r="S108" s="86">
        <f>IF(R108="","",IF(R108=1,300,IF(R108=2,370,IF(R108=3,630,IF(R108=4,830,IF(R108=5,370,IF(R108=6,430,IF(R108=7,530,IF(R108=8,370,IF(R108=9,700,IF(R108=10,870,IF(R108=11,370,IF(R108=12,370,IF(R108=13,370,IF(R108=13,370,IF(R108=14,370,IF(R108=15,370,IF(R108=16,300,IF(R108=17,300,IF(R108=18,170,IF(R108=19,330)))))))))))))))))))))</f>
        <v>370</v>
      </c>
      <c r="T108" s="78">
        <v>370</v>
      </c>
      <c r="U108" s="86" t="str">
        <f>IF(R108="","",IF(T108&gt;(5*S108),"ACIMA","OK"))</f>
        <v>OK</v>
      </c>
      <c r="V108" s="79"/>
      <c r="W108" s="78"/>
      <c r="X108" s="87" t="str">
        <f>IF(W108="","",W108/T108)</f>
        <v/>
      </c>
      <c r="Y108" s="87" t="str">
        <f t="shared" si="14"/>
        <v/>
      </c>
      <c r="Z108" s="79">
        <v>44363</v>
      </c>
      <c r="AA108" s="86">
        <f>IF(R108="","",IF(Z108="",T108-W108,T108-(W108+(T108-W108))))</f>
        <v>0</v>
      </c>
    </row>
    <row r="109" spans="2:27" ht="38.25" x14ac:dyDescent="0.25">
      <c r="B109" s="45" t="s">
        <v>196</v>
      </c>
      <c r="C109" s="70">
        <v>44271</v>
      </c>
      <c r="D109" s="46"/>
      <c r="E109" s="45" t="s">
        <v>959</v>
      </c>
      <c r="F109" s="46" t="s">
        <v>960</v>
      </c>
      <c r="G109" s="48" t="s">
        <v>961</v>
      </c>
      <c r="H109" s="49"/>
      <c r="I109" s="48" t="s">
        <v>962</v>
      </c>
      <c r="J109" s="49"/>
      <c r="K109" s="48" t="s">
        <v>963</v>
      </c>
      <c r="L109" s="49"/>
      <c r="M109" s="48" t="s">
        <v>320</v>
      </c>
      <c r="N109" s="48" t="s">
        <v>317</v>
      </c>
      <c r="O109" s="49" t="s">
        <v>432</v>
      </c>
      <c r="P109" s="49" t="s">
        <v>964</v>
      </c>
      <c r="Q109" s="49"/>
      <c r="R109" s="49">
        <v>1</v>
      </c>
      <c r="S109" s="80">
        <f>IF(R109="","",IF(R109=1,300,IF(R109=2,370,IF(R109=3,630,IF(R109=4,830,IF(R109=5,370,IF(R109=6,430,IF(R109=7,530,IF(R109=8,370,IF(R109=9,700,IF(R109=10,870,IF(R109=11,370,IF(R109=12,370,IF(R109=13,370,IF(R109=13,370,IF(R109=14,370,IF(R109=15,370,IF(R109=16,300,IF(R109=17,300,IF(R109=18,170,IF(R109=19,330)))))))))))))))))))))</f>
        <v>300</v>
      </c>
      <c r="T109" s="76">
        <v>1000</v>
      </c>
      <c r="U109" s="81" t="str">
        <f>IF(R109="","",IF(T109&gt;(5*S109),"ACIMA","OK"))</f>
        <v>OK</v>
      </c>
      <c r="V109" s="77"/>
      <c r="W109" s="76"/>
      <c r="X109" s="81" t="str">
        <f>IF(W109="","",W109/T109)</f>
        <v/>
      </c>
      <c r="Y109" s="81" t="str">
        <f t="shared" si="14"/>
        <v/>
      </c>
      <c r="Z109" s="77">
        <v>44375</v>
      </c>
      <c r="AA109" s="80">
        <f>IF(R109="","",IF(Z109="",T109-W109,T109-(W109+(T109-W109))))</f>
        <v>0</v>
      </c>
    </row>
    <row r="110" spans="2:27" ht="38.25" x14ac:dyDescent="0.25">
      <c r="B110" s="35" t="s">
        <v>197</v>
      </c>
      <c r="C110" s="36">
        <v>44376</v>
      </c>
      <c r="D110" s="36"/>
      <c r="E110" s="35" t="s">
        <v>965</v>
      </c>
      <c r="F110" s="36" t="s">
        <v>966</v>
      </c>
      <c r="G110" s="38" t="s">
        <v>967</v>
      </c>
      <c r="H110" s="38"/>
      <c r="I110" s="38" t="s">
        <v>968</v>
      </c>
      <c r="J110" s="39"/>
      <c r="K110" s="38" t="s">
        <v>969</v>
      </c>
      <c r="L110" s="39"/>
      <c r="M110" s="38" t="s">
        <v>970</v>
      </c>
      <c r="N110" s="38" t="s">
        <v>971</v>
      </c>
      <c r="O110" s="39" t="s">
        <v>39</v>
      </c>
      <c r="P110" s="39" t="s">
        <v>40</v>
      </c>
      <c r="Q110" s="39"/>
      <c r="R110" s="39">
        <v>17</v>
      </c>
      <c r="S110" s="86">
        <f t="shared" ref="S110:S173" si="19">IF(R110="","",IF(R110=1,300,IF(R110=2,370,IF(R110=3,630,IF(R110=4,830,IF(R110=5,370,IF(R110=6,430,IF(R110=7,530,IF(R110=8,370,IF(R110=9,700,IF(R110=10,870,IF(R110=11,370,IF(R110=12,370,IF(R110=13,370,IF(R110=13,370,IF(R110=14,370,IF(R110=15,370,IF(R110=16,300,IF(R110=17,300,IF(R110=18,170,IF(R110=19,330)))))))))))))))))))))</f>
        <v>300</v>
      </c>
      <c r="T110" s="78">
        <v>240</v>
      </c>
      <c r="U110" s="86" t="str">
        <f t="shared" ref="U110:U173" si="20">IF(R110="","",IF(T110&gt;(5*S110),"ACIMA","OK"))</f>
        <v>OK</v>
      </c>
      <c r="V110" s="79"/>
      <c r="W110" s="78"/>
      <c r="X110" s="87" t="str">
        <f t="shared" ref="X110:X173" si="21">IF(W110="","",W110/T110)</f>
        <v/>
      </c>
      <c r="Y110" s="87" t="str">
        <f t="shared" si="14"/>
        <v/>
      </c>
      <c r="Z110" s="79">
        <v>44377</v>
      </c>
      <c r="AA110" s="86">
        <f t="shared" ref="AA110:AA173" si="22">IF(R110="","",IF(Z110="",T110-W110,T110-(W110+(T110-W110))))</f>
        <v>0</v>
      </c>
    </row>
    <row r="111" spans="2:27" ht="38.25" x14ac:dyDescent="0.25">
      <c r="B111" s="45" t="s">
        <v>198</v>
      </c>
      <c r="C111" s="46">
        <v>44042</v>
      </c>
      <c r="D111" s="46"/>
      <c r="E111" s="45" t="s">
        <v>984</v>
      </c>
      <c r="F111" s="46" t="s">
        <v>659</v>
      </c>
      <c r="G111" s="48" t="s">
        <v>985</v>
      </c>
      <c r="H111" s="48"/>
      <c r="I111" s="48" t="s">
        <v>986</v>
      </c>
      <c r="J111" s="49"/>
      <c r="K111" s="49" t="s">
        <v>987</v>
      </c>
      <c r="L111" s="49"/>
      <c r="M111" s="48" t="s">
        <v>320</v>
      </c>
      <c r="N111" s="49" t="s">
        <v>317</v>
      </c>
      <c r="O111" s="49" t="s">
        <v>16</v>
      </c>
      <c r="P111" s="49" t="s">
        <v>988</v>
      </c>
      <c r="Q111" s="49"/>
      <c r="R111" s="49">
        <v>11</v>
      </c>
      <c r="S111" s="80">
        <f t="shared" si="19"/>
        <v>370</v>
      </c>
      <c r="T111" s="76">
        <v>370</v>
      </c>
      <c r="U111" s="81" t="str">
        <f t="shared" si="20"/>
        <v>OK</v>
      </c>
      <c r="V111" s="77"/>
      <c r="W111" s="76"/>
      <c r="X111" s="81" t="str">
        <f t="shared" si="21"/>
        <v/>
      </c>
      <c r="Y111" s="81" t="str">
        <f t="shared" si="14"/>
        <v/>
      </c>
      <c r="Z111" s="77">
        <v>44384</v>
      </c>
      <c r="AA111" s="80">
        <f t="shared" si="22"/>
        <v>0</v>
      </c>
    </row>
    <row r="112" spans="2:27" x14ac:dyDescent="0.25">
      <c r="B112" s="35" t="s">
        <v>199</v>
      </c>
      <c r="C112" s="36"/>
      <c r="D112" s="36"/>
      <c r="E112" s="35"/>
      <c r="F112" s="36"/>
      <c r="G112" s="38"/>
      <c r="H112" s="38"/>
      <c r="I112" s="38"/>
      <c r="J112" s="39"/>
      <c r="K112" s="38"/>
      <c r="L112" s="39"/>
      <c r="M112" s="38"/>
      <c r="N112" s="38"/>
      <c r="O112" s="39"/>
      <c r="P112" s="39"/>
      <c r="Q112" s="39"/>
      <c r="R112" s="39"/>
      <c r="S112" s="86" t="str">
        <f t="shared" si="19"/>
        <v/>
      </c>
      <c r="T112" s="78"/>
      <c r="U112" s="86" t="str">
        <f t="shared" si="20"/>
        <v/>
      </c>
      <c r="V112" s="79"/>
      <c r="W112" s="78"/>
      <c r="X112" s="87" t="str">
        <f t="shared" si="21"/>
        <v/>
      </c>
      <c r="Y112" s="87" t="str">
        <f t="shared" si="14"/>
        <v/>
      </c>
      <c r="Z112" s="79"/>
      <c r="AA112" s="86" t="str">
        <f t="shared" si="22"/>
        <v/>
      </c>
    </row>
    <row r="113" spans="2:27" x14ac:dyDescent="0.25">
      <c r="B113" s="45" t="s">
        <v>200</v>
      </c>
      <c r="C113" s="46"/>
      <c r="D113" s="46"/>
      <c r="E113" s="45"/>
      <c r="F113" s="46"/>
      <c r="G113" s="48"/>
      <c r="H113" s="49"/>
      <c r="I113" s="48"/>
      <c r="J113" s="49"/>
      <c r="K113" s="48"/>
      <c r="L113" s="49"/>
      <c r="M113" s="48"/>
      <c r="N113" s="48"/>
      <c r="O113" s="49"/>
      <c r="P113" s="49"/>
      <c r="Q113" s="49"/>
      <c r="R113" s="49"/>
      <c r="S113" s="80" t="str">
        <f t="shared" si="19"/>
        <v/>
      </c>
      <c r="T113" s="76"/>
      <c r="U113" s="81" t="str">
        <f t="shared" si="20"/>
        <v/>
      </c>
      <c r="V113" s="77"/>
      <c r="W113" s="76"/>
      <c r="X113" s="81" t="str">
        <f t="shared" si="21"/>
        <v/>
      </c>
      <c r="Y113" s="81" t="str">
        <f t="shared" si="14"/>
        <v/>
      </c>
      <c r="Z113" s="77"/>
      <c r="AA113" s="80" t="str">
        <f t="shared" si="22"/>
        <v/>
      </c>
    </row>
    <row r="114" spans="2:27" x14ac:dyDescent="0.25">
      <c r="B114" s="35" t="s">
        <v>201</v>
      </c>
      <c r="C114" s="36"/>
      <c r="D114" s="36"/>
      <c r="E114" s="35"/>
      <c r="F114" s="36"/>
      <c r="G114" s="38"/>
      <c r="H114" s="38"/>
      <c r="I114" s="38"/>
      <c r="J114" s="39"/>
      <c r="K114" s="38"/>
      <c r="L114" s="39"/>
      <c r="M114" s="38"/>
      <c r="N114" s="38"/>
      <c r="O114" s="39"/>
      <c r="P114" s="39"/>
      <c r="Q114" s="49"/>
      <c r="R114" s="39"/>
      <c r="S114" s="86" t="str">
        <f t="shared" si="19"/>
        <v/>
      </c>
      <c r="T114" s="78"/>
      <c r="U114" s="86" t="str">
        <f t="shared" si="20"/>
        <v/>
      </c>
      <c r="V114" s="79"/>
      <c r="W114" s="78"/>
      <c r="X114" s="87" t="str">
        <f t="shared" si="21"/>
        <v/>
      </c>
      <c r="Y114" s="87" t="str">
        <f t="shared" si="14"/>
        <v/>
      </c>
      <c r="Z114" s="79"/>
      <c r="AA114" s="86" t="str">
        <f t="shared" si="22"/>
        <v/>
      </c>
    </row>
    <row r="115" spans="2:27" x14ac:dyDescent="0.25">
      <c r="B115" s="45" t="s">
        <v>202</v>
      </c>
      <c r="C115" s="46"/>
      <c r="D115" s="46"/>
      <c r="E115" s="45"/>
      <c r="F115" s="46"/>
      <c r="G115" s="48"/>
      <c r="H115" s="49"/>
      <c r="I115" s="48"/>
      <c r="J115" s="49"/>
      <c r="K115" s="48"/>
      <c r="L115" s="49"/>
      <c r="M115" s="48"/>
      <c r="N115" s="48"/>
      <c r="O115" s="49"/>
      <c r="P115" s="49"/>
      <c r="Q115" s="49"/>
      <c r="R115" s="49"/>
      <c r="S115" s="80" t="str">
        <f t="shared" si="19"/>
        <v/>
      </c>
      <c r="T115" s="76"/>
      <c r="U115" s="81" t="str">
        <f t="shared" si="20"/>
        <v/>
      </c>
      <c r="V115" s="77"/>
      <c r="W115" s="76"/>
      <c r="X115" s="81" t="str">
        <f t="shared" si="21"/>
        <v/>
      </c>
      <c r="Y115" s="81" t="str">
        <f t="shared" si="14"/>
        <v/>
      </c>
      <c r="Z115" s="77"/>
      <c r="AA115" s="80" t="str">
        <f t="shared" si="22"/>
        <v/>
      </c>
    </row>
    <row r="116" spans="2:27" x14ac:dyDescent="0.25">
      <c r="B116" s="35" t="s">
        <v>203</v>
      </c>
      <c r="C116" s="36"/>
      <c r="D116" s="36"/>
      <c r="E116" s="35"/>
      <c r="F116" s="36"/>
      <c r="G116" s="38"/>
      <c r="H116" s="38"/>
      <c r="I116" s="38"/>
      <c r="J116" s="39"/>
      <c r="K116" s="38"/>
      <c r="L116" s="39"/>
      <c r="M116" s="38"/>
      <c r="N116" s="38"/>
      <c r="O116" s="39"/>
      <c r="P116" s="39"/>
      <c r="Q116" s="39"/>
      <c r="R116" s="39"/>
      <c r="S116" s="86" t="str">
        <f t="shared" si="19"/>
        <v/>
      </c>
      <c r="T116" s="78"/>
      <c r="U116" s="86" t="str">
        <f t="shared" si="20"/>
        <v/>
      </c>
      <c r="V116" s="79"/>
      <c r="W116" s="78"/>
      <c r="X116" s="87" t="str">
        <f t="shared" si="21"/>
        <v/>
      </c>
      <c r="Y116" s="87" t="str">
        <f t="shared" si="14"/>
        <v/>
      </c>
      <c r="Z116" s="79"/>
      <c r="AA116" s="86" t="str">
        <f t="shared" si="22"/>
        <v/>
      </c>
    </row>
    <row r="117" spans="2:27" x14ac:dyDescent="0.25">
      <c r="B117" s="45" t="s">
        <v>204</v>
      </c>
      <c r="C117" s="46"/>
      <c r="D117" s="46"/>
      <c r="E117" s="45"/>
      <c r="F117" s="46"/>
      <c r="G117" s="48"/>
      <c r="H117" s="48"/>
      <c r="I117" s="48"/>
      <c r="J117" s="49"/>
      <c r="K117" s="49"/>
      <c r="L117" s="49"/>
      <c r="M117" s="48"/>
      <c r="N117" s="49"/>
      <c r="O117" s="49"/>
      <c r="P117" s="49"/>
      <c r="Q117" s="49"/>
      <c r="R117" s="49"/>
      <c r="S117" s="80" t="str">
        <f t="shared" si="19"/>
        <v/>
      </c>
      <c r="T117" s="76"/>
      <c r="U117" s="81" t="str">
        <f t="shared" si="20"/>
        <v/>
      </c>
      <c r="V117" s="77"/>
      <c r="W117" s="76"/>
      <c r="X117" s="81" t="str">
        <f t="shared" si="21"/>
        <v/>
      </c>
      <c r="Y117" s="81" t="str">
        <f t="shared" si="14"/>
        <v/>
      </c>
      <c r="Z117" s="77"/>
      <c r="AA117" s="80" t="str">
        <f t="shared" si="22"/>
        <v/>
      </c>
    </row>
    <row r="118" spans="2:27" x14ac:dyDescent="0.25">
      <c r="B118" s="35" t="s">
        <v>205</v>
      </c>
      <c r="C118" s="36"/>
      <c r="D118" s="36"/>
      <c r="E118" s="35"/>
      <c r="F118" s="36"/>
      <c r="G118" s="38"/>
      <c r="H118" s="38"/>
      <c r="I118" s="38"/>
      <c r="J118" s="39"/>
      <c r="K118" s="38"/>
      <c r="L118" s="39"/>
      <c r="M118" s="38"/>
      <c r="N118" s="38"/>
      <c r="O118" s="39"/>
      <c r="P118" s="39"/>
      <c r="Q118" s="39"/>
      <c r="R118" s="39"/>
      <c r="S118" s="86" t="str">
        <f t="shared" si="19"/>
        <v/>
      </c>
      <c r="T118" s="78"/>
      <c r="U118" s="86" t="str">
        <f t="shared" si="20"/>
        <v/>
      </c>
      <c r="V118" s="79"/>
      <c r="W118" s="78"/>
      <c r="X118" s="87" t="str">
        <f t="shared" si="21"/>
        <v/>
      </c>
      <c r="Y118" s="87" t="str">
        <f t="shared" si="14"/>
        <v/>
      </c>
      <c r="Z118" s="79"/>
      <c r="AA118" s="86" t="str">
        <f t="shared" si="22"/>
        <v/>
      </c>
    </row>
    <row r="119" spans="2:27" x14ac:dyDescent="0.25">
      <c r="B119" s="45" t="s">
        <v>206</v>
      </c>
      <c r="C119" s="46"/>
      <c r="D119" s="46"/>
      <c r="E119" s="45"/>
      <c r="F119" s="46"/>
      <c r="G119" s="48"/>
      <c r="H119" s="49"/>
      <c r="I119" s="48"/>
      <c r="J119" s="49"/>
      <c r="K119" s="48"/>
      <c r="L119" s="49"/>
      <c r="M119" s="48"/>
      <c r="N119" s="48"/>
      <c r="O119" s="49"/>
      <c r="P119" s="49"/>
      <c r="Q119" s="49"/>
      <c r="R119" s="49"/>
      <c r="S119" s="80" t="str">
        <f t="shared" si="19"/>
        <v/>
      </c>
      <c r="T119" s="76"/>
      <c r="U119" s="81" t="str">
        <f t="shared" si="20"/>
        <v/>
      </c>
      <c r="V119" s="77"/>
      <c r="W119" s="76"/>
      <c r="X119" s="81" t="str">
        <f t="shared" si="21"/>
        <v/>
      </c>
      <c r="Y119" s="81" t="str">
        <f t="shared" si="14"/>
        <v/>
      </c>
      <c r="Z119" s="77"/>
      <c r="AA119" s="80" t="str">
        <f t="shared" si="22"/>
        <v/>
      </c>
    </row>
    <row r="120" spans="2:27" x14ac:dyDescent="0.25">
      <c r="B120" s="35" t="s">
        <v>207</v>
      </c>
      <c r="C120" s="36"/>
      <c r="D120" s="36"/>
      <c r="E120" s="35"/>
      <c r="F120" s="36"/>
      <c r="G120" s="38"/>
      <c r="H120" s="38"/>
      <c r="I120" s="38"/>
      <c r="J120" s="39"/>
      <c r="K120" s="38"/>
      <c r="L120" s="39"/>
      <c r="M120" s="38"/>
      <c r="N120" s="38"/>
      <c r="O120" s="39"/>
      <c r="P120" s="39"/>
      <c r="Q120" s="49"/>
      <c r="R120" s="39"/>
      <c r="S120" s="86" t="str">
        <f t="shared" si="19"/>
        <v/>
      </c>
      <c r="T120" s="78"/>
      <c r="U120" s="86" t="str">
        <f t="shared" si="20"/>
        <v/>
      </c>
      <c r="V120" s="79"/>
      <c r="W120" s="78"/>
      <c r="X120" s="87" t="str">
        <f t="shared" si="21"/>
        <v/>
      </c>
      <c r="Y120" s="87" t="str">
        <f t="shared" si="14"/>
        <v/>
      </c>
      <c r="Z120" s="79"/>
      <c r="AA120" s="86" t="str">
        <f t="shared" si="22"/>
        <v/>
      </c>
    </row>
    <row r="121" spans="2:27" x14ac:dyDescent="0.25">
      <c r="B121" s="45" t="s">
        <v>208</v>
      </c>
      <c r="C121" s="46"/>
      <c r="D121" s="46"/>
      <c r="E121" s="45"/>
      <c r="F121" s="46"/>
      <c r="G121" s="48"/>
      <c r="H121" s="49"/>
      <c r="I121" s="48"/>
      <c r="J121" s="49"/>
      <c r="K121" s="48"/>
      <c r="L121" s="49"/>
      <c r="M121" s="48"/>
      <c r="N121" s="48"/>
      <c r="O121" s="49"/>
      <c r="P121" s="49"/>
      <c r="Q121" s="49"/>
      <c r="R121" s="49"/>
      <c r="S121" s="80" t="str">
        <f t="shared" si="19"/>
        <v/>
      </c>
      <c r="T121" s="76"/>
      <c r="U121" s="81" t="str">
        <f t="shared" si="20"/>
        <v/>
      </c>
      <c r="V121" s="77"/>
      <c r="W121" s="76"/>
      <c r="X121" s="81" t="str">
        <f t="shared" si="21"/>
        <v/>
      </c>
      <c r="Y121" s="81" t="str">
        <f t="shared" si="14"/>
        <v/>
      </c>
      <c r="Z121" s="77"/>
      <c r="AA121" s="80" t="str">
        <f t="shared" si="22"/>
        <v/>
      </c>
    </row>
    <row r="122" spans="2:27" x14ac:dyDescent="0.25">
      <c r="B122" s="35" t="s">
        <v>209</v>
      </c>
      <c r="C122" s="36"/>
      <c r="D122" s="36"/>
      <c r="E122" s="35"/>
      <c r="F122" s="36"/>
      <c r="G122" s="38"/>
      <c r="H122" s="38"/>
      <c r="I122" s="38"/>
      <c r="J122" s="39"/>
      <c r="K122" s="38"/>
      <c r="L122" s="39"/>
      <c r="M122" s="38"/>
      <c r="N122" s="38"/>
      <c r="O122" s="39"/>
      <c r="P122" s="39"/>
      <c r="Q122" s="39"/>
      <c r="R122" s="39"/>
      <c r="S122" s="86" t="str">
        <f t="shared" si="19"/>
        <v/>
      </c>
      <c r="T122" s="78"/>
      <c r="U122" s="86" t="str">
        <f t="shared" si="20"/>
        <v/>
      </c>
      <c r="V122" s="79"/>
      <c r="W122" s="78"/>
      <c r="X122" s="87" t="str">
        <f t="shared" si="21"/>
        <v/>
      </c>
      <c r="Y122" s="87" t="str">
        <f t="shared" si="14"/>
        <v/>
      </c>
      <c r="Z122" s="79"/>
      <c r="AA122" s="86" t="str">
        <f t="shared" si="22"/>
        <v/>
      </c>
    </row>
    <row r="123" spans="2:27" x14ac:dyDescent="0.25">
      <c r="B123" s="45" t="s">
        <v>210</v>
      </c>
      <c r="C123" s="46"/>
      <c r="D123" s="46"/>
      <c r="E123" s="45"/>
      <c r="F123" s="46"/>
      <c r="G123" s="48"/>
      <c r="H123" s="48"/>
      <c r="I123" s="48"/>
      <c r="J123" s="49"/>
      <c r="K123" s="49"/>
      <c r="L123" s="49"/>
      <c r="M123" s="48"/>
      <c r="N123" s="49"/>
      <c r="O123" s="49"/>
      <c r="P123" s="49"/>
      <c r="Q123" s="49"/>
      <c r="R123" s="49"/>
      <c r="S123" s="80" t="str">
        <f t="shared" si="19"/>
        <v/>
      </c>
      <c r="T123" s="76"/>
      <c r="U123" s="81" t="str">
        <f t="shared" si="20"/>
        <v/>
      </c>
      <c r="V123" s="77"/>
      <c r="W123" s="76"/>
      <c r="X123" s="81" t="str">
        <f t="shared" si="21"/>
        <v/>
      </c>
      <c r="Y123" s="81" t="str">
        <f t="shared" si="14"/>
        <v/>
      </c>
      <c r="Z123" s="77"/>
      <c r="AA123" s="80" t="str">
        <f t="shared" si="22"/>
        <v/>
      </c>
    </row>
    <row r="124" spans="2:27" x14ac:dyDescent="0.25">
      <c r="B124" s="35" t="s">
        <v>211</v>
      </c>
      <c r="C124" s="36"/>
      <c r="D124" s="36"/>
      <c r="E124" s="35"/>
      <c r="F124" s="36"/>
      <c r="G124" s="38"/>
      <c r="H124" s="38"/>
      <c r="I124" s="38"/>
      <c r="J124" s="39"/>
      <c r="K124" s="38"/>
      <c r="L124" s="39"/>
      <c r="M124" s="38"/>
      <c r="N124" s="38"/>
      <c r="O124" s="39"/>
      <c r="P124" s="39"/>
      <c r="Q124" s="39"/>
      <c r="R124" s="39"/>
      <c r="S124" s="86" t="str">
        <f t="shared" si="19"/>
        <v/>
      </c>
      <c r="T124" s="78"/>
      <c r="U124" s="86" t="str">
        <f t="shared" si="20"/>
        <v/>
      </c>
      <c r="V124" s="79"/>
      <c r="W124" s="78"/>
      <c r="X124" s="87" t="str">
        <f t="shared" si="21"/>
        <v/>
      </c>
      <c r="Y124" s="87" t="str">
        <f t="shared" si="14"/>
        <v/>
      </c>
      <c r="Z124" s="79"/>
      <c r="AA124" s="86" t="str">
        <f t="shared" si="22"/>
        <v/>
      </c>
    </row>
    <row r="125" spans="2:27" x14ac:dyDescent="0.25">
      <c r="B125" s="45" t="s">
        <v>212</v>
      </c>
      <c r="C125" s="46"/>
      <c r="D125" s="46"/>
      <c r="E125" s="45"/>
      <c r="F125" s="46"/>
      <c r="G125" s="48"/>
      <c r="H125" s="49"/>
      <c r="I125" s="48"/>
      <c r="J125" s="49"/>
      <c r="K125" s="48"/>
      <c r="L125" s="49"/>
      <c r="M125" s="48"/>
      <c r="N125" s="48"/>
      <c r="O125" s="49"/>
      <c r="P125" s="49"/>
      <c r="Q125" s="49"/>
      <c r="R125" s="49"/>
      <c r="S125" s="80" t="str">
        <f t="shared" si="19"/>
        <v/>
      </c>
      <c r="T125" s="76"/>
      <c r="U125" s="81" t="str">
        <f t="shared" si="20"/>
        <v/>
      </c>
      <c r="V125" s="77"/>
      <c r="W125" s="76"/>
      <c r="X125" s="81" t="str">
        <f t="shared" si="21"/>
        <v/>
      </c>
      <c r="Y125" s="81" t="str">
        <f t="shared" si="14"/>
        <v/>
      </c>
      <c r="Z125" s="77"/>
      <c r="AA125" s="80" t="str">
        <f t="shared" si="22"/>
        <v/>
      </c>
    </row>
    <row r="126" spans="2:27" x14ac:dyDescent="0.25">
      <c r="B126" s="35" t="s">
        <v>213</v>
      </c>
      <c r="C126" s="36"/>
      <c r="D126" s="36"/>
      <c r="E126" s="35"/>
      <c r="F126" s="36"/>
      <c r="G126" s="38"/>
      <c r="H126" s="38"/>
      <c r="I126" s="38"/>
      <c r="J126" s="39"/>
      <c r="K126" s="38"/>
      <c r="L126" s="39"/>
      <c r="M126" s="38"/>
      <c r="N126" s="38"/>
      <c r="O126" s="39"/>
      <c r="P126" s="39"/>
      <c r="Q126" s="49"/>
      <c r="R126" s="39"/>
      <c r="S126" s="86" t="str">
        <f t="shared" si="19"/>
        <v/>
      </c>
      <c r="T126" s="78"/>
      <c r="U126" s="86" t="str">
        <f t="shared" si="20"/>
        <v/>
      </c>
      <c r="V126" s="79"/>
      <c r="W126" s="78"/>
      <c r="X126" s="87" t="str">
        <f t="shared" si="21"/>
        <v/>
      </c>
      <c r="Y126" s="87" t="str">
        <f t="shared" si="14"/>
        <v/>
      </c>
      <c r="Z126" s="79"/>
      <c r="AA126" s="86" t="str">
        <f t="shared" si="22"/>
        <v/>
      </c>
    </row>
    <row r="127" spans="2:27" x14ac:dyDescent="0.25">
      <c r="B127" s="45" t="s">
        <v>214</v>
      </c>
      <c r="C127" s="46"/>
      <c r="D127" s="46"/>
      <c r="E127" s="45"/>
      <c r="F127" s="46"/>
      <c r="G127" s="48"/>
      <c r="H127" s="49"/>
      <c r="I127" s="48"/>
      <c r="J127" s="49"/>
      <c r="K127" s="48"/>
      <c r="L127" s="49"/>
      <c r="M127" s="48"/>
      <c r="N127" s="48"/>
      <c r="O127" s="49"/>
      <c r="P127" s="49"/>
      <c r="Q127" s="49"/>
      <c r="R127" s="49"/>
      <c r="S127" s="80" t="str">
        <f t="shared" si="19"/>
        <v/>
      </c>
      <c r="T127" s="76"/>
      <c r="U127" s="81" t="str">
        <f t="shared" si="20"/>
        <v/>
      </c>
      <c r="V127" s="77"/>
      <c r="W127" s="76"/>
      <c r="X127" s="81" t="str">
        <f t="shared" si="21"/>
        <v/>
      </c>
      <c r="Y127" s="81" t="str">
        <f t="shared" si="14"/>
        <v/>
      </c>
      <c r="Z127" s="77"/>
      <c r="AA127" s="80" t="str">
        <f t="shared" si="22"/>
        <v/>
      </c>
    </row>
    <row r="128" spans="2:27" x14ac:dyDescent="0.25">
      <c r="B128" s="35" t="s">
        <v>215</v>
      </c>
      <c r="C128" s="36"/>
      <c r="D128" s="36"/>
      <c r="E128" s="35"/>
      <c r="F128" s="36"/>
      <c r="G128" s="38"/>
      <c r="H128" s="38"/>
      <c r="I128" s="38"/>
      <c r="J128" s="39"/>
      <c r="K128" s="38"/>
      <c r="L128" s="39"/>
      <c r="M128" s="38"/>
      <c r="N128" s="38"/>
      <c r="O128" s="39"/>
      <c r="P128" s="39"/>
      <c r="Q128" s="39"/>
      <c r="R128" s="39"/>
      <c r="S128" s="86" t="str">
        <f t="shared" si="19"/>
        <v/>
      </c>
      <c r="T128" s="78"/>
      <c r="U128" s="86" t="str">
        <f t="shared" si="20"/>
        <v/>
      </c>
      <c r="V128" s="79"/>
      <c r="W128" s="78"/>
      <c r="X128" s="87" t="str">
        <f t="shared" si="21"/>
        <v/>
      </c>
      <c r="Y128" s="87" t="str">
        <f t="shared" si="14"/>
        <v/>
      </c>
      <c r="Z128" s="79"/>
      <c r="AA128" s="86" t="str">
        <f t="shared" si="22"/>
        <v/>
      </c>
    </row>
    <row r="129" spans="2:27" x14ac:dyDescent="0.25">
      <c r="B129" s="45" t="s">
        <v>216</v>
      </c>
      <c r="C129" s="46"/>
      <c r="D129" s="46"/>
      <c r="E129" s="45"/>
      <c r="F129" s="46"/>
      <c r="G129" s="48"/>
      <c r="H129" s="48"/>
      <c r="I129" s="48"/>
      <c r="J129" s="49"/>
      <c r="K129" s="49"/>
      <c r="L129" s="49"/>
      <c r="M129" s="48"/>
      <c r="N129" s="49"/>
      <c r="O129" s="49"/>
      <c r="P129" s="49"/>
      <c r="Q129" s="49"/>
      <c r="R129" s="49"/>
      <c r="S129" s="80" t="str">
        <f t="shared" si="19"/>
        <v/>
      </c>
      <c r="T129" s="76"/>
      <c r="U129" s="81" t="str">
        <f t="shared" si="20"/>
        <v/>
      </c>
      <c r="V129" s="77"/>
      <c r="W129" s="76"/>
      <c r="X129" s="81" t="str">
        <f t="shared" si="21"/>
        <v/>
      </c>
      <c r="Y129" s="81" t="str">
        <f t="shared" si="14"/>
        <v/>
      </c>
      <c r="Z129" s="77"/>
      <c r="AA129" s="80" t="str">
        <f t="shared" si="22"/>
        <v/>
      </c>
    </row>
    <row r="130" spans="2:27" x14ac:dyDescent="0.25">
      <c r="B130" s="35" t="s">
        <v>217</v>
      </c>
      <c r="C130" s="36"/>
      <c r="D130" s="36"/>
      <c r="E130" s="35"/>
      <c r="F130" s="36"/>
      <c r="G130" s="38"/>
      <c r="H130" s="38"/>
      <c r="I130" s="38"/>
      <c r="J130" s="39"/>
      <c r="K130" s="38"/>
      <c r="L130" s="39"/>
      <c r="M130" s="38"/>
      <c r="N130" s="38"/>
      <c r="O130" s="39"/>
      <c r="P130" s="39"/>
      <c r="Q130" s="39"/>
      <c r="R130" s="39"/>
      <c r="S130" s="86" t="str">
        <f t="shared" si="19"/>
        <v/>
      </c>
      <c r="T130" s="78"/>
      <c r="U130" s="86" t="str">
        <f t="shared" si="20"/>
        <v/>
      </c>
      <c r="V130" s="79"/>
      <c r="W130" s="78"/>
      <c r="X130" s="87" t="str">
        <f t="shared" si="21"/>
        <v/>
      </c>
      <c r="Y130" s="87" t="str">
        <f t="shared" si="14"/>
        <v/>
      </c>
      <c r="Z130" s="79"/>
      <c r="AA130" s="86" t="str">
        <f t="shared" si="22"/>
        <v/>
      </c>
    </row>
    <row r="131" spans="2:27" x14ac:dyDescent="0.25">
      <c r="B131" s="45" t="s">
        <v>218</v>
      </c>
      <c r="C131" s="46"/>
      <c r="D131" s="46"/>
      <c r="E131" s="45"/>
      <c r="F131" s="46"/>
      <c r="G131" s="48"/>
      <c r="H131" s="49"/>
      <c r="I131" s="48"/>
      <c r="J131" s="49"/>
      <c r="K131" s="48"/>
      <c r="L131" s="49"/>
      <c r="M131" s="48"/>
      <c r="N131" s="48"/>
      <c r="O131" s="49"/>
      <c r="P131" s="49"/>
      <c r="Q131" s="49"/>
      <c r="R131" s="49"/>
      <c r="S131" s="80" t="str">
        <f t="shared" si="19"/>
        <v/>
      </c>
      <c r="T131" s="76"/>
      <c r="U131" s="81" t="str">
        <f t="shared" si="20"/>
        <v/>
      </c>
      <c r="V131" s="77"/>
      <c r="W131" s="76"/>
      <c r="X131" s="81" t="str">
        <f t="shared" si="21"/>
        <v/>
      </c>
      <c r="Y131" s="81" t="str">
        <f t="shared" si="14"/>
        <v/>
      </c>
      <c r="Z131" s="77"/>
      <c r="AA131" s="80" t="str">
        <f t="shared" si="22"/>
        <v/>
      </c>
    </row>
    <row r="132" spans="2:27" x14ac:dyDescent="0.25">
      <c r="B132" s="35" t="s">
        <v>219</v>
      </c>
      <c r="C132" s="36"/>
      <c r="D132" s="36"/>
      <c r="E132" s="35"/>
      <c r="F132" s="36"/>
      <c r="G132" s="38"/>
      <c r="H132" s="38"/>
      <c r="I132" s="38"/>
      <c r="J132" s="39"/>
      <c r="K132" s="38"/>
      <c r="L132" s="39"/>
      <c r="M132" s="38"/>
      <c r="N132" s="38"/>
      <c r="O132" s="39"/>
      <c r="P132" s="39"/>
      <c r="Q132" s="49"/>
      <c r="R132" s="39"/>
      <c r="S132" s="86" t="str">
        <f t="shared" si="19"/>
        <v/>
      </c>
      <c r="T132" s="78"/>
      <c r="U132" s="86" t="str">
        <f t="shared" si="20"/>
        <v/>
      </c>
      <c r="V132" s="79"/>
      <c r="W132" s="78"/>
      <c r="X132" s="87" t="str">
        <f t="shared" si="21"/>
        <v/>
      </c>
      <c r="Y132" s="87" t="str">
        <f t="shared" si="14"/>
        <v/>
      </c>
      <c r="Z132" s="79"/>
      <c r="AA132" s="86" t="str">
        <f t="shared" si="22"/>
        <v/>
      </c>
    </row>
    <row r="133" spans="2:27" x14ac:dyDescent="0.25">
      <c r="B133" s="45" t="s">
        <v>220</v>
      </c>
      <c r="C133" s="46"/>
      <c r="D133" s="46"/>
      <c r="E133" s="45"/>
      <c r="F133" s="46"/>
      <c r="G133" s="48"/>
      <c r="H133" s="49"/>
      <c r="I133" s="48"/>
      <c r="J133" s="49"/>
      <c r="K133" s="48"/>
      <c r="L133" s="49"/>
      <c r="M133" s="48"/>
      <c r="N133" s="48"/>
      <c r="O133" s="49"/>
      <c r="P133" s="49"/>
      <c r="Q133" s="49"/>
      <c r="R133" s="49"/>
      <c r="S133" s="80" t="str">
        <f t="shared" si="19"/>
        <v/>
      </c>
      <c r="T133" s="76"/>
      <c r="U133" s="81" t="str">
        <f t="shared" si="20"/>
        <v/>
      </c>
      <c r="V133" s="77"/>
      <c r="W133" s="76"/>
      <c r="X133" s="81" t="str">
        <f t="shared" si="21"/>
        <v/>
      </c>
      <c r="Y133" s="81" t="str">
        <f t="shared" si="14"/>
        <v/>
      </c>
      <c r="Z133" s="77"/>
      <c r="AA133" s="80" t="str">
        <f t="shared" si="22"/>
        <v/>
      </c>
    </row>
    <row r="134" spans="2:27" x14ac:dyDescent="0.25">
      <c r="B134" s="35" t="s">
        <v>221</v>
      </c>
      <c r="C134" s="36"/>
      <c r="D134" s="36"/>
      <c r="E134" s="35"/>
      <c r="F134" s="36"/>
      <c r="G134" s="38"/>
      <c r="H134" s="38"/>
      <c r="I134" s="38"/>
      <c r="J134" s="39"/>
      <c r="K134" s="38"/>
      <c r="L134" s="39"/>
      <c r="M134" s="38"/>
      <c r="N134" s="38"/>
      <c r="O134" s="39"/>
      <c r="P134" s="39"/>
      <c r="Q134" s="39"/>
      <c r="R134" s="39"/>
      <c r="S134" s="86" t="str">
        <f t="shared" si="19"/>
        <v/>
      </c>
      <c r="T134" s="78"/>
      <c r="U134" s="86" t="str">
        <f t="shared" si="20"/>
        <v/>
      </c>
      <c r="V134" s="79"/>
      <c r="W134" s="78"/>
      <c r="X134" s="87" t="str">
        <f t="shared" si="21"/>
        <v/>
      </c>
      <c r="Y134" s="87" t="str">
        <f t="shared" si="14"/>
        <v/>
      </c>
      <c r="Z134" s="79"/>
      <c r="AA134" s="86" t="str">
        <f t="shared" si="22"/>
        <v/>
      </c>
    </row>
    <row r="135" spans="2:27" x14ac:dyDescent="0.25">
      <c r="B135" s="45" t="s">
        <v>222</v>
      </c>
      <c r="C135" s="46"/>
      <c r="D135" s="46"/>
      <c r="E135" s="45"/>
      <c r="F135" s="46"/>
      <c r="G135" s="48"/>
      <c r="H135" s="48"/>
      <c r="I135" s="48"/>
      <c r="J135" s="49"/>
      <c r="K135" s="49"/>
      <c r="L135" s="49"/>
      <c r="M135" s="48"/>
      <c r="N135" s="49"/>
      <c r="O135" s="49"/>
      <c r="P135" s="49"/>
      <c r="Q135" s="49"/>
      <c r="R135" s="49"/>
      <c r="S135" s="80" t="str">
        <f t="shared" si="19"/>
        <v/>
      </c>
      <c r="T135" s="76"/>
      <c r="U135" s="81" t="str">
        <f t="shared" si="20"/>
        <v/>
      </c>
      <c r="V135" s="77"/>
      <c r="W135" s="76"/>
      <c r="X135" s="81" t="str">
        <f t="shared" si="21"/>
        <v/>
      </c>
      <c r="Y135" s="81" t="str">
        <f t="shared" si="14"/>
        <v/>
      </c>
      <c r="Z135" s="77"/>
      <c r="AA135" s="80" t="str">
        <f t="shared" si="22"/>
        <v/>
      </c>
    </row>
    <row r="136" spans="2:27" x14ac:dyDescent="0.25">
      <c r="B136" s="35" t="s">
        <v>223</v>
      </c>
      <c r="C136" s="36"/>
      <c r="D136" s="36"/>
      <c r="E136" s="35"/>
      <c r="F136" s="36"/>
      <c r="G136" s="38"/>
      <c r="H136" s="38"/>
      <c r="I136" s="38"/>
      <c r="J136" s="39"/>
      <c r="K136" s="38"/>
      <c r="L136" s="39"/>
      <c r="M136" s="38"/>
      <c r="N136" s="38"/>
      <c r="O136" s="39"/>
      <c r="P136" s="39"/>
      <c r="Q136" s="39"/>
      <c r="R136" s="39"/>
      <c r="S136" s="86" t="str">
        <f t="shared" si="19"/>
        <v/>
      </c>
      <c r="T136" s="78"/>
      <c r="U136" s="86" t="str">
        <f t="shared" si="20"/>
        <v/>
      </c>
      <c r="V136" s="79"/>
      <c r="W136" s="78"/>
      <c r="X136" s="87" t="str">
        <f t="shared" si="21"/>
        <v/>
      </c>
      <c r="Y136" s="87" t="str">
        <f t="shared" ref="Y136:Y199" si="23">IF(X136="","",IF(X136&gt;$Y$5,"ACIMA","OK"))</f>
        <v/>
      </c>
      <c r="Z136" s="79"/>
      <c r="AA136" s="86" t="str">
        <f t="shared" si="22"/>
        <v/>
      </c>
    </row>
    <row r="137" spans="2:27" x14ac:dyDescent="0.25">
      <c r="B137" s="45" t="s">
        <v>224</v>
      </c>
      <c r="C137" s="46"/>
      <c r="D137" s="46"/>
      <c r="E137" s="45"/>
      <c r="F137" s="46"/>
      <c r="G137" s="48"/>
      <c r="H137" s="49"/>
      <c r="I137" s="48"/>
      <c r="J137" s="49"/>
      <c r="K137" s="48"/>
      <c r="L137" s="49"/>
      <c r="M137" s="48"/>
      <c r="N137" s="48"/>
      <c r="O137" s="49"/>
      <c r="P137" s="49"/>
      <c r="Q137" s="49"/>
      <c r="R137" s="49"/>
      <c r="S137" s="80" t="str">
        <f t="shared" si="19"/>
        <v/>
      </c>
      <c r="T137" s="76"/>
      <c r="U137" s="81" t="str">
        <f t="shared" si="20"/>
        <v/>
      </c>
      <c r="V137" s="77"/>
      <c r="W137" s="76"/>
      <c r="X137" s="81" t="str">
        <f t="shared" si="21"/>
        <v/>
      </c>
      <c r="Y137" s="81" t="str">
        <f t="shared" si="23"/>
        <v/>
      </c>
      <c r="Z137" s="77"/>
      <c r="AA137" s="80" t="str">
        <f t="shared" si="22"/>
        <v/>
      </c>
    </row>
    <row r="138" spans="2:27" x14ac:dyDescent="0.25">
      <c r="B138" s="35" t="s">
        <v>225</v>
      </c>
      <c r="C138" s="36"/>
      <c r="D138" s="36"/>
      <c r="E138" s="35"/>
      <c r="F138" s="36"/>
      <c r="G138" s="38"/>
      <c r="H138" s="38"/>
      <c r="I138" s="38"/>
      <c r="J138" s="39"/>
      <c r="K138" s="38"/>
      <c r="L138" s="39"/>
      <c r="M138" s="38"/>
      <c r="N138" s="38"/>
      <c r="O138" s="39"/>
      <c r="P138" s="39"/>
      <c r="Q138" s="49"/>
      <c r="R138" s="39"/>
      <c r="S138" s="86" t="str">
        <f t="shared" si="19"/>
        <v/>
      </c>
      <c r="T138" s="78"/>
      <c r="U138" s="86" t="str">
        <f t="shared" si="20"/>
        <v/>
      </c>
      <c r="V138" s="79"/>
      <c r="W138" s="78"/>
      <c r="X138" s="87" t="str">
        <f t="shared" si="21"/>
        <v/>
      </c>
      <c r="Y138" s="87" t="str">
        <f t="shared" si="23"/>
        <v/>
      </c>
      <c r="Z138" s="79"/>
      <c r="AA138" s="86" t="str">
        <f t="shared" si="22"/>
        <v/>
      </c>
    </row>
    <row r="139" spans="2:27" x14ac:dyDescent="0.25">
      <c r="B139" s="45" t="s">
        <v>226</v>
      </c>
      <c r="C139" s="46"/>
      <c r="D139" s="46"/>
      <c r="E139" s="45"/>
      <c r="F139" s="46"/>
      <c r="G139" s="48"/>
      <c r="H139" s="49"/>
      <c r="I139" s="48"/>
      <c r="J139" s="49"/>
      <c r="K139" s="48"/>
      <c r="L139" s="49"/>
      <c r="M139" s="48"/>
      <c r="N139" s="48"/>
      <c r="O139" s="49"/>
      <c r="P139" s="49"/>
      <c r="Q139" s="49"/>
      <c r="R139" s="49"/>
      <c r="S139" s="80" t="str">
        <f t="shared" si="19"/>
        <v/>
      </c>
      <c r="T139" s="76"/>
      <c r="U139" s="81" t="str">
        <f t="shared" si="20"/>
        <v/>
      </c>
      <c r="V139" s="77"/>
      <c r="W139" s="76"/>
      <c r="X139" s="81" t="str">
        <f t="shared" si="21"/>
        <v/>
      </c>
      <c r="Y139" s="81" t="str">
        <f t="shared" si="23"/>
        <v/>
      </c>
      <c r="Z139" s="77"/>
      <c r="AA139" s="80" t="str">
        <f t="shared" si="22"/>
        <v/>
      </c>
    </row>
    <row r="140" spans="2:27" x14ac:dyDescent="0.25">
      <c r="B140" s="35" t="s">
        <v>227</v>
      </c>
      <c r="C140" s="36"/>
      <c r="D140" s="36"/>
      <c r="E140" s="35"/>
      <c r="F140" s="36"/>
      <c r="G140" s="38"/>
      <c r="H140" s="38"/>
      <c r="I140" s="38"/>
      <c r="J140" s="39"/>
      <c r="K140" s="38"/>
      <c r="L140" s="39"/>
      <c r="M140" s="38"/>
      <c r="N140" s="38"/>
      <c r="O140" s="39"/>
      <c r="P140" s="39"/>
      <c r="Q140" s="39"/>
      <c r="R140" s="39"/>
      <c r="S140" s="86" t="str">
        <f t="shared" si="19"/>
        <v/>
      </c>
      <c r="T140" s="78"/>
      <c r="U140" s="86" t="str">
        <f t="shared" si="20"/>
        <v/>
      </c>
      <c r="V140" s="79"/>
      <c r="W140" s="78"/>
      <c r="X140" s="87" t="str">
        <f t="shared" si="21"/>
        <v/>
      </c>
      <c r="Y140" s="87" t="str">
        <f t="shared" si="23"/>
        <v/>
      </c>
      <c r="Z140" s="79"/>
      <c r="AA140" s="86" t="str">
        <f t="shared" si="22"/>
        <v/>
      </c>
    </row>
    <row r="141" spans="2:27" x14ac:dyDescent="0.25">
      <c r="B141" s="45" t="s">
        <v>228</v>
      </c>
      <c r="C141" s="46"/>
      <c r="D141" s="46"/>
      <c r="E141" s="45"/>
      <c r="F141" s="46"/>
      <c r="G141" s="48"/>
      <c r="H141" s="48"/>
      <c r="I141" s="48"/>
      <c r="J141" s="49"/>
      <c r="K141" s="49"/>
      <c r="L141" s="49"/>
      <c r="M141" s="48"/>
      <c r="N141" s="49"/>
      <c r="O141" s="49"/>
      <c r="P141" s="49"/>
      <c r="Q141" s="49"/>
      <c r="R141" s="49"/>
      <c r="S141" s="80" t="str">
        <f t="shared" si="19"/>
        <v/>
      </c>
      <c r="T141" s="76"/>
      <c r="U141" s="81" t="str">
        <f t="shared" si="20"/>
        <v/>
      </c>
      <c r="V141" s="77"/>
      <c r="W141" s="76"/>
      <c r="X141" s="81" t="str">
        <f t="shared" si="21"/>
        <v/>
      </c>
      <c r="Y141" s="81" t="str">
        <f t="shared" si="23"/>
        <v/>
      </c>
      <c r="Z141" s="77"/>
      <c r="AA141" s="80" t="str">
        <f t="shared" si="22"/>
        <v/>
      </c>
    </row>
    <row r="142" spans="2:27" x14ac:dyDescent="0.25">
      <c r="B142" s="35" t="s">
        <v>229</v>
      </c>
      <c r="C142" s="36"/>
      <c r="D142" s="36"/>
      <c r="E142" s="35"/>
      <c r="F142" s="36"/>
      <c r="G142" s="38"/>
      <c r="H142" s="38"/>
      <c r="I142" s="38"/>
      <c r="J142" s="39"/>
      <c r="K142" s="38"/>
      <c r="L142" s="39"/>
      <c r="M142" s="38"/>
      <c r="N142" s="38"/>
      <c r="O142" s="39"/>
      <c r="P142" s="39"/>
      <c r="Q142" s="39"/>
      <c r="R142" s="39"/>
      <c r="S142" s="86" t="str">
        <f t="shared" si="19"/>
        <v/>
      </c>
      <c r="T142" s="78"/>
      <c r="U142" s="86" t="str">
        <f t="shared" si="20"/>
        <v/>
      </c>
      <c r="V142" s="79"/>
      <c r="W142" s="78"/>
      <c r="X142" s="87" t="str">
        <f t="shared" si="21"/>
        <v/>
      </c>
      <c r="Y142" s="87" t="str">
        <f t="shared" si="23"/>
        <v/>
      </c>
      <c r="Z142" s="79"/>
      <c r="AA142" s="86" t="str">
        <f t="shared" si="22"/>
        <v/>
      </c>
    </row>
    <row r="143" spans="2:27" x14ac:dyDescent="0.25">
      <c r="B143" s="45" t="s">
        <v>230</v>
      </c>
      <c r="C143" s="46"/>
      <c r="D143" s="46"/>
      <c r="E143" s="45"/>
      <c r="F143" s="46"/>
      <c r="G143" s="48"/>
      <c r="H143" s="49"/>
      <c r="I143" s="48"/>
      <c r="J143" s="49"/>
      <c r="K143" s="48"/>
      <c r="L143" s="49"/>
      <c r="M143" s="48"/>
      <c r="N143" s="48"/>
      <c r="O143" s="49"/>
      <c r="P143" s="49"/>
      <c r="Q143" s="49"/>
      <c r="R143" s="49"/>
      <c r="S143" s="80" t="str">
        <f t="shared" si="19"/>
        <v/>
      </c>
      <c r="T143" s="76"/>
      <c r="U143" s="81" t="str">
        <f t="shared" si="20"/>
        <v/>
      </c>
      <c r="V143" s="77"/>
      <c r="W143" s="76"/>
      <c r="X143" s="81" t="str">
        <f t="shared" si="21"/>
        <v/>
      </c>
      <c r="Y143" s="81" t="str">
        <f t="shared" si="23"/>
        <v/>
      </c>
      <c r="Z143" s="77"/>
      <c r="AA143" s="80" t="str">
        <f t="shared" si="22"/>
        <v/>
      </c>
    </row>
    <row r="144" spans="2:27" x14ac:dyDescent="0.25">
      <c r="B144" s="35" t="s">
        <v>231</v>
      </c>
      <c r="C144" s="36"/>
      <c r="D144" s="36"/>
      <c r="E144" s="35"/>
      <c r="F144" s="36"/>
      <c r="G144" s="38"/>
      <c r="H144" s="38"/>
      <c r="I144" s="38"/>
      <c r="J144" s="39"/>
      <c r="K144" s="38"/>
      <c r="L144" s="39"/>
      <c r="M144" s="38"/>
      <c r="N144" s="38"/>
      <c r="O144" s="39"/>
      <c r="P144" s="39"/>
      <c r="Q144" s="49"/>
      <c r="R144" s="39"/>
      <c r="S144" s="86" t="str">
        <f t="shared" si="19"/>
        <v/>
      </c>
      <c r="T144" s="78"/>
      <c r="U144" s="86" t="str">
        <f t="shared" si="20"/>
        <v/>
      </c>
      <c r="V144" s="79"/>
      <c r="W144" s="78"/>
      <c r="X144" s="87" t="str">
        <f t="shared" si="21"/>
        <v/>
      </c>
      <c r="Y144" s="87" t="str">
        <f t="shared" si="23"/>
        <v/>
      </c>
      <c r="Z144" s="79"/>
      <c r="AA144" s="86" t="str">
        <f t="shared" si="22"/>
        <v/>
      </c>
    </row>
    <row r="145" spans="2:27" x14ac:dyDescent="0.25">
      <c r="B145" s="45" t="s">
        <v>232</v>
      </c>
      <c r="C145" s="46"/>
      <c r="D145" s="46"/>
      <c r="E145" s="45"/>
      <c r="F145" s="46"/>
      <c r="G145" s="48"/>
      <c r="H145" s="49"/>
      <c r="I145" s="48"/>
      <c r="J145" s="49"/>
      <c r="K145" s="48"/>
      <c r="L145" s="49"/>
      <c r="M145" s="48"/>
      <c r="N145" s="48"/>
      <c r="O145" s="49"/>
      <c r="P145" s="49"/>
      <c r="Q145" s="49"/>
      <c r="R145" s="49"/>
      <c r="S145" s="80" t="str">
        <f t="shared" si="19"/>
        <v/>
      </c>
      <c r="T145" s="76"/>
      <c r="U145" s="81" t="str">
        <f t="shared" si="20"/>
        <v/>
      </c>
      <c r="V145" s="77"/>
      <c r="W145" s="76"/>
      <c r="X145" s="81" t="str">
        <f t="shared" si="21"/>
        <v/>
      </c>
      <c r="Y145" s="81" t="str">
        <f t="shared" si="23"/>
        <v/>
      </c>
      <c r="Z145" s="77"/>
      <c r="AA145" s="80" t="str">
        <f t="shared" si="22"/>
        <v/>
      </c>
    </row>
    <row r="146" spans="2:27" x14ac:dyDescent="0.25">
      <c r="B146" s="35" t="s">
        <v>233</v>
      </c>
      <c r="C146" s="36"/>
      <c r="D146" s="36"/>
      <c r="E146" s="35"/>
      <c r="F146" s="36"/>
      <c r="G146" s="38"/>
      <c r="H146" s="38"/>
      <c r="I146" s="38"/>
      <c r="J146" s="39"/>
      <c r="K146" s="38"/>
      <c r="L146" s="39"/>
      <c r="M146" s="38"/>
      <c r="N146" s="38"/>
      <c r="O146" s="39"/>
      <c r="P146" s="39"/>
      <c r="Q146" s="39"/>
      <c r="R146" s="39"/>
      <c r="S146" s="86" t="str">
        <f t="shared" si="19"/>
        <v/>
      </c>
      <c r="T146" s="78"/>
      <c r="U146" s="86" t="str">
        <f t="shared" si="20"/>
        <v/>
      </c>
      <c r="V146" s="79"/>
      <c r="W146" s="78"/>
      <c r="X146" s="87" t="str">
        <f t="shared" si="21"/>
        <v/>
      </c>
      <c r="Y146" s="87" t="str">
        <f t="shared" si="23"/>
        <v/>
      </c>
      <c r="Z146" s="79"/>
      <c r="AA146" s="86" t="str">
        <f t="shared" si="22"/>
        <v/>
      </c>
    </row>
    <row r="147" spans="2:27" x14ac:dyDescent="0.25">
      <c r="B147" s="45" t="s">
        <v>234</v>
      </c>
      <c r="C147" s="46"/>
      <c r="D147" s="46"/>
      <c r="E147" s="45"/>
      <c r="F147" s="46"/>
      <c r="G147" s="48"/>
      <c r="H147" s="48"/>
      <c r="I147" s="48"/>
      <c r="J147" s="49"/>
      <c r="K147" s="49"/>
      <c r="L147" s="49"/>
      <c r="M147" s="48"/>
      <c r="N147" s="49"/>
      <c r="O147" s="49"/>
      <c r="P147" s="49"/>
      <c r="Q147" s="49"/>
      <c r="R147" s="49"/>
      <c r="S147" s="80" t="str">
        <f t="shared" si="19"/>
        <v/>
      </c>
      <c r="T147" s="76"/>
      <c r="U147" s="81" t="str">
        <f t="shared" si="20"/>
        <v/>
      </c>
      <c r="V147" s="77"/>
      <c r="W147" s="76"/>
      <c r="X147" s="81" t="str">
        <f t="shared" si="21"/>
        <v/>
      </c>
      <c r="Y147" s="81" t="str">
        <f t="shared" si="23"/>
        <v/>
      </c>
      <c r="Z147" s="77"/>
      <c r="AA147" s="80" t="str">
        <f t="shared" si="22"/>
        <v/>
      </c>
    </row>
    <row r="148" spans="2:27" x14ac:dyDescent="0.25">
      <c r="B148" s="35" t="s">
        <v>235</v>
      </c>
      <c r="C148" s="36"/>
      <c r="D148" s="36"/>
      <c r="E148" s="35"/>
      <c r="F148" s="36"/>
      <c r="G148" s="38"/>
      <c r="H148" s="38"/>
      <c r="I148" s="38"/>
      <c r="J148" s="39"/>
      <c r="K148" s="38"/>
      <c r="L148" s="39"/>
      <c r="M148" s="38"/>
      <c r="N148" s="38"/>
      <c r="O148" s="39"/>
      <c r="P148" s="39"/>
      <c r="Q148" s="39"/>
      <c r="R148" s="39"/>
      <c r="S148" s="86" t="str">
        <f t="shared" si="19"/>
        <v/>
      </c>
      <c r="T148" s="78"/>
      <c r="U148" s="86" t="str">
        <f t="shared" si="20"/>
        <v/>
      </c>
      <c r="V148" s="79"/>
      <c r="W148" s="78"/>
      <c r="X148" s="87" t="str">
        <f t="shared" si="21"/>
        <v/>
      </c>
      <c r="Y148" s="87" t="str">
        <f t="shared" si="23"/>
        <v/>
      </c>
      <c r="Z148" s="79"/>
      <c r="AA148" s="86" t="str">
        <f t="shared" si="22"/>
        <v/>
      </c>
    </row>
    <row r="149" spans="2:27" x14ac:dyDescent="0.25">
      <c r="B149" s="45" t="s">
        <v>236</v>
      </c>
      <c r="C149" s="46"/>
      <c r="D149" s="46"/>
      <c r="E149" s="45"/>
      <c r="F149" s="46"/>
      <c r="G149" s="48"/>
      <c r="H149" s="49"/>
      <c r="I149" s="48"/>
      <c r="J149" s="49"/>
      <c r="K149" s="48"/>
      <c r="L149" s="49"/>
      <c r="M149" s="48"/>
      <c r="N149" s="48"/>
      <c r="O149" s="49"/>
      <c r="P149" s="49"/>
      <c r="Q149" s="49"/>
      <c r="R149" s="49"/>
      <c r="S149" s="80" t="str">
        <f t="shared" si="19"/>
        <v/>
      </c>
      <c r="T149" s="76"/>
      <c r="U149" s="81" t="str">
        <f t="shared" si="20"/>
        <v/>
      </c>
      <c r="V149" s="77"/>
      <c r="W149" s="76"/>
      <c r="X149" s="81" t="str">
        <f t="shared" si="21"/>
        <v/>
      </c>
      <c r="Y149" s="81" t="str">
        <f t="shared" si="23"/>
        <v/>
      </c>
      <c r="Z149" s="77"/>
      <c r="AA149" s="80" t="str">
        <f t="shared" si="22"/>
        <v/>
      </c>
    </row>
    <row r="150" spans="2:27" x14ac:dyDescent="0.25">
      <c r="B150" s="35" t="s">
        <v>237</v>
      </c>
      <c r="C150" s="36"/>
      <c r="D150" s="36"/>
      <c r="E150" s="35"/>
      <c r="F150" s="36"/>
      <c r="G150" s="38"/>
      <c r="H150" s="38"/>
      <c r="I150" s="38"/>
      <c r="J150" s="39"/>
      <c r="K150" s="38"/>
      <c r="L150" s="39"/>
      <c r="M150" s="38"/>
      <c r="N150" s="38"/>
      <c r="O150" s="39"/>
      <c r="P150" s="39"/>
      <c r="Q150" s="49"/>
      <c r="R150" s="39"/>
      <c r="S150" s="86" t="str">
        <f t="shared" si="19"/>
        <v/>
      </c>
      <c r="T150" s="78"/>
      <c r="U150" s="86" t="str">
        <f t="shared" si="20"/>
        <v/>
      </c>
      <c r="V150" s="79"/>
      <c r="W150" s="78"/>
      <c r="X150" s="87" t="str">
        <f t="shared" si="21"/>
        <v/>
      </c>
      <c r="Y150" s="87" t="str">
        <f t="shared" si="23"/>
        <v/>
      </c>
      <c r="Z150" s="79"/>
      <c r="AA150" s="86" t="str">
        <f t="shared" si="22"/>
        <v/>
      </c>
    </row>
    <row r="151" spans="2:27" x14ac:dyDescent="0.25">
      <c r="B151" s="45" t="s">
        <v>238</v>
      </c>
      <c r="C151" s="46"/>
      <c r="D151" s="46"/>
      <c r="E151" s="45"/>
      <c r="F151" s="46"/>
      <c r="G151" s="48"/>
      <c r="H151" s="49"/>
      <c r="I151" s="48"/>
      <c r="J151" s="49"/>
      <c r="K151" s="48"/>
      <c r="L151" s="49"/>
      <c r="M151" s="48"/>
      <c r="N151" s="48"/>
      <c r="O151" s="49"/>
      <c r="P151" s="49"/>
      <c r="Q151" s="49"/>
      <c r="R151" s="49"/>
      <c r="S151" s="80" t="str">
        <f t="shared" si="19"/>
        <v/>
      </c>
      <c r="T151" s="76"/>
      <c r="U151" s="81" t="str">
        <f t="shared" si="20"/>
        <v/>
      </c>
      <c r="V151" s="77"/>
      <c r="W151" s="76"/>
      <c r="X151" s="81" t="str">
        <f t="shared" si="21"/>
        <v/>
      </c>
      <c r="Y151" s="81" t="str">
        <f t="shared" si="23"/>
        <v/>
      </c>
      <c r="Z151" s="77"/>
      <c r="AA151" s="80" t="str">
        <f t="shared" si="22"/>
        <v/>
      </c>
    </row>
    <row r="152" spans="2:27" x14ac:dyDescent="0.25">
      <c r="B152" s="35" t="s">
        <v>239</v>
      </c>
      <c r="C152" s="36"/>
      <c r="D152" s="36"/>
      <c r="E152" s="35"/>
      <c r="F152" s="36"/>
      <c r="G152" s="38"/>
      <c r="H152" s="38"/>
      <c r="I152" s="38"/>
      <c r="J152" s="39"/>
      <c r="K152" s="38"/>
      <c r="L152" s="39"/>
      <c r="M152" s="38"/>
      <c r="N152" s="38"/>
      <c r="O152" s="39"/>
      <c r="P152" s="39"/>
      <c r="Q152" s="39"/>
      <c r="R152" s="39"/>
      <c r="S152" s="86" t="str">
        <f t="shared" si="19"/>
        <v/>
      </c>
      <c r="T152" s="78"/>
      <c r="U152" s="86" t="str">
        <f t="shared" si="20"/>
        <v/>
      </c>
      <c r="V152" s="79"/>
      <c r="W152" s="78"/>
      <c r="X152" s="87" t="str">
        <f t="shared" si="21"/>
        <v/>
      </c>
      <c r="Y152" s="87" t="str">
        <f t="shared" si="23"/>
        <v/>
      </c>
      <c r="Z152" s="79"/>
      <c r="AA152" s="86" t="str">
        <f t="shared" si="22"/>
        <v/>
      </c>
    </row>
    <row r="153" spans="2:27" x14ac:dyDescent="0.25">
      <c r="B153" s="45" t="s">
        <v>240</v>
      </c>
      <c r="C153" s="46"/>
      <c r="D153" s="46"/>
      <c r="E153" s="45"/>
      <c r="F153" s="46"/>
      <c r="G153" s="48"/>
      <c r="H153" s="48"/>
      <c r="I153" s="48"/>
      <c r="J153" s="49"/>
      <c r="K153" s="49"/>
      <c r="L153" s="49"/>
      <c r="M153" s="48"/>
      <c r="N153" s="49"/>
      <c r="O153" s="49"/>
      <c r="P153" s="49"/>
      <c r="Q153" s="49"/>
      <c r="R153" s="49"/>
      <c r="S153" s="80" t="str">
        <f t="shared" si="19"/>
        <v/>
      </c>
      <c r="T153" s="76"/>
      <c r="U153" s="81" t="str">
        <f t="shared" si="20"/>
        <v/>
      </c>
      <c r="V153" s="77"/>
      <c r="W153" s="76"/>
      <c r="X153" s="81" t="str">
        <f t="shared" si="21"/>
        <v/>
      </c>
      <c r="Y153" s="81" t="str">
        <f t="shared" si="23"/>
        <v/>
      </c>
      <c r="Z153" s="77"/>
      <c r="AA153" s="80" t="str">
        <f t="shared" si="22"/>
        <v/>
      </c>
    </row>
    <row r="154" spans="2:27" x14ac:dyDescent="0.25">
      <c r="B154" s="35" t="s">
        <v>241</v>
      </c>
      <c r="C154" s="36"/>
      <c r="D154" s="36"/>
      <c r="E154" s="35"/>
      <c r="F154" s="36"/>
      <c r="G154" s="38"/>
      <c r="H154" s="38"/>
      <c r="I154" s="38"/>
      <c r="J154" s="39"/>
      <c r="K154" s="38"/>
      <c r="L154" s="39"/>
      <c r="M154" s="38"/>
      <c r="N154" s="38"/>
      <c r="O154" s="39"/>
      <c r="P154" s="39"/>
      <c r="Q154" s="39"/>
      <c r="R154" s="39"/>
      <c r="S154" s="86" t="str">
        <f t="shared" si="19"/>
        <v/>
      </c>
      <c r="T154" s="78"/>
      <c r="U154" s="86" t="str">
        <f t="shared" si="20"/>
        <v/>
      </c>
      <c r="V154" s="79"/>
      <c r="W154" s="78"/>
      <c r="X154" s="87" t="str">
        <f t="shared" si="21"/>
        <v/>
      </c>
      <c r="Y154" s="87" t="str">
        <f t="shared" si="23"/>
        <v/>
      </c>
      <c r="Z154" s="79"/>
      <c r="AA154" s="86" t="str">
        <f t="shared" si="22"/>
        <v/>
      </c>
    </row>
    <row r="155" spans="2:27" x14ac:dyDescent="0.25">
      <c r="B155" s="45" t="s">
        <v>242</v>
      </c>
      <c r="C155" s="46"/>
      <c r="D155" s="46"/>
      <c r="E155" s="45"/>
      <c r="F155" s="46"/>
      <c r="G155" s="48"/>
      <c r="H155" s="48"/>
      <c r="I155" s="48"/>
      <c r="J155" s="49"/>
      <c r="K155" s="49"/>
      <c r="L155" s="49"/>
      <c r="M155" s="48"/>
      <c r="N155" s="49"/>
      <c r="O155" s="49"/>
      <c r="P155" s="49"/>
      <c r="Q155" s="49"/>
      <c r="R155" s="49"/>
      <c r="S155" s="80" t="str">
        <f t="shared" si="19"/>
        <v/>
      </c>
      <c r="T155" s="76"/>
      <c r="U155" s="81" t="str">
        <f t="shared" si="20"/>
        <v/>
      </c>
      <c r="V155" s="77"/>
      <c r="W155" s="76"/>
      <c r="X155" s="81" t="str">
        <f t="shared" si="21"/>
        <v/>
      </c>
      <c r="Y155" s="81" t="str">
        <f t="shared" si="23"/>
        <v/>
      </c>
      <c r="Z155" s="77"/>
      <c r="AA155" s="80" t="str">
        <f t="shared" si="22"/>
        <v/>
      </c>
    </row>
    <row r="156" spans="2:27" x14ac:dyDescent="0.25">
      <c r="B156" s="35" t="s">
        <v>243</v>
      </c>
      <c r="C156" s="36"/>
      <c r="D156" s="36"/>
      <c r="E156" s="35"/>
      <c r="F156" s="36"/>
      <c r="G156" s="38"/>
      <c r="H156" s="38"/>
      <c r="I156" s="38"/>
      <c r="J156" s="39"/>
      <c r="K156" s="38"/>
      <c r="L156" s="39"/>
      <c r="M156" s="38"/>
      <c r="N156" s="38"/>
      <c r="O156" s="39"/>
      <c r="P156" s="39"/>
      <c r="Q156" s="39"/>
      <c r="R156" s="39"/>
      <c r="S156" s="86" t="str">
        <f t="shared" si="19"/>
        <v/>
      </c>
      <c r="T156" s="78"/>
      <c r="U156" s="86" t="str">
        <f t="shared" si="20"/>
        <v/>
      </c>
      <c r="V156" s="79"/>
      <c r="W156" s="78"/>
      <c r="X156" s="87" t="str">
        <f t="shared" si="21"/>
        <v/>
      </c>
      <c r="Y156" s="87" t="str">
        <f t="shared" si="23"/>
        <v/>
      </c>
      <c r="Z156" s="79"/>
      <c r="AA156" s="86" t="str">
        <f t="shared" si="22"/>
        <v/>
      </c>
    </row>
    <row r="157" spans="2:27" x14ac:dyDescent="0.25">
      <c r="B157" s="45" t="s">
        <v>244</v>
      </c>
      <c r="C157" s="46"/>
      <c r="D157" s="46"/>
      <c r="E157" s="45"/>
      <c r="F157" s="46"/>
      <c r="G157" s="48"/>
      <c r="H157" s="48"/>
      <c r="I157" s="48"/>
      <c r="J157" s="49"/>
      <c r="K157" s="49"/>
      <c r="L157" s="49"/>
      <c r="M157" s="48"/>
      <c r="N157" s="49"/>
      <c r="O157" s="49"/>
      <c r="P157" s="49"/>
      <c r="Q157" s="49"/>
      <c r="R157" s="49"/>
      <c r="S157" s="80" t="str">
        <f t="shared" si="19"/>
        <v/>
      </c>
      <c r="T157" s="76"/>
      <c r="U157" s="81" t="str">
        <f t="shared" si="20"/>
        <v/>
      </c>
      <c r="V157" s="77"/>
      <c r="W157" s="76"/>
      <c r="X157" s="81" t="str">
        <f t="shared" si="21"/>
        <v/>
      </c>
      <c r="Y157" s="81" t="str">
        <f t="shared" si="23"/>
        <v/>
      </c>
      <c r="Z157" s="77"/>
      <c r="AA157" s="80" t="str">
        <f t="shared" si="22"/>
        <v/>
      </c>
    </row>
    <row r="158" spans="2:27" x14ac:dyDescent="0.25">
      <c r="B158" s="35" t="s">
        <v>245</v>
      </c>
      <c r="C158" s="36"/>
      <c r="D158" s="36"/>
      <c r="E158" s="35"/>
      <c r="F158" s="36"/>
      <c r="G158" s="38"/>
      <c r="H158" s="38"/>
      <c r="I158" s="38"/>
      <c r="J158" s="39"/>
      <c r="K158" s="38"/>
      <c r="L158" s="39"/>
      <c r="M158" s="38"/>
      <c r="N158" s="38"/>
      <c r="O158" s="39"/>
      <c r="P158" s="39"/>
      <c r="Q158" s="39"/>
      <c r="R158" s="39"/>
      <c r="S158" s="86" t="str">
        <f t="shared" si="19"/>
        <v/>
      </c>
      <c r="T158" s="78"/>
      <c r="U158" s="86" t="str">
        <f t="shared" si="20"/>
        <v/>
      </c>
      <c r="V158" s="79"/>
      <c r="W158" s="78"/>
      <c r="X158" s="87" t="str">
        <f t="shared" si="21"/>
        <v/>
      </c>
      <c r="Y158" s="87" t="str">
        <f t="shared" si="23"/>
        <v/>
      </c>
      <c r="Z158" s="79"/>
      <c r="AA158" s="86" t="str">
        <f t="shared" si="22"/>
        <v/>
      </c>
    </row>
    <row r="159" spans="2:27" x14ac:dyDescent="0.25">
      <c r="B159" s="45" t="s">
        <v>246</v>
      </c>
      <c r="C159" s="46"/>
      <c r="D159" s="46"/>
      <c r="E159" s="45"/>
      <c r="F159" s="46"/>
      <c r="G159" s="48"/>
      <c r="H159" s="48"/>
      <c r="I159" s="48"/>
      <c r="J159" s="49"/>
      <c r="K159" s="49"/>
      <c r="L159" s="49"/>
      <c r="M159" s="48"/>
      <c r="N159" s="49"/>
      <c r="O159" s="49"/>
      <c r="P159" s="49"/>
      <c r="Q159" s="49"/>
      <c r="R159" s="49"/>
      <c r="S159" s="80" t="str">
        <f t="shared" si="19"/>
        <v/>
      </c>
      <c r="T159" s="76"/>
      <c r="U159" s="81" t="str">
        <f t="shared" si="20"/>
        <v/>
      </c>
      <c r="V159" s="77"/>
      <c r="W159" s="76"/>
      <c r="X159" s="81" t="str">
        <f t="shared" si="21"/>
        <v/>
      </c>
      <c r="Y159" s="81" t="str">
        <f t="shared" si="23"/>
        <v/>
      </c>
      <c r="Z159" s="77"/>
      <c r="AA159" s="80" t="str">
        <f t="shared" si="22"/>
        <v/>
      </c>
    </row>
    <row r="160" spans="2:27" x14ac:dyDescent="0.25">
      <c r="B160" s="35" t="s">
        <v>247</v>
      </c>
      <c r="C160" s="36"/>
      <c r="D160" s="36"/>
      <c r="E160" s="35"/>
      <c r="F160" s="36"/>
      <c r="G160" s="38"/>
      <c r="H160" s="38"/>
      <c r="I160" s="38"/>
      <c r="J160" s="39"/>
      <c r="K160" s="38"/>
      <c r="L160" s="39"/>
      <c r="M160" s="38"/>
      <c r="N160" s="38"/>
      <c r="O160" s="39"/>
      <c r="P160" s="39"/>
      <c r="Q160" s="39"/>
      <c r="R160" s="39"/>
      <c r="S160" s="86" t="str">
        <f t="shared" si="19"/>
        <v/>
      </c>
      <c r="T160" s="78"/>
      <c r="U160" s="86" t="str">
        <f t="shared" si="20"/>
        <v/>
      </c>
      <c r="V160" s="79"/>
      <c r="W160" s="78"/>
      <c r="X160" s="87" t="str">
        <f t="shared" si="21"/>
        <v/>
      </c>
      <c r="Y160" s="87" t="str">
        <f t="shared" si="23"/>
        <v/>
      </c>
      <c r="Z160" s="79"/>
      <c r="AA160" s="86" t="str">
        <f t="shared" si="22"/>
        <v/>
      </c>
    </row>
    <row r="161" spans="2:27" x14ac:dyDescent="0.25">
      <c r="B161" s="45" t="s">
        <v>248</v>
      </c>
      <c r="C161" s="46"/>
      <c r="D161" s="46"/>
      <c r="E161" s="45"/>
      <c r="F161" s="46"/>
      <c r="G161" s="48"/>
      <c r="H161" s="48"/>
      <c r="I161" s="48"/>
      <c r="J161" s="49"/>
      <c r="K161" s="49"/>
      <c r="L161" s="49"/>
      <c r="M161" s="48"/>
      <c r="N161" s="49"/>
      <c r="O161" s="49"/>
      <c r="P161" s="49"/>
      <c r="Q161" s="49"/>
      <c r="R161" s="49"/>
      <c r="S161" s="80" t="str">
        <f t="shared" si="19"/>
        <v/>
      </c>
      <c r="T161" s="76"/>
      <c r="U161" s="81" t="str">
        <f t="shared" si="20"/>
        <v/>
      </c>
      <c r="V161" s="77"/>
      <c r="W161" s="76"/>
      <c r="X161" s="81" t="str">
        <f t="shared" si="21"/>
        <v/>
      </c>
      <c r="Y161" s="81" t="str">
        <f t="shared" si="23"/>
        <v/>
      </c>
      <c r="Z161" s="77"/>
      <c r="AA161" s="80" t="str">
        <f t="shared" si="22"/>
        <v/>
      </c>
    </row>
    <row r="162" spans="2:27" x14ac:dyDescent="0.25">
      <c r="B162" s="35" t="s">
        <v>249</v>
      </c>
      <c r="C162" s="36"/>
      <c r="D162" s="36"/>
      <c r="E162" s="35"/>
      <c r="F162" s="36"/>
      <c r="G162" s="38"/>
      <c r="H162" s="38"/>
      <c r="I162" s="38"/>
      <c r="J162" s="39"/>
      <c r="K162" s="38"/>
      <c r="L162" s="39"/>
      <c r="M162" s="38"/>
      <c r="N162" s="38"/>
      <c r="O162" s="39"/>
      <c r="P162" s="39"/>
      <c r="Q162" s="39"/>
      <c r="R162" s="39"/>
      <c r="S162" s="86" t="str">
        <f t="shared" si="19"/>
        <v/>
      </c>
      <c r="T162" s="78"/>
      <c r="U162" s="86" t="str">
        <f t="shared" si="20"/>
        <v/>
      </c>
      <c r="V162" s="79"/>
      <c r="W162" s="78"/>
      <c r="X162" s="87" t="str">
        <f t="shared" si="21"/>
        <v/>
      </c>
      <c r="Y162" s="87" t="str">
        <f t="shared" si="23"/>
        <v/>
      </c>
      <c r="Z162" s="79"/>
      <c r="AA162" s="86" t="str">
        <f t="shared" si="22"/>
        <v/>
      </c>
    </row>
    <row r="163" spans="2:27" x14ac:dyDescent="0.25">
      <c r="B163" s="45" t="s">
        <v>250</v>
      </c>
      <c r="C163" s="46"/>
      <c r="D163" s="46"/>
      <c r="E163" s="45"/>
      <c r="F163" s="46"/>
      <c r="G163" s="48"/>
      <c r="H163" s="48"/>
      <c r="I163" s="48"/>
      <c r="J163" s="49"/>
      <c r="K163" s="49"/>
      <c r="L163" s="49"/>
      <c r="M163" s="48"/>
      <c r="N163" s="49"/>
      <c r="O163" s="49"/>
      <c r="P163" s="49"/>
      <c r="Q163" s="49"/>
      <c r="R163" s="49"/>
      <c r="S163" s="80" t="str">
        <f t="shared" si="19"/>
        <v/>
      </c>
      <c r="T163" s="76"/>
      <c r="U163" s="81" t="str">
        <f t="shared" si="20"/>
        <v/>
      </c>
      <c r="V163" s="77"/>
      <c r="W163" s="76"/>
      <c r="X163" s="81" t="str">
        <f t="shared" si="21"/>
        <v/>
      </c>
      <c r="Y163" s="81" t="str">
        <f t="shared" si="23"/>
        <v/>
      </c>
      <c r="Z163" s="77"/>
      <c r="AA163" s="80" t="str">
        <f t="shared" si="22"/>
        <v/>
      </c>
    </row>
    <row r="164" spans="2:27" x14ac:dyDescent="0.25">
      <c r="B164" s="35" t="s">
        <v>251</v>
      </c>
      <c r="C164" s="36"/>
      <c r="D164" s="36"/>
      <c r="E164" s="35"/>
      <c r="F164" s="36"/>
      <c r="G164" s="38"/>
      <c r="H164" s="38"/>
      <c r="I164" s="38"/>
      <c r="J164" s="39"/>
      <c r="K164" s="38"/>
      <c r="L164" s="39"/>
      <c r="M164" s="38"/>
      <c r="N164" s="38"/>
      <c r="O164" s="39"/>
      <c r="P164" s="39"/>
      <c r="Q164" s="39"/>
      <c r="R164" s="39"/>
      <c r="S164" s="86" t="str">
        <f t="shared" si="19"/>
        <v/>
      </c>
      <c r="T164" s="78"/>
      <c r="U164" s="86" t="str">
        <f t="shared" si="20"/>
        <v/>
      </c>
      <c r="V164" s="79"/>
      <c r="W164" s="78"/>
      <c r="X164" s="87" t="str">
        <f t="shared" si="21"/>
        <v/>
      </c>
      <c r="Y164" s="87" t="str">
        <f t="shared" si="23"/>
        <v/>
      </c>
      <c r="Z164" s="79"/>
      <c r="AA164" s="86" t="str">
        <f t="shared" si="22"/>
        <v/>
      </c>
    </row>
    <row r="165" spans="2:27" x14ac:dyDescent="0.25">
      <c r="B165" s="45" t="s">
        <v>252</v>
      </c>
      <c r="C165" s="46"/>
      <c r="D165" s="46"/>
      <c r="E165" s="45"/>
      <c r="F165" s="46"/>
      <c r="G165" s="48"/>
      <c r="H165" s="48"/>
      <c r="I165" s="48"/>
      <c r="J165" s="49"/>
      <c r="K165" s="49"/>
      <c r="L165" s="49"/>
      <c r="M165" s="48"/>
      <c r="N165" s="49"/>
      <c r="O165" s="49"/>
      <c r="P165" s="49"/>
      <c r="Q165" s="49"/>
      <c r="R165" s="49"/>
      <c r="S165" s="80" t="str">
        <f t="shared" si="19"/>
        <v/>
      </c>
      <c r="T165" s="76"/>
      <c r="U165" s="81" t="str">
        <f t="shared" si="20"/>
        <v/>
      </c>
      <c r="V165" s="77"/>
      <c r="W165" s="76"/>
      <c r="X165" s="81" t="str">
        <f t="shared" si="21"/>
        <v/>
      </c>
      <c r="Y165" s="81" t="str">
        <f t="shared" si="23"/>
        <v/>
      </c>
      <c r="Z165" s="77"/>
      <c r="AA165" s="80" t="str">
        <f t="shared" si="22"/>
        <v/>
      </c>
    </row>
    <row r="166" spans="2:27" x14ac:dyDescent="0.25">
      <c r="B166" s="35" t="s">
        <v>253</v>
      </c>
      <c r="C166" s="36"/>
      <c r="D166" s="36"/>
      <c r="E166" s="35"/>
      <c r="F166" s="36"/>
      <c r="G166" s="38"/>
      <c r="H166" s="38"/>
      <c r="I166" s="38"/>
      <c r="J166" s="39"/>
      <c r="K166" s="38"/>
      <c r="L166" s="39"/>
      <c r="M166" s="38"/>
      <c r="N166" s="38"/>
      <c r="O166" s="39"/>
      <c r="P166" s="39"/>
      <c r="Q166" s="39"/>
      <c r="R166" s="39"/>
      <c r="S166" s="86" t="str">
        <f t="shared" si="19"/>
        <v/>
      </c>
      <c r="T166" s="78"/>
      <c r="U166" s="86" t="str">
        <f t="shared" si="20"/>
        <v/>
      </c>
      <c r="V166" s="79"/>
      <c r="W166" s="78"/>
      <c r="X166" s="87" t="str">
        <f t="shared" si="21"/>
        <v/>
      </c>
      <c r="Y166" s="87" t="str">
        <f t="shared" si="23"/>
        <v/>
      </c>
      <c r="Z166" s="79"/>
      <c r="AA166" s="86" t="str">
        <f t="shared" si="22"/>
        <v/>
      </c>
    </row>
    <row r="167" spans="2:27" x14ac:dyDescent="0.25">
      <c r="B167" s="45" t="s">
        <v>254</v>
      </c>
      <c r="C167" s="46"/>
      <c r="D167" s="46"/>
      <c r="E167" s="45"/>
      <c r="F167" s="46"/>
      <c r="G167" s="48"/>
      <c r="H167" s="48"/>
      <c r="I167" s="48"/>
      <c r="J167" s="49"/>
      <c r="K167" s="49"/>
      <c r="L167" s="49"/>
      <c r="M167" s="48"/>
      <c r="N167" s="49"/>
      <c r="O167" s="49"/>
      <c r="P167" s="49"/>
      <c r="Q167" s="49"/>
      <c r="R167" s="49"/>
      <c r="S167" s="80" t="str">
        <f t="shared" si="19"/>
        <v/>
      </c>
      <c r="T167" s="76"/>
      <c r="U167" s="81" t="str">
        <f t="shared" si="20"/>
        <v/>
      </c>
      <c r="V167" s="77"/>
      <c r="W167" s="76"/>
      <c r="X167" s="81" t="str">
        <f t="shared" si="21"/>
        <v/>
      </c>
      <c r="Y167" s="81" t="str">
        <f t="shared" si="23"/>
        <v/>
      </c>
      <c r="Z167" s="77"/>
      <c r="AA167" s="80" t="str">
        <f t="shared" si="22"/>
        <v/>
      </c>
    </row>
    <row r="168" spans="2:27" x14ac:dyDescent="0.25">
      <c r="B168" s="35" t="s">
        <v>255</v>
      </c>
      <c r="C168" s="36"/>
      <c r="D168" s="36"/>
      <c r="E168" s="35"/>
      <c r="F168" s="36"/>
      <c r="G168" s="38"/>
      <c r="H168" s="38"/>
      <c r="I168" s="38"/>
      <c r="J168" s="39"/>
      <c r="K168" s="38"/>
      <c r="L168" s="39"/>
      <c r="M168" s="38"/>
      <c r="N168" s="38"/>
      <c r="O168" s="39"/>
      <c r="P168" s="39"/>
      <c r="Q168" s="39"/>
      <c r="R168" s="39"/>
      <c r="S168" s="86" t="str">
        <f t="shared" si="19"/>
        <v/>
      </c>
      <c r="T168" s="78"/>
      <c r="U168" s="86" t="str">
        <f t="shared" si="20"/>
        <v/>
      </c>
      <c r="V168" s="79"/>
      <c r="W168" s="78"/>
      <c r="X168" s="87" t="str">
        <f t="shared" si="21"/>
        <v/>
      </c>
      <c r="Y168" s="87" t="str">
        <f t="shared" si="23"/>
        <v/>
      </c>
      <c r="Z168" s="79"/>
      <c r="AA168" s="86" t="str">
        <f t="shared" si="22"/>
        <v/>
      </c>
    </row>
    <row r="169" spans="2:27" x14ac:dyDescent="0.25">
      <c r="B169" s="45" t="s">
        <v>256</v>
      </c>
      <c r="C169" s="46"/>
      <c r="D169" s="46"/>
      <c r="E169" s="45"/>
      <c r="F169" s="46"/>
      <c r="G169" s="48"/>
      <c r="H169" s="48"/>
      <c r="I169" s="48"/>
      <c r="J169" s="49"/>
      <c r="K169" s="49"/>
      <c r="L169" s="49"/>
      <c r="M169" s="48"/>
      <c r="N169" s="49"/>
      <c r="O169" s="49"/>
      <c r="P169" s="49"/>
      <c r="Q169" s="49"/>
      <c r="R169" s="49"/>
      <c r="S169" s="80" t="str">
        <f t="shared" si="19"/>
        <v/>
      </c>
      <c r="T169" s="76"/>
      <c r="U169" s="81" t="str">
        <f t="shared" si="20"/>
        <v/>
      </c>
      <c r="V169" s="77"/>
      <c r="W169" s="76"/>
      <c r="X169" s="81" t="str">
        <f t="shared" si="21"/>
        <v/>
      </c>
      <c r="Y169" s="81" t="str">
        <f t="shared" si="23"/>
        <v/>
      </c>
      <c r="Z169" s="77"/>
      <c r="AA169" s="80" t="str">
        <f t="shared" si="22"/>
        <v/>
      </c>
    </row>
    <row r="170" spans="2:27" x14ac:dyDescent="0.25">
      <c r="B170" s="35" t="s">
        <v>257</v>
      </c>
      <c r="C170" s="36"/>
      <c r="D170" s="36"/>
      <c r="E170" s="35"/>
      <c r="F170" s="36"/>
      <c r="G170" s="38"/>
      <c r="H170" s="38"/>
      <c r="I170" s="38"/>
      <c r="J170" s="39"/>
      <c r="K170" s="38"/>
      <c r="L170" s="39"/>
      <c r="M170" s="38"/>
      <c r="N170" s="38"/>
      <c r="O170" s="39"/>
      <c r="P170" s="39"/>
      <c r="Q170" s="39"/>
      <c r="R170" s="39"/>
      <c r="S170" s="86" t="str">
        <f t="shared" si="19"/>
        <v/>
      </c>
      <c r="T170" s="78"/>
      <c r="U170" s="86" t="str">
        <f t="shared" si="20"/>
        <v/>
      </c>
      <c r="V170" s="79"/>
      <c r="W170" s="78"/>
      <c r="X170" s="87" t="str">
        <f t="shared" si="21"/>
        <v/>
      </c>
      <c r="Y170" s="87" t="str">
        <f t="shared" si="23"/>
        <v/>
      </c>
      <c r="Z170" s="79"/>
      <c r="AA170" s="86" t="str">
        <f t="shared" si="22"/>
        <v/>
      </c>
    </row>
    <row r="171" spans="2:27" x14ac:dyDescent="0.25">
      <c r="B171" s="45" t="s">
        <v>258</v>
      </c>
      <c r="C171" s="46"/>
      <c r="D171" s="46"/>
      <c r="E171" s="45"/>
      <c r="F171" s="46"/>
      <c r="G171" s="48"/>
      <c r="H171" s="48"/>
      <c r="I171" s="48"/>
      <c r="J171" s="49"/>
      <c r="K171" s="49"/>
      <c r="L171" s="49"/>
      <c r="M171" s="48"/>
      <c r="N171" s="49"/>
      <c r="O171" s="49"/>
      <c r="P171" s="49"/>
      <c r="Q171" s="49"/>
      <c r="R171" s="49"/>
      <c r="S171" s="80" t="str">
        <f t="shared" si="19"/>
        <v/>
      </c>
      <c r="T171" s="76"/>
      <c r="U171" s="81" t="str">
        <f t="shared" si="20"/>
        <v/>
      </c>
      <c r="V171" s="77"/>
      <c r="W171" s="76"/>
      <c r="X171" s="81" t="str">
        <f t="shared" si="21"/>
        <v/>
      </c>
      <c r="Y171" s="81" t="str">
        <f t="shared" si="23"/>
        <v/>
      </c>
      <c r="Z171" s="77"/>
      <c r="AA171" s="80" t="str">
        <f t="shared" si="22"/>
        <v/>
      </c>
    </row>
    <row r="172" spans="2:27" x14ac:dyDescent="0.25">
      <c r="B172" s="35" t="s">
        <v>259</v>
      </c>
      <c r="C172" s="36"/>
      <c r="D172" s="36"/>
      <c r="E172" s="35"/>
      <c r="F172" s="36"/>
      <c r="G172" s="38"/>
      <c r="H172" s="38"/>
      <c r="I172" s="38"/>
      <c r="J172" s="39"/>
      <c r="K172" s="38"/>
      <c r="L172" s="39"/>
      <c r="M172" s="38"/>
      <c r="N172" s="38"/>
      <c r="O172" s="39"/>
      <c r="P172" s="39"/>
      <c r="Q172" s="39"/>
      <c r="R172" s="39"/>
      <c r="S172" s="86" t="str">
        <f t="shared" si="19"/>
        <v/>
      </c>
      <c r="T172" s="78"/>
      <c r="U172" s="86" t="str">
        <f t="shared" si="20"/>
        <v/>
      </c>
      <c r="V172" s="79"/>
      <c r="W172" s="78"/>
      <c r="X172" s="87" t="str">
        <f t="shared" si="21"/>
        <v/>
      </c>
      <c r="Y172" s="87" t="str">
        <f t="shared" si="23"/>
        <v/>
      </c>
      <c r="Z172" s="79"/>
      <c r="AA172" s="86" t="str">
        <f t="shared" si="22"/>
        <v/>
      </c>
    </row>
    <row r="173" spans="2:27" x14ac:dyDescent="0.25">
      <c r="B173" s="45" t="s">
        <v>260</v>
      </c>
      <c r="C173" s="46"/>
      <c r="D173" s="46"/>
      <c r="E173" s="45"/>
      <c r="F173" s="46"/>
      <c r="G173" s="48"/>
      <c r="H173" s="48"/>
      <c r="I173" s="48"/>
      <c r="J173" s="49"/>
      <c r="K173" s="49"/>
      <c r="L173" s="49"/>
      <c r="M173" s="48"/>
      <c r="N173" s="49"/>
      <c r="O173" s="49"/>
      <c r="P173" s="49"/>
      <c r="Q173" s="49"/>
      <c r="R173" s="49"/>
      <c r="S173" s="80" t="str">
        <f t="shared" si="19"/>
        <v/>
      </c>
      <c r="T173" s="76"/>
      <c r="U173" s="81" t="str">
        <f t="shared" si="20"/>
        <v/>
      </c>
      <c r="V173" s="77"/>
      <c r="W173" s="76"/>
      <c r="X173" s="81" t="str">
        <f t="shared" si="21"/>
        <v/>
      </c>
      <c r="Y173" s="81" t="str">
        <f t="shared" si="23"/>
        <v/>
      </c>
      <c r="Z173" s="77"/>
      <c r="AA173" s="80" t="str">
        <f t="shared" si="22"/>
        <v/>
      </c>
    </row>
    <row r="174" spans="2:27" x14ac:dyDescent="0.25">
      <c r="B174" s="35" t="s">
        <v>261</v>
      </c>
      <c r="C174" s="36"/>
      <c r="D174" s="36"/>
      <c r="E174" s="35"/>
      <c r="F174" s="36"/>
      <c r="G174" s="38"/>
      <c r="H174" s="38"/>
      <c r="I174" s="38"/>
      <c r="J174" s="39"/>
      <c r="K174" s="38"/>
      <c r="L174" s="39"/>
      <c r="M174" s="38"/>
      <c r="N174" s="38"/>
      <c r="O174" s="39"/>
      <c r="P174" s="39"/>
      <c r="Q174" s="39"/>
      <c r="R174" s="39"/>
      <c r="S174" s="86" t="str">
        <f t="shared" ref="S174:S211" si="24">IF(R174="","",IF(R174=1,300,IF(R174=2,370,IF(R174=3,630,IF(R174=4,830,IF(R174=5,370,IF(R174=6,430,IF(R174=7,530,IF(R174=8,370,IF(R174=9,700,IF(R174=10,870,IF(R174=11,370,IF(R174=12,370,IF(R174=13,370,IF(R174=13,370,IF(R174=14,370,IF(R174=15,370,IF(R174=16,300,IF(R174=17,300,IF(R174=18,170,IF(R174=19,330)))))))))))))))))))))</f>
        <v/>
      </c>
      <c r="T174" s="78"/>
      <c r="U174" s="86" t="str">
        <f t="shared" ref="U174:U211" si="25">IF(R174="","",IF(T174&gt;(5*S174),"ACIMA","OK"))</f>
        <v/>
      </c>
      <c r="V174" s="79"/>
      <c r="W174" s="78"/>
      <c r="X174" s="87" t="str">
        <f t="shared" ref="X174:X211" si="26">IF(W174="","",W174/T174)</f>
        <v/>
      </c>
      <c r="Y174" s="87" t="str">
        <f t="shared" si="23"/>
        <v/>
      </c>
      <c r="Z174" s="79"/>
      <c r="AA174" s="86" t="str">
        <f t="shared" ref="AA174:AA211" si="27">IF(R174="","",IF(Z174="",T174-W174,T174-(W174+(T174-W174))))</f>
        <v/>
      </c>
    </row>
    <row r="175" spans="2:27" x14ac:dyDescent="0.25">
      <c r="B175" s="45" t="s">
        <v>262</v>
      </c>
      <c r="C175" s="46"/>
      <c r="D175" s="46"/>
      <c r="E175" s="45"/>
      <c r="F175" s="46"/>
      <c r="G175" s="48"/>
      <c r="H175" s="48"/>
      <c r="I175" s="48"/>
      <c r="J175" s="49"/>
      <c r="K175" s="49"/>
      <c r="L175" s="49"/>
      <c r="M175" s="48"/>
      <c r="N175" s="49"/>
      <c r="O175" s="49"/>
      <c r="P175" s="49"/>
      <c r="Q175" s="49"/>
      <c r="R175" s="49"/>
      <c r="S175" s="80" t="str">
        <f t="shared" si="24"/>
        <v/>
      </c>
      <c r="T175" s="76"/>
      <c r="U175" s="81" t="str">
        <f t="shared" si="25"/>
        <v/>
      </c>
      <c r="V175" s="77"/>
      <c r="W175" s="76"/>
      <c r="X175" s="81" t="str">
        <f t="shared" si="26"/>
        <v/>
      </c>
      <c r="Y175" s="81" t="str">
        <f t="shared" si="23"/>
        <v/>
      </c>
      <c r="Z175" s="77"/>
      <c r="AA175" s="80" t="str">
        <f t="shared" si="27"/>
        <v/>
      </c>
    </row>
    <row r="176" spans="2:27" x14ac:dyDescent="0.25">
      <c r="B176" s="35" t="s">
        <v>263</v>
      </c>
      <c r="C176" s="36"/>
      <c r="D176" s="36"/>
      <c r="E176" s="35"/>
      <c r="F176" s="36"/>
      <c r="G176" s="38"/>
      <c r="H176" s="38"/>
      <c r="I176" s="38"/>
      <c r="J176" s="39"/>
      <c r="K176" s="38"/>
      <c r="L176" s="39"/>
      <c r="M176" s="38"/>
      <c r="N176" s="38"/>
      <c r="O176" s="39"/>
      <c r="P176" s="39"/>
      <c r="Q176" s="39"/>
      <c r="R176" s="39"/>
      <c r="S176" s="86" t="str">
        <f t="shared" si="24"/>
        <v/>
      </c>
      <c r="T176" s="78"/>
      <c r="U176" s="86" t="str">
        <f t="shared" si="25"/>
        <v/>
      </c>
      <c r="V176" s="79"/>
      <c r="W176" s="78"/>
      <c r="X176" s="87" t="str">
        <f t="shared" si="26"/>
        <v/>
      </c>
      <c r="Y176" s="87" t="str">
        <f t="shared" si="23"/>
        <v/>
      </c>
      <c r="Z176" s="79"/>
      <c r="AA176" s="86" t="str">
        <f t="shared" si="27"/>
        <v/>
      </c>
    </row>
    <row r="177" spans="2:27" x14ac:dyDescent="0.25">
      <c r="B177" s="45" t="s">
        <v>264</v>
      </c>
      <c r="C177" s="46"/>
      <c r="D177" s="46"/>
      <c r="E177" s="45"/>
      <c r="F177" s="46"/>
      <c r="G177" s="48"/>
      <c r="H177" s="48"/>
      <c r="I177" s="48"/>
      <c r="J177" s="49"/>
      <c r="K177" s="49"/>
      <c r="L177" s="49"/>
      <c r="M177" s="48"/>
      <c r="N177" s="49"/>
      <c r="O177" s="49"/>
      <c r="P177" s="49"/>
      <c r="Q177" s="49"/>
      <c r="R177" s="49"/>
      <c r="S177" s="80" t="str">
        <f t="shared" si="24"/>
        <v/>
      </c>
      <c r="T177" s="76"/>
      <c r="U177" s="81" t="str">
        <f t="shared" si="25"/>
        <v/>
      </c>
      <c r="V177" s="77"/>
      <c r="W177" s="76"/>
      <c r="X177" s="81" t="str">
        <f t="shared" si="26"/>
        <v/>
      </c>
      <c r="Y177" s="81" t="str">
        <f t="shared" si="23"/>
        <v/>
      </c>
      <c r="Z177" s="77"/>
      <c r="AA177" s="80" t="str">
        <f t="shared" si="27"/>
        <v/>
      </c>
    </row>
    <row r="178" spans="2:27" x14ac:dyDescent="0.25">
      <c r="B178" s="35" t="s">
        <v>265</v>
      </c>
      <c r="C178" s="36"/>
      <c r="D178" s="36"/>
      <c r="E178" s="35"/>
      <c r="F178" s="36"/>
      <c r="G178" s="38"/>
      <c r="H178" s="38"/>
      <c r="I178" s="38"/>
      <c r="J178" s="39"/>
      <c r="K178" s="38"/>
      <c r="L178" s="39"/>
      <c r="M178" s="38"/>
      <c r="N178" s="38"/>
      <c r="O178" s="39"/>
      <c r="P178" s="39"/>
      <c r="Q178" s="39"/>
      <c r="R178" s="39"/>
      <c r="S178" s="86" t="str">
        <f t="shared" si="24"/>
        <v/>
      </c>
      <c r="T178" s="78"/>
      <c r="U178" s="86" t="str">
        <f t="shared" si="25"/>
        <v/>
      </c>
      <c r="V178" s="79"/>
      <c r="W178" s="78"/>
      <c r="X178" s="87" t="str">
        <f t="shared" si="26"/>
        <v/>
      </c>
      <c r="Y178" s="87" t="str">
        <f t="shared" si="23"/>
        <v/>
      </c>
      <c r="Z178" s="79"/>
      <c r="AA178" s="86" t="str">
        <f t="shared" si="27"/>
        <v/>
      </c>
    </row>
    <row r="179" spans="2:27" x14ac:dyDescent="0.25">
      <c r="B179" s="45" t="s">
        <v>266</v>
      </c>
      <c r="C179" s="46"/>
      <c r="D179" s="46"/>
      <c r="E179" s="45"/>
      <c r="F179" s="46"/>
      <c r="G179" s="48"/>
      <c r="H179" s="48"/>
      <c r="I179" s="48"/>
      <c r="J179" s="49"/>
      <c r="K179" s="49"/>
      <c r="L179" s="49"/>
      <c r="M179" s="48"/>
      <c r="N179" s="49"/>
      <c r="O179" s="49"/>
      <c r="P179" s="49"/>
      <c r="Q179" s="49"/>
      <c r="R179" s="49"/>
      <c r="S179" s="80" t="str">
        <f t="shared" si="24"/>
        <v/>
      </c>
      <c r="T179" s="76"/>
      <c r="U179" s="81" t="str">
        <f t="shared" si="25"/>
        <v/>
      </c>
      <c r="V179" s="77"/>
      <c r="W179" s="76"/>
      <c r="X179" s="81" t="str">
        <f t="shared" si="26"/>
        <v/>
      </c>
      <c r="Y179" s="81" t="str">
        <f t="shared" si="23"/>
        <v/>
      </c>
      <c r="Z179" s="77"/>
      <c r="AA179" s="80" t="str">
        <f t="shared" si="27"/>
        <v/>
      </c>
    </row>
    <row r="180" spans="2:27" x14ac:dyDescent="0.25">
      <c r="B180" s="35" t="s">
        <v>267</v>
      </c>
      <c r="C180" s="36"/>
      <c r="D180" s="36"/>
      <c r="E180" s="35"/>
      <c r="F180" s="36"/>
      <c r="G180" s="38"/>
      <c r="H180" s="38"/>
      <c r="I180" s="38"/>
      <c r="J180" s="39"/>
      <c r="K180" s="38"/>
      <c r="L180" s="39"/>
      <c r="M180" s="38"/>
      <c r="N180" s="38"/>
      <c r="O180" s="39"/>
      <c r="P180" s="39"/>
      <c r="Q180" s="39"/>
      <c r="R180" s="39"/>
      <c r="S180" s="86" t="str">
        <f t="shared" si="24"/>
        <v/>
      </c>
      <c r="T180" s="78"/>
      <c r="U180" s="86" t="str">
        <f t="shared" si="25"/>
        <v/>
      </c>
      <c r="V180" s="79"/>
      <c r="W180" s="78"/>
      <c r="X180" s="87" t="str">
        <f t="shared" si="26"/>
        <v/>
      </c>
      <c r="Y180" s="87" t="str">
        <f t="shared" si="23"/>
        <v/>
      </c>
      <c r="Z180" s="79"/>
      <c r="AA180" s="86" t="str">
        <f t="shared" si="27"/>
        <v/>
      </c>
    </row>
    <row r="181" spans="2:27" x14ac:dyDescent="0.25">
      <c r="B181" s="45" t="s">
        <v>268</v>
      </c>
      <c r="C181" s="46"/>
      <c r="D181" s="46"/>
      <c r="E181" s="45"/>
      <c r="F181" s="46"/>
      <c r="G181" s="48"/>
      <c r="H181" s="48"/>
      <c r="I181" s="48"/>
      <c r="J181" s="49"/>
      <c r="K181" s="49"/>
      <c r="L181" s="49"/>
      <c r="M181" s="48"/>
      <c r="N181" s="49"/>
      <c r="O181" s="49"/>
      <c r="P181" s="49"/>
      <c r="Q181" s="49"/>
      <c r="R181" s="49"/>
      <c r="S181" s="80" t="str">
        <f t="shared" si="24"/>
        <v/>
      </c>
      <c r="T181" s="76"/>
      <c r="U181" s="81" t="str">
        <f t="shared" si="25"/>
        <v/>
      </c>
      <c r="V181" s="77"/>
      <c r="W181" s="76"/>
      <c r="X181" s="81" t="str">
        <f t="shared" si="26"/>
        <v/>
      </c>
      <c r="Y181" s="81" t="str">
        <f t="shared" si="23"/>
        <v/>
      </c>
      <c r="Z181" s="77"/>
      <c r="AA181" s="80" t="str">
        <f t="shared" si="27"/>
        <v/>
      </c>
    </row>
    <row r="182" spans="2:27" x14ac:dyDescent="0.25">
      <c r="B182" s="35" t="s">
        <v>269</v>
      </c>
      <c r="C182" s="36"/>
      <c r="D182" s="36"/>
      <c r="E182" s="35"/>
      <c r="F182" s="36"/>
      <c r="G182" s="38"/>
      <c r="H182" s="38"/>
      <c r="I182" s="38"/>
      <c r="J182" s="39"/>
      <c r="K182" s="38"/>
      <c r="L182" s="39"/>
      <c r="M182" s="38"/>
      <c r="N182" s="38"/>
      <c r="O182" s="39"/>
      <c r="P182" s="39"/>
      <c r="Q182" s="39"/>
      <c r="R182" s="39"/>
      <c r="S182" s="86" t="str">
        <f t="shared" si="24"/>
        <v/>
      </c>
      <c r="T182" s="78"/>
      <c r="U182" s="86" t="str">
        <f t="shared" si="25"/>
        <v/>
      </c>
      <c r="V182" s="79"/>
      <c r="W182" s="78"/>
      <c r="X182" s="87" t="str">
        <f t="shared" si="26"/>
        <v/>
      </c>
      <c r="Y182" s="87" t="str">
        <f t="shared" si="23"/>
        <v/>
      </c>
      <c r="Z182" s="79"/>
      <c r="AA182" s="86" t="str">
        <f t="shared" si="27"/>
        <v/>
      </c>
    </row>
    <row r="183" spans="2:27" x14ac:dyDescent="0.25">
      <c r="B183" s="45" t="s">
        <v>270</v>
      </c>
      <c r="C183" s="46"/>
      <c r="D183" s="46"/>
      <c r="E183" s="45"/>
      <c r="F183" s="46"/>
      <c r="G183" s="48"/>
      <c r="H183" s="48"/>
      <c r="I183" s="48"/>
      <c r="J183" s="49"/>
      <c r="K183" s="49"/>
      <c r="L183" s="49"/>
      <c r="M183" s="48"/>
      <c r="N183" s="49"/>
      <c r="O183" s="49"/>
      <c r="P183" s="49"/>
      <c r="Q183" s="49"/>
      <c r="R183" s="49"/>
      <c r="S183" s="80" t="str">
        <f t="shared" si="24"/>
        <v/>
      </c>
      <c r="T183" s="76"/>
      <c r="U183" s="81" t="str">
        <f t="shared" si="25"/>
        <v/>
      </c>
      <c r="V183" s="77"/>
      <c r="W183" s="76"/>
      <c r="X183" s="81" t="str">
        <f t="shared" si="26"/>
        <v/>
      </c>
      <c r="Y183" s="81" t="str">
        <f t="shared" si="23"/>
        <v/>
      </c>
      <c r="Z183" s="77"/>
      <c r="AA183" s="80" t="str">
        <f t="shared" si="27"/>
        <v/>
      </c>
    </row>
    <row r="184" spans="2:27" x14ac:dyDescent="0.25">
      <c r="B184" s="35" t="s">
        <v>271</v>
      </c>
      <c r="C184" s="36"/>
      <c r="D184" s="36"/>
      <c r="E184" s="35"/>
      <c r="F184" s="36"/>
      <c r="G184" s="38"/>
      <c r="H184" s="38"/>
      <c r="I184" s="38"/>
      <c r="J184" s="39"/>
      <c r="K184" s="38"/>
      <c r="L184" s="39"/>
      <c r="M184" s="38"/>
      <c r="N184" s="38"/>
      <c r="O184" s="39"/>
      <c r="P184" s="39"/>
      <c r="Q184" s="39"/>
      <c r="R184" s="39"/>
      <c r="S184" s="86" t="str">
        <f t="shared" si="24"/>
        <v/>
      </c>
      <c r="T184" s="78"/>
      <c r="U184" s="86" t="str">
        <f t="shared" si="25"/>
        <v/>
      </c>
      <c r="V184" s="79"/>
      <c r="W184" s="78"/>
      <c r="X184" s="87" t="str">
        <f t="shared" si="26"/>
        <v/>
      </c>
      <c r="Y184" s="87" t="str">
        <f t="shared" si="23"/>
        <v/>
      </c>
      <c r="Z184" s="79"/>
      <c r="AA184" s="86" t="str">
        <f t="shared" si="27"/>
        <v/>
      </c>
    </row>
    <row r="185" spans="2:27" x14ac:dyDescent="0.25">
      <c r="B185" s="45" t="s">
        <v>272</v>
      </c>
      <c r="C185" s="46"/>
      <c r="D185" s="46"/>
      <c r="E185" s="45"/>
      <c r="F185" s="46"/>
      <c r="G185" s="48"/>
      <c r="H185" s="48"/>
      <c r="I185" s="48"/>
      <c r="J185" s="49"/>
      <c r="K185" s="49"/>
      <c r="L185" s="49"/>
      <c r="M185" s="48"/>
      <c r="N185" s="49"/>
      <c r="O185" s="49"/>
      <c r="P185" s="49"/>
      <c r="Q185" s="49"/>
      <c r="R185" s="49"/>
      <c r="S185" s="80" t="str">
        <f t="shared" si="24"/>
        <v/>
      </c>
      <c r="T185" s="76"/>
      <c r="U185" s="81" t="str">
        <f t="shared" si="25"/>
        <v/>
      </c>
      <c r="V185" s="77"/>
      <c r="W185" s="76"/>
      <c r="X185" s="81" t="str">
        <f t="shared" si="26"/>
        <v/>
      </c>
      <c r="Y185" s="81" t="str">
        <f t="shared" si="23"/>
        <v/>
      </c>
      <c r="Z185" s="77"/>
      <c r="AA185" s="80" t="str">
        <f t="shared" si="27"/>
        <v/>
      </c>
    </row>
    <row r="186" spans="2:27" x14ac:dyDescent="0.25">
      <c r="B186" s="35" t="s">
        <v>273</v>
      </c>
      <c r="C186" s="36"/>
      <c r="D186" s="36"/>
      <c r="E186" s="35"/>
      <c r="F186" s="36"/>
      <c r="G186" s="38"/>
      <c r="H186" s="38"/>
      <c r="I186" s="38"/>
      <c r="J186" s="39"/>
      <c r="K186" s="38"/>
      <c r="L186" s="39"/>
      <c r="M186" s="38"/>
      <c r="N186" s="38"/>
      <c r="O186" s="39"/>
      <c r="P186" s="39"/>
      <c r="Q186" s="39"/>
      <c r="R186" s="39"/>
      <c r="S186" s="86" t="str">
        <f t="shared" si="24"/>
        <v/>
      </c>
      <c r="T186" s="78"/>
      <c r="U186" s="86" t="str">
        <f t="shared" si="25"/>
        <v/>
      </c>
      <c r="V186" s="79"/>
      <c r="W186" s="78"/>
      <c r="X186" s="87" t="str">
        <f t="shared" si="26"/>
        <v/>
      </c>
      <c r="Y186" s="87" t="str">
        <f t="shared" si="23"/>
        <v/>
      </c>
      <c r="Z186" s="79"/>
      <c r="AA186" s="86" t="str">
        <f t="shared" si="27"/>
        <v/>
      </c>
    </row>
    <row r="187" spans="2:27" x14ac:dyDescent="0.25">
      <c r="B187" s="45" t="s">
        <v>274</v>
      </c>
      <c r="C187" s="46"/>
      <c r="D187" s="46"/>
      <c r="E187" s="45"/>
      <c r="F187" s="46"/>
      <c r="G187" s="48"/>
      <c r="H187" s="48"/>
      <c r="I187" s="48"/>
      <c r="J187" s="49"/>
      <c r="K187" s="49"/>
      <c r="L187" s="49"/>
      <c r="M187" s="48"/>
      <c r="N187" s="49"/>
      <c r="O187" s="49"/>
      <c r="P187" s="49"/>
      <c r="Q187" s="49"/>
      <c r="R187" s="49"/>
      <c r="S187" s="80" t="str">
        <f t="shared" si="24"/>
        <v/>
      </c>
      <c r="T187" s="76"/>
      <c r="U187" s="81" t="str">
        <f t="shared" si="25"/>
        <v/>
      </c>
      <c r="V187" s="77"/>
      <c r="W187" s="76"/>
      <c r="X187" s="81" t="str">
        <f t="shared" si="26"/>
        <v/>
      </c>
      <c r="Y187" s="81" t="str">
        <f t="shared" si="23"/>
        <v/>
      </c>
      <c r="Z187" s="77"/>
      <c r="AA187" s="80" t="str">
        <f t="shared" si="27"/>
        <v/>
      </c>
    </row>
    <row r="188" spans="2:27" x14ac:dyDescent="0.25">
      <c r="B188" s="35" t="s">
        <v>275</v>
      </c>
      <c r="C188" s="36"/>
      <c r="D188" s="36"/>
      <c r="E188" s="35"/>
      <c r="F188" s="36"/>
      <c r="G188" s="38"/>
      <c r="H188" s="38"/>
      <c r="I188" s="38"/>
      <c r="J188" s="39"/>
      <c r="K188" s="38"/>
      <c r="L188" s="39"/>
      <c r="M188" s="38"/>
      <c r="N188" s="38"/>
      <c r="O188" s="39"/>
      <c r="P188" s="39"/>
      <c r="Q188" s="39"/>
      <c r="R188" s="39"/>
      <c r="S188" s="86" t="str">
        <f t="shared" si="24"/>
        <v/>
      </c>
      <c r="T188" s="78"/>
      <c r="U188" s="86" t="str">
        <f t="shared" si="25"/>
        <v/>
      </c>
      <c r="V188" s="79"/>
      <c r="W188" s="78"/>
      <c r="X188" s="87" t="str">
        <f t="shared" si="26"/>
        <v/>
      </c>
      <c r="Y188" s="87" t="str">
        <f t="shared" si="23"/>
        <v/>
      </c>
      <c r="Z188" s="79"/>
      <c r="AA188" s="86" t="str">
        <f t="shared" si="27"/>
        <v/>
      </c>
    </row>
    <row r="189" spans="2:27" x14ac:dyDescent="0.25">
      <c r="B189" s="45" t="s">
        <v>276</v>
      </c>
      <c r="C189" s="46"/>
      <c r="D189" s="46"/>
      <c r="E189" s="45"/>
      <c r="F189" s="46"/>
      <c r="G189" s="48"/>
      <c r="H189" s="48"/>
      <c r="I189" s="48"/>
      <c r="J189" s="49"/>
      <c r="K189" s="49"/>
      <c r="L189" s="49"/>
      <c r="M189" s="48"/>
      <c r="N189" s="49"/>
      <c r="O189" s="49"/>
      <c r="P189" s="49"/>
      <c r="Q189" s="49"/>
      <c r="R189" s="49"/>
      <c r="S189" s="80" t="str">
        <f t="shared" si="24"/>
        <v/>
      </c>
      <c r="T189" s="76"/>
      <c r="U189" s="81" t="str">
        <f t="shared" si="25"/>
        <v/>
      </c>
      <c r="V189" s="77"/>
      <c r="W189" s="76"/>
      <c r="X189" s="81" t="str">
        <f t="shared" si="26"/>
        <v/>
      </c>
      <c r="Y189" s="81" t="str">
        <f t="shared" si="23"/>
        <v/>
      </c>
      <c r="Z189" s="77"/>
      <c r="AA189" s="80" t="str">
        <f t="shared" si="27"/>
        <v/>
      </c>
    </row>
    <row r="190" spans="2:27" x14ac:dyDescent="0.25">
      <c r="B190" s="35" t="s">
        <v>277</v>
      </c>
      <c r="C190" s="36"/>
      <c r="D190" s="36"/>
      <c r="E190" s="35"/>
      <c r="F190" s="36"/>
      <c r="G190" s="38"/>
      <c r="H190" s="38"/>
      <c r="I190" s="38"/>
      <c r="J190" s="39"/>
      <c r="K190" s="38"/>
      <c r="L190" s="39"/>
      <c r="M190" s="38"/>
      <c r="N190" s="38"/>
      <c r="O190" s="39"/>
      <c r="P190" s="39"/>
      <c r="Q190" s="39"/>
      <c r="R190" s="39"/>
      <c r="S190" s="86" t="str">
        <f t="shared" si="24"/>
        <v/>
      </c>
      <c r="T190" s="78"/>
      <c r="U190" s="86" t="str">
        <f t="shared" si="25"/>
        <v/>
      </c>
      <c r="V190" s="79"/>
      <c r="W190" s="78"/>
      <c r="X190" s="87" t="str">
        <f t="shared" si="26"/>
        <v/>
      </c>
      <c r="Y190" s="87" t="str">
        <f t="shared" si="23"/>
        <v/>
      </c>
      <c r="Z190" s="79"/>
      <c r="AA190" s="86" t="str">
        <f t="shared" si="27"/>
        <v/>
      </c>
    </row>
    <row r="191" spans="2:27" x14ac:dyDescent="0.25">
      <c r="B191" s="45" t="s">
        <v>278</v>
      </c>
      <c r="C191" s="46"/>
      <c r="D191" s="46"/>
      <c r="E191" s="45"/>
      <c r="F191" s="46"/>
      <c r="G191" s="48"/>
      <c r="H191" s="48"/>
      <c r="I191" s="48"/>
      <c r="J191" s="49"/>
      <c r="K191" s="49"/>
      <c r="L191" s="49"/>
      <c r="M191" s="48"/>
      <c r="N191" s="49"/>
      <c r="O191" s="49"/>
      <c r="P191" s="49"/>
      <c r="Q191" s="49"/>
      <c r="R191" s="49"/>
      <c r="S191" s="80" t="str">
        <f t="shared" si="24"/>
        <v/>
      </c>
      <c r="T191" s="76"/>
      <c r="U191" s="81" t="str">
        <f t="shared" si="25"/>
        <v/>
      </c>
      <c r="V191" s="77"/>
      <c r="W191" s="76"/>
      <c r="X191" s="81" t="str">
        <f t="shared" si="26"/>
        <v/>
      </c>
      <c r="Y191" s="81" t="str">
        <f t="shared" si="23"/>
        <v/>
      </c>
      <c r="Z191" s="77"/>
      <c r="AA191" s="80" t="str">
        <f t="shared" si="27"/>
        <v/>
      </c>
    </row>
    <row r="192" spans="2:27" x14ac:dyDescent="0.25">
      <c r="B192" s="35" t="s">
        <v>279</v>
      </c>
      <c r="C192" s="36"/>
      <c r="D192" s="36"/>
      <c r="E192" s="35"/>
      <c r="F192" s="36"/>
      <c r="G192" s="38"/>
      <c r="H192" s="38"/>
      <c r="I192" s="38"/>
      <c r="J192" s="39"/>
      <c r="K192" s="38"/>
      <c r="L192" s="39"/>
      <c r="M192" s="38"/>
      <c r="N192" s="38"/>
      <c r="O192" s="39"/>
      <c r="P192" s="39"/>
      <c r="Q192" s="39"/>
      <c r="R192" s="39"/>
      <c r="S192" s="86" t="str">
        <f t="shared" si="24"/>
        <v/>
      </c>
      <c r="T192" s="78"/>
      <c r="U192" s="86" t="str">
        <f t="shared" si="25"/>
        <v/>
      </c>
      <c r="V192" s="79"/>
      <c r="W192" s="78"/>
      <c r="X192" s="87" t="str">
        <f t="shared" si="26"/>
        <v/>
      </c>
      <c r="Y192" s="87" t="str">
        <f t="shared" si="23"/>
        <v/>
      </c>
      <c r="Z192" s="79"/>
      <c r="AA192" s="86" t="str">
        <f t="shared" si="27"/>
        <v/>
      </c>
    </row>
    <row r="193" spans="2:27" x14ac:dyDescent="0.25">
      <c r="B193" s="45" t="s">
        <v>280</v>
      </c>
      <c r="C193" s="46"/>
      <c r="D193" s="46"/>
      <c r="E193" s="45"/>
      <c r="F193" s="46"/>
      <c r="G193" s="48"/>
      <c r="H193" s="48"/>
      <c r="I193" s="48"/>
      <c r="J193" s="49"/>
      <c r="K193" s="49"/>
      <c r="L193" s="49"/>
      <c r="M193" s="48"/>
      <c r="N193" s="49"/>
      <c r="O193" s="49"/>
      <c r="P193" s="49"/>
      <c r="Q193" s="49"/>
      <c r="R193" s="49"/>
      <c r="S193" s="80" t="str">
        <f t="shared" si="24"/>
        <v/>
      </c>
      <c r="T193" s="76"/>
      <c r="U193" s="81" t="str">
        <f t="shared" si="25"/>
        <v/>
      </c>
      <c r="V193" s="77"/>
      <c r="W193" s="76"/>
      <c r="X193" s="81" t="str">
        <f t="shared" si="26"/>
        <v/>
      </c>
      <c r="Y193" s="81" t="str">
        <f t="shared" si="23"/>
        <v/>
      </c>
      <c r="Z193" s="77"/>
      <c r="AA193" s="80" t="str">
        <f t="shared" si="27"/>
        <v/>
      </c>
    </row>
    <row r="194" spans="2:27" x14ac:dyDescent="0.25">
      <c r="B194" s="35" t="s">
        <v>281</v>
      </c>
      <c r="C194" s="36"/>
      <c r="D194" s="36"/>
      <c r="E194" s="35"/>
      <c r="F194" s="36"/>
      <c r="G194" s="38"/>
      <c r="H194" s="38"/>
      <c r="I194" s="38"/>
      <c r="J194" s="39"/>
      <c r="K194" s="38"/>
      <c r="L194" s="39"/>
      <c r="M194" s="38"/>
      <c r="N194" s="38"/>
      <c r="O194" s="39"/>
      <c r="P194" s="39"/>
      <c r="Q194" s="39"/>
      <c r="R194" s="39"/>
      <c r="S194" s="86" t="str">
        <f t="shared" si="24"/>
        <v/>
      </c>
      <c r="T194" s="78"/>
      <c r="U194" s="86" t="str">
        <f t="shared" si="25"/>
        <v/>
      </c>
      <c r="V194" s="79"/>
      <c r="W194" s="78"/>
      <c r="X194" s="87" t="str">
        <f t="shared" si="26"/>
        <v/>
      </c>
      <c r="Y194" s="87" t="str">
        <f t="shared" si="23"/>
        <v/>
      </c>
      <c r="Z194" s="79"/>
      <c r="AA194" s="86" t="str">
        <f t="shared" si="27"/>
        <v/>
      </c>
    </row>
    <row r="195" spans="2:27" x14ac:dyDescent="0.25">
      <c r="B195" s="45" t="s">
        <v>282</v>
      </c>
      <c r="C195" s="46"/>
      <c r="D195" s="46"/>
      <c r="E195" s="45"/>
      <c r="F195" s="46"/>
      <c r="G195" s="48"/>
      <c r="H195" s="48"/>
      <c r="I195" s="48"/>
      <c r="J195" s="49"/>
      <c r="K195" s="49"/>
      <c r="L195" s="49"/>
      <c r="M195" s="48"/>
      <c r="N195" s="49"/>
      <c r="O195" s="49"/>
      <c r="P195" s="49"/>
      <c r="Q195" s="49"/>
      <c r="R195" s="49"/>
      <c r="S195" s="80" t="str">
        <f t="shared" si="24"/>
        <v/>
      </c>
      <c r="T195" s="76"/>
      <c r="U195" s="81" t="str">
        <f t="shared" si="25"/>
        <v/>
      </c>
      <c r="V195" s="77"/>
      <c r="W195" s="76"/>
      <c r="X195" s="81" t="str">
        <f t="shared" si="26"/>
        <v/>
      </c>
      <c r="Y195" s="81" t="str">
        <f t="shared" si="23"/>
        <v/>
      </c>
      <c r="Z195" s="77"/>
      <c r="AA195" s="80" t="str">
        <f t="shared" si="27"/>
        <v/>
      </c>
    </row>
    <row r="196" spans="2:27" x14ac:dyDescent="0.25">
      <c r="B196" s="35" t="s">
        <v>283</v>
      </c>
      <c r="C196" s="36"/>
      <c r="D196" s="36"/>
      <c r="E196" s="35"/>
      <c r="F196" s="36"/>
      <c r="G196" s="38"/>
      <c r="H196" s="38"/>
      <c r="I196" s="38"/>
      <c r="J196" s="39"/>
      <c r="K196" s="38"/>
      <c r="L196" s="39"/>
      <c r="M196" s="38"/>
      <c r="N196" s="38"/>
      <c r="O196" s="39"/>
      <c r="P196" s="39"/>
      <c r="Q196" s="39"/>
      <c r="R196" s="39"/>
      <c r="S196" s="86" t="str">
        <f t="shared" si="24"/>
        <v/>
      </c>
      <c r="T196" s="78"/>
      <c r="U196" s="86" t="str">
        <f t="shared" si="25"/>
        <v/>
      </c>
      <c r="V196" s="79"/>
      <c r="W196" s="78"/>
      <c r="X196" s="87" t="str">
        <f t="shared" si="26"/>
        <v/>
      </c>
      <c r="Y196" s="87" t="str">
        <f t="shared" si="23"/>
        <v/>
      </c>
      <c r="Z196" s="79"/>
      <c r="AA196" s="86" t="str">
        <f t="shared" si="27"/>
        <v/>
      </c>
    </row>
    <row r="197" spans="2:27" x14ac:dyDescent="0.25">
      <c r="B197" s="45" t="s">
        <v>284</v>
      </c>
      <c r="C197" s="46"/>
      <c r="D197" s="46"/>
      <c r="E197" s="45"/>
      <c r="F197" s="46"/>
      <c r="G197" s="48"/>
      <c r="H197" s="48"/>
      <c r="I197" s="48"/>
      <c r="J197" s="49"/>
      <c r="K197" s="49"/>
      <c r="L197" s="49"/>
      <c r="M197" s="48"/>
      <c r="N197" s="49"/>
      <c r="O197" s="49"/>
      <c r="P197" s="49"/>
      <c r="Q197" s="49"/>
      <c r="R197" s="49"/>
      <c r="S197" s="80" t="str">
        <f t="shared" si="24"/>
        <v/>
      </c>
      <c r="T197" s="76"/>
      <c r="U197" s="81" t="str">
        <f t="shared" si="25"/>
        <v/>
      </c>
      <c r="V197" s="77"/>
      <c r="W197" s="76"/>
      <c r="X197" s="81" t="str">
        <f t="shared" si="26"/>
        <v/>
      </c>
      <c r="Y197" s="81" t="str">
        <f t="shared" si="23"/>
        <v/>
      </c>
      <c r="Z197" s="77"/>
      <c r="AA197" s="80" t="str">
        <f t="shared" si="27"/>
        <v/>
      </c>
    </row>
    <row r="198" spans="2:27" x14ac:dyDescent="0.25">
      <c r="B198" s="35" t="s">
        <v>285</v>
      </c>
      <c r="C198" s="36"/>
      <c r="D198" s="36"/>
      <c r="E198" s="35"/>
      <c r="F198" s="36"/>
      <c r="G198" s="38"/>
      <c r="H198" s="38"/>
      <c r="I198" s="38"/>
      <c r="J198" s="39"/>
      <c r="K198" s="38"/>
      <c r="L198" s="39"/>
      <c r="M198" s="38"/>
      <c r="N198" s="38"/>
      <c r="O198" s="39"/>
      <c r="P198" s="39"/>
      <c r="Q198" s="39"/>
      <c r="R198" s="39"/>
      <c r="S198" s="86" t="str">
        <f t="shared" si="24"/>
        <v/>
      </c>
      <c r="T198" s="78"/>
      <c r="U198" s="86" t="str">
        <f t="shared" si="25"/>
        <v/>
      </c>
      <c r="V198" s="79"/>
      <c r="W198" s="78"/>
      <c r="X198" s="87" t="str">
        <f t="shared" si="26"/>
        <v/>
      </c>
      <c r="Y198" s="87" t="str">
        <f t="shared" si="23"/>
        <v/>
      </c>
      <c r="Z198" s="79"/>
      <c r="AA198" s="86" t="str">
        <f t="shared" si="27"/>
        <v/>
      </c>
    </row>
    <row r="199" spans="2:27" x14ac:dyDescent="0.25">
      <c r="B199" s="45" t="s">
        <v>286</v>
      </c>
      <c r="C199" s="46"/>
      <c r="D199" s="46"/>
      <c r="E199" s="45"/>
      <c r="F199" s="46"/>
      <c r="G199" s="48"/>
      <c r="H199" s="48"/>
      <c r="I199" s="48"/>
      <c r="J199" s="49"/>
      <c r="K199" s="49"/>
      <c r="L199" s="49"/>
      <c r="M199" s="48"/>
      <c r="N199" s="49"/>
      <c r="O199" s="49"/>
      <c r="P199" s="49"/>
      <c r="Q199" s="49"/>
      <c r="R199" s="49"/>
      <c r="S199" s="80" t="str">
        <f t="shared" si="24"/>
        <v/>
      </c>
      <c r="T199" s="76"/>
      <c r="U199" s="81" t="str">
        <f t="shared" si="25"/>
        <v/>
      </c>
      <c r="V199" s="77"/>
      <c r="W199" s="76"/>
      <c r="X199" s="81" t="str">
        <f t="shared" si="26"/>
        <v/>
      </c>
      <c r="Y199" s="81" t="str">
        <f t="shared" si="23"/>
        <v/>
      </c>
      <c r="Z199" s="77"/>
      <c r="AA199" s="80" t="str">
        <f t="shared" si="27"/>
        <v/>
      </c>
    </row>
    <row r="200" spans="2:27" x14ac:dyDescent="0.25">
      <c r="B200" s="35" t="s">
        <v>287</v>
      </c>
      <c r="C200" s="36"/>
      <c r="D200" s="36"/>
      <c r="E200" s="35"/>
      <c r="F200" s="36"/>
      <c r="G200" s="38"/>
      <c r="H200" s="38"/>
      <c r="I200" s="38"/>
      <c r="J200" s="39"/>
      <c r="K200" s="38"/>
      <c r="L200" s="39"/>
      <c r="M200" s="38"/>
      <c r="N200" s="38"/>
      <c r="O200" s="39"/>
      <c r="P200" s="39"/>
      <c r="Q200" s="39"/>
      <c r="R200" s="39"/>
      <c r="S200" s="86" t="str">
        <f t="shared" si="24"/>
        <v/>
      </c>
      <c r="T200" s="78"/>
      <c r="U200" s="86" t="str">
        <f t="shared" si="25"/>
        <v/>
      </c>
      <c r="V200" s="79"/>
      <c r="W200" s="78"/>
      <c r="X200" s="87" t="str">
        <f t="shared" si="26"/>
        <v/>
      </c>
      <c r="Y200" s="87" t="str">
        <f t="shared" ref="Y200:Y212" si="28">IF(X200="","",IF(X200&gt;$Y$5,"ACIMA","OK"))</f>
        <v/>
      </c>
      <c r="Z200" s="79"/>
      <c r="AA200" s="86" t="str">
        <f t="shared" si="27"/>
        <v/>
      </c>
    </row>
    <row r="201" spans="2:27" x14ac:dyDescent="0.25">
      <c r="B201" s="45" t="s">
        <v>288</v>
      </c>
      <c r="C201" s="46"/>
      <c r="D201" s="46"/>
      <c r="E201" s="45"/>
      <c r="F201" s="46"/>
      <c r="G201" s="48"/>
      <c r="H201" s="48"/>
      <c r="I201" s="48"/>
      <c r="J201" s="49"/>
      <c r="K201" s="49"/>
      <c r="L201" s="49"/>
      <c r="M201" s="48"/>
      <c r="N201" s="49"/>
      <c r="O201" s="49"/>
      <c r="P201" s="49"/>
      <c r="Q201" s="49"/>
      <c r="R201" s="49"/>
      <c r="S201" s="80" t="str">
        <f t="shared" si="24"/>
        <v/>
      </c>
      <c r="T201" s="76"/>
      <c r="U201" s="81" t="str">
        <f t="shared" si="25"/>
        <v/>
      </c>
      <c r="V201" s="77"/>
      <c r="W201" s="76"/>
      <c r="X201" s="81" t="str">
        <f t="shared" si="26"/>
        <v/>
      </c>
      <c r="Y201" s="81" t="str">
        <f t="shared" si="28"/>
        <v/>
      </c>
      <c r="Z201" s="77"/>
      <c r="AA201" s="80" t="str">
        <f t="shared" si="27"/>
        <v/>
      </c>
    </row>
    <row r="202" spans="2:27" x14ac:dyDescent="0.25">
      <c r="B202" s="35" t="s">
        <v>289</v>
      </c>
      <c r="C202" s="36"/>
      <c r="D202" s="36"/>
      <c r="E202" s="35"/>
      <c r="F202" s="36"/>
      <c r="G202" s="38"/>
      <c r="H202" s="38"/>
      <c r="I202" s="38"/>
      <c r="J202" s="39"/>
      <c r="K202" s="38"/>
      <c r="L202" s="39"/>
      <c r="M202" s="38"/>
      <c r="N202" s="38"/>
      <c r="O202" s="39"/>
      <c r="P202" s="39"/>
      <c r="Q202" s="39"/>
      <c r="R202" s="39"/>
      <c r="S202" s="86" t="str">
        <f t="shared" si="24"/>
        <v/>
      </c>
      <c r="T202" s="78"/>
      <c r="U202" s="86" t="str">
        <f t="shared" si="25"/>
        <v/>
      </c>
      <c r="V202" s="79"/>
      <c r="W202" s="78"/>
      <c r="X202" s="87" t="str">
        <f t="shared" si="26"/>
        <v/>
      </c>
      <c r="Y202" s="87" t="str">
        <f t="shared" si="28"/>
        <v/>
      </c>
      <c r="Z202" s="79"/>
      <c r="AA202" s="86" t="str">
        <f t="shared" si="27"/>
        <v/>
      </c>
    </row>
    <row r="203" spans="2:27" x14ac:dyDescent="0.25">
      <c r="B203" s="45" t="s">
        <v>290</v>
      </c>
      <c r="C203" s="46"/>
      <c r="D203" s="46"/>
      <c r="E203" s="45"/>
      <c r="F203" s="46"/>
      <c r="G203" s="48"/>
      <c r="H203" s="48"/>
      <c r="I203" s="48"/>
      <c r="J203" s="49"/>
      <c r="K203" s="49"/>
      <c r="L203" s="49"/>
      <c r="M203" s="48"/>
      <c r="N203" s="49"/>
      <c r="O203" s="49"/>
      <c r="P203" s="49"/>
      <c r="Q203" s="49"/>
      <c r="R203" s="49"/>
      <c r="S203" s="80" t="str">
        <f t="shared" si="24"/>
        <v/>
      </c>
      <c r="T203" s="76"/>
      <c r="U203" s="81" t="str">
        <f t="shared" si="25"/>
        <v/>
      </c>
      <c r="V203" s="77"/>
      <c r="W203" s="76"/>
      <c r="X203" s="81" t="str">
        <f t="shared" si="26"/>
        <v/>
      </c>
      <c r="Y203" s="81" t="str">
        <f t="shared" si="28"/>
        <v/>
      </c>
      <c r="Z203" s="77"/>
      <c r="AA203" s="80" t="str">
        <f t="shared" si="27"/>
        <v/>
      </c>
    </row>
    <row r="204" spans="2:27" x14ac:dyDescent="0.25">
      <c r="B204" s="35" t="s">
        <v>291</v>
      </c>
      <c r="C204" s="36"/>
      <c r="D204" s="36"/>
      <c r="E204" s="35"/>
      <c r="F204" s="36"/>
      <c r="G204" s="38"/>
      <c r="H204" s="38"/>
      <c r="I204" s="38"/>
      <c r="J204" s="39"/>
      <c r="K204" s="38"/>
      <c r="L204" s="39"/>
      <c r="M204" s="38"/>
      <c r="N204" s="38"/>
      <c r="O204" s="39"/>
      <c r="P204" s="39"/>
      <c r="Q204" s="39"/>
      <c r="R204" s="39"/>
      <c r="S204" s="86" t="str">
        <f t="shared" si="24"/>
        <v/>
      </c>
      <c r="T204" s="78"/>
      <c r="U204" s="86" t="str">
        <f t="shared" si="25"/>
        <v/>
      </c>
      <c r="V204" s="79"/>
      <c r="W204" s="78"/>
      <c r="X204" s="87" t="str">
        <f t="shared" si="26"/>
        <v/>
      </c>
      <c r="Y204" s="87" t="str">
        <f t="shared" si="28"/>
        <v/>
      </c>
      <c r="Z204" s="79"/>
      <c r="AA204" s="86" t="str">
        <f t="shared" si="27"/>
        <v/>
      </c>
    </row>
    <row r="205" spans="2:27" x14ac:dyDescent="0.25">
      <c r="B205" s="45" t="s">
        <v>292</v>
      </c>
      <c r="C205" s="46"/>
      <c r="D205" s="46"/>
      <c r="E205" s="45"/>
      <c r="F205" s="46"/>
      <c r="G205" s="48"/>
      <c r="H205" s="48"/>
      <c r="I205" s="48"/>
      <c r="J205" s="49"/>
      <c r="K205" s="49"/>
      <c r="L205" s="49"/>
      <c r="M205" s="48"/>
      <c r="N205" s="49"/>
      <c r="O205" s="49"/>
      <c r="P205" s="49"/>
      <c r="Q205" s="49"/>
      <c r="R205" s="49"/>
      <c r="S205" s="80" t="str">
        <f t="shared" si="24"/>
        <v/>
      </c>
      <c r="T205" s="76"/>
      <c r="U205" s="81" t="str">
        <f t="shared" si="25"/>
        <v/>
      </c>
      <c r="V205" s="77"/>
      <c r="W205" s="76"/>
      <c r="X205" s="81" t="str">
        <f t="shared" si="26"/>
        <v/>
      </c>
      <c r="Y205" s="81" t="str">
        <f t="shared" si="28"/>
        <v/>
      </c>
      <c r="Z205" s="77"/>
      <c r="AA205" s="80" t="str">
        <f t="shared" si="27"/>
        <v/>
      </c>
    </row>
    <row r="206" spans="2:27" x14ac:dyDescent="0.25">
      <c r="B206" s="35" t="s">
        <v>293</v>
      </c>
      <c r="C206" s="36"/>
      <c r="D206" s="36"/>
      <c r="E206" s="35"/>
      <c r="F206" s="36"/>
      <c r="G206" s="38"/>
      <c r="H206" s="38"/>
      <c r="I206" s="38"/>
      <c r="J206" s="39"/>
      <c r="K206" s="38"/>
      <c r="L206" s="39"/>
      <c r="M206" s="38"/>
      <c r="N206" s="38"/>
      <c r="O206" s="39"/>
      <c r="P206" s="39"/>
      <c r="Q206" s="39"/>
      <c r="R206" s="39"/>
      <c r="S206" s="86" t="str">
        <f t="shared" si="24"/>
        <v/>
      </c>
      <c r="T206" s="78"/>
      <c r="U206" s="86" t="str">
        <f t="shared" si="25"/>
        <v/>
      </c>
      <c r="V206" s="79"/>
      <c r="W206" s="78"/>
      <c r="X206" s="87" t="str">
        <f t="shared" si="26"/>
        <v/>
      </c>
      <c r="Y206" s="87" t="str">
        <f t="shared" si="28"/>
        <v/>
      </c>
      <c r="Z206" s="79"/>
      <c r="AA206" s="86" t="str">
        <f t="shared" si="27"/>
        <v/>
      </c>
    </row>
    <row r="207" spans="2:27" x14ac:dyDescent="0.25">
      <c r="B207" s="45" t="s">
        <v>294</v>
      </c>
      <c r="C207" s="46"/>
      <c r="D207" s="46"/>
      <c r="E207" s="45"/>
      <c r="F207" s="46"/>
      <c r="G207" s="48"/>
      <c r="H207" s="48"/>
      <c r="I207" s="48"/>
      <c r="J207" s="49"/>
      <c r="K207" s="49"/>
      <c r="L207" s="49"/>
      <c r="M207" s="48"/>
      <c r="N207" s="49"/>
      <c r="O207" s="49"/>
      <c r="P207" s="49"/>
      <c r="Q207" s="49"/>
      <c r="R207" s="49"/>
      <c r="S207" s="80" t="str">
        <f t="shared" si="24"/>
        <v/>
      </c>
      <c r="T207" s="76"/>
      <c r="U207" s="81" t="str">
        <f t="shared" si="25"/>
        <v/>
      </c>
      <c r="V207" s="77"/>
      <c r="W207" s="76"/>
      <c r="X207" s="81" t="str">
        <f t="shared" si="26"/>
        <v/>
      </c>
      <c r="Y207" s="81" t="str">
        <f t="shared" si="28"/>
        <v/>
      </c>
      <c r="Z207" s="77"/>
      <c r="AA207" s="80" t="str">
        <f t="shared" si="27"/>
        <v/>
      </c>
    </row>
    <row r="208" spans="2:27" x14ac:dyDescent="0.25">
      <c r="B208" s="35" t="s">
        <v>295</v>
      </c>
      <c r="C208" s="36"/>
      <c r="D208" s="36"/>
      <c r="E208" s="35"/>
      <c r="F208" s="36"/>
      <c r="G208" s="38"/>
      <c r="H208" s="38"/>
      <c r="I208" s="38"/>
      <c r="J208" s="39"/>
      <c r="K208" s="38"/>
      <c r="L208" s="39"/>
      <c r="M208" s="38"/>
      <c r="N208" s="38"/>
      <c r="O208" s="39"/>
      <c r="P208" s="39"/>
      <c r="Q208" s="39"/>
      <c r="R208" s="39"/>
      <c r="S208" s="86" t="str">
        <f t="shared" si="24"/>
        <v/>
      </c>
      <c r="T208" s="78"/>
      <c r="U208" s="86" t="str">
        <f t="shared" si="25"/>
        <v/>
      </c>
      <c r="V208" s="79"/>
      <c r="W208" s="78"/>
      <c r="X208" s="87" t="str">
        <f t="shared" si="26"/>
        <v/>
      </c>
      <c r="Y208" s="87" t="str">
        <f t="shared" si="28"/>
        <v/>
      </c>
      <c r="Z208" s="79"/>
      <c r="AA208" s="86" t="str">
        <f t="shared" si="27"/>
        <v/>
      </c>
    </row>
    <row r="209" spans="2:27" x14ac:dyDescent="0.25">
      <c r="B209" s="45" t="s">
        <v>296</v>
      </c>
      <c r="C209" s="46"/>
      <c r="D209" s="46"/>
      <c r="E209" s="45"/>
      <c r="F209" s="46"/>
      <c r="G209" s="48"/>
      <c r="H209" s="48"/>
      <c r="I209" s="48"/>
      <c r="J209" s="49"/>
      <c r="K209" s="49"/>
      <c r="L209" s="49"/>
      <c r="M209" s="48"/>
      <c r="N209" s="49"/>
      <c r="O209" s="49"/>
      <c r="P209" s="49"/>
      <c r="Q209" s="49"/>
      <c r="R209" s="49"/>
      <c r="S209" s="80" t="str">
        <f t="shared" si="24"/>
        <v/>
      </c>
      <c r="T209" s="76"/>
      <c r="U209" s="81" t="str">
        <f t="shared" si="25"/>
        <v/>
      </c>
      <c r="V209" s="77"/>
      <c r="W209" s="76"/>
      <c r="X209" s="81" t="str">
        <f t="shared" si="26"/>
        <v/>
      </c>
      <c r="Y209" s="81" t="str">
        <f t="shared" si="28"/>
        <v/>
      </c>
      <c r="Z209" s="77"/>
      <c r="AA209" s="80" t="str">
        <f t="shared" si="27"/>
        <v/>
      </c>
    </row>
    <row r="210" spans="2:27" x14ac:dyDescent="0.25">
      <c r="B210" s="35" t="s">
        <v>297</v>
      </c>
      <c r="C210" s="36"/>
      <c r="D210" s="36"/>
      <c r="E210" s="35"/>
      <c r="F210" s="36"/>
      <c r="G210" s="38"/>
      <c r="H210" s="38"/>
      <c r="I210" s="38"/>
      <c r="J210" s="39"/>
      <c r="K210" s="38"/>
      <c r="L210" s="39"/>
      <c r="M210" s="38"/>
      <c r="N210" s="38"/>
      <c r="O210" s="39"/>
      <c r="P210" s="39"/>
      <c r="Q210" s="39"/>
      <c r="R210" s="39"/>
      <c r="S210" s="86" t="str">
        <f t="shared" si="24"/>
        <v/>
      </c>
      <c r="T210" s="78"/>
      <c r="U210" s="86" t="str">
        <f t="shared" si="25"/>
        <v/>
      </c>
      <c r="V210" s="79"/>
      <c r="W210" s="78"/>
      <c r="X210" s="87" t="str">
        <f t="shared" si="26"/>
        <v/>
      </c>
      <c r="Y210" s="87" t="str">
        <f t="shared" si="28"/>
        <v/>
      </c>
      <c r="Z210" s="79"/>
      <c r="AA210" s="86" t="str">
        <f t="shared" si="27"/>
        <v/>
      </c>
    </row>
    <row r="211" spans="2:27" x14ac:dyDescent="0.25">
      <c r="B211" s="45" t="s">
        <v>298</v>
      </c>
      <c r="C211" s="46"/>
      <c r="D211" s="46"/>
      <c r="E211" s="45"/>
      <c r="F211" s="46"/>
      <c r="G211" s="48"/>
      <c r="H211" s="48"/>
      <c r="I211" s="48"/>
      <c r="J211" s="49"/>
      <c r="K211" s="49"/>
      <c r="L211" s="49"/>
      <c r="M211" s="48"/>
      <c r="N211" s="49"/>
      <c r="O211" s="49"/>
      <c r="P211" s="49"/>
      <c r="Q211" s="49"/>
      <c r="R211" s="49"/>
      <c r="S211" s="80" t="str">
        <f t="shared" si="24"/>
        <v/>
      </c>
      <c r="T211" s="76"/>
      <c r="U211" s="81" t="str">
        <f t="shared" si="25"/>
        <v/>
      </c>
      <c r="V211" s="77"/>
      <c r="W211" s="76"/>
      <c r="X211" s="81" t="str">
        <f t="shared" si="26"/>
        <v/>
      </c>
      <c r="Y211" s="81" t="str">
        <f t="shared" si="28"/>
        <v/>
      </c>
      <c r="Z211" s="77"/>
      <c r="AA211" s="80" t="str">
        <f t="shared" si="27"/>
        <v/>
      </c>
    </row>
    <row r="212" spans="2:27" x14ac:dyDescent="0.25">
      <c r="B212" s="35" t="s">
        <v>299</v>
      </c>
      <c r="C212" s="36"/>
      <c r="D212" s="36"/>
      <c r="E212" s="35"/>
      <c r="F212" s="36"/>
      <c r="G212" s="38"/>
      <c r="H212" s="38"/>
      <c r="I212" s="38"/>
      <c r="J212" s="39"/>
      <c r="K212" s="38"/>
      <c r="L212" s="39"/>
      <c r="M212" s="38"/>
      <c r="N212" s="38"/>
      <c r="O212" s="39"/>
      <c r="P212" s="39"/>
      <c r="Q212" s="39"/>
      <c r="R212" s="39"/>
      <c r="S212" s="57" t="str">
        <f>IF(R212="","",IF(R212=1,300,IF(R212=2,370,IF(R212=3,630,IF(R212=4,830,IF(R212=5,370,IF(R212=6,430,IF(R212=7,530,IF(R212=8,370,IF(R212=9,700,IF(R212=10,870,IF(R212=11,370,IF(R212=12,370,IF(R212=13,370,IF(R212=13,370,IF(R212=14,370,IF(R212=15,370,IF(R212=16,300,IF(R212=17,300,IF(R212=18,170,IF(R212=19,330)))))))))))))))))))))</f>
        <v/>
      </c>
      <c r="T212" s="41"/>
      <c r="U212" s="57" t="str">
        <f>IF(R212="","",IF(T212&gt;(5*S212),"ACIMA","OK"))</f>
        <v/>
      </c>
      <c r="V212" s="36"/>
      <c r="W212" s="41"/>
      <c r="X212" s="58" t="str">
        <f>IF(W212="","",W212/T212)</f>
        <v/>
      </c>
      <c r="Y212" s="58" t="str">
        <f t="shared" si="28"/>
        <v/>
      </c>
      <c r="Z212" s="36"/>
      <c r="AA212" s="57" t="str">
        <f>IF(R212="","",T212-W212)</f>
        <v/>
      </c>
    </row>
    <row r="213" spans="2:27" ht="21" x14ac:dyDescent="0.35">
      <c r="B213" s="166" t="s">
        <v>311</v>
      </c>
      <c r="C213" s="166"/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62">
        <f>SUM(T8:T212)</f>
        <v>55311.93</v>
      </c>
      <c r="U213" s="61"/>
      <c r="V213" s="61"/>
      <c r="W213" s="61"/>
      <c r="X213" s="61"/>
      <c r="Y213" s="61"/>
      <c r="Z213" s="61"/>
      <c r="AA213" s="63">
        <f>SUM(AA8:AA212)</f>
        <v>0</v>
      </c>
    </row>
  </sheetData>
  <dataConsolidate topLabels="1">
    <dataRefs count="3">
      <dataRef ref="M8:M110" sheet="Plan 2 OPÇÃO 2 casa 2"/>
      <dataRef ref="T8:T110" sheet="Plan 2 OPÇÃO 2 casa 2"/>
      <dataRef ref="C2:D104" sheet="Planilha1"/>
    </dataRefs>
  </dataConsolidate>
  <mergeCells count="32">
    <mergeCell ref="I6:I7"/>
    <mergeCell ref="B213:S213"/>
    <mergeCell ref="B2:AA2"/>
    <mergeCell ref="B4:B7"/>
    <mergeCell ref="C4:C7"/>
    <mergeCell ref="D4:D6"/>
    <mergeCell ref="E4:E7"/>
    <mergeCell ref="F4:F7"/>
    <mergeCell ref="G4:G7"/>
    <mergeCell ref="H4:H7"/>
    <mergeCell ref="I4:J5"/>
    <mergeCell ref="K4:L5"/>
    <mergeCell ref="M4:Q5"/>
    <mergeCell ref="R4:R7"/>
    <mergeCell ref="S4:S5"/>
    <mergeCell ref="T4:U4"/>
    <mergeCell ref="V4:Y4"/>
    <mergeCell ref="Z4:AA4"/>
    <mergeCell ref="Y6:Y7"/>
    <mergeCell ref="Z6:Z7"/>
    <mergeCell ref="AA6:AA7"/>
    <mergeCell ref="V5:V7"/>
    <mergeCell ref="W5:X5"/>
    <mergeCell ref="T6:T7"/>
    <mergeCell ref="U6:U7"/>
    <mergeCell ref="W6:W7"/>
    <mergeCell ref="X6:X7"/>
    <mergeCell ref="K6:K7"/>
    <mergeCell ref="M6:M7"/>
    <mergeCell ref="N6:N7"/>
    <mergeCell ref="O6:P6"/>
    <mergeCell ref="S6:S7"/>
  </mergeCells>
  <phoneticPr fontId="11" type="noConversion"/>
  <conditionalFormatting sqref="E8">
    <cfRule type="duplicateValues" dxfId="364" priority="4"/>
  </conditionalFormatting>
  <conditionalFormatting sqref="E9">
    <cfRule type="duplicateValues" dxfId="363" priority="1"/>
  </conditionalFormatting>
  <conditionalFormatting sqref="E10:E212">
    <cfRule type="duplicateValues" dxfId="362" priority="28"/>
  </conditionalFormatting>
  <conditionalFormatting sqref="G8">
    <cfRule type="duplicateValues" dxfId="361" priority="6"/>
  </conditionalFormatting>
  <conditionalFormatting sqref="G9">
    <cfRule type="duplicateValues" dxfId="360" priority="3"/>
  </conditionalFormatting>
  <conditionalFormatting sqref="G10:G26">
    <cfRule type="duplicateValues" dxfId="359" priority="9"/>
  </conditionalFormatting>
  <conditionalFormatting sqref="G10:G212">
    <cfRule type="duplicateValues" dxfId="358" priority="32"/>
  </conditionalFormatting>
  <conditionalFormatting sqref="I8">
    <cfRule type="duplicateValues" dxfId="357" priority="5"/>
  </conditionalFormatting>
  <conditionalFormatting sqref="I9">
    <cfRule type="duplicateValues" dxfId="356" priority="2"/>
  </conditionalFormatting>
  <conditionalFormatting sqref="I10:I212">
    <cfRule type="duplicateValues" dxfId="355" priority="30"/>
  </conditionalFormatting>
  <conditionalFormatting sqref="K10:K12">
    <cfRule type="duplicateValues" dxfId="354" priority="12"/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 r:id="rId1"/>
  <ignoredErrors>
    <ignoredError sqref="E39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A1:F117"/>
  <sheetViews>
    <sheetView topLeftCell="A3" zoomScale="40" zoomScaleNormal="40" workbookViewId="0">
      <selection activeCell="E2" sqref="E2:F60"/>
    </sheetView>
  </sheetViews>
  <sheetFormatPr defaultRowHeight="15" x14ac:dyDescent="0.25"/>
  <cols>
    <col min="1" max="1" width="15.85546875" customWidth="1"/>
    <col min="2" max="2" width="14.85546875" customWidth="1"/>
    <col min="5" max="5" width="36.85546875" customWidth="1"/>
    <col min="6" max="6" width="16.7109375" customWidth="1"/>
    <col min="15" max="15" width="9.140625" customWidth="1"/>
  </cols>
  <sheetData>
    <row r="1" spans="1:6" x14ac:dyDescent="0.25">
      <c r="A1" s="91" t="s">
        <v>73</v>
      </c>
      <c r="B1" s="89" t="s">
        <v>972</v>
      </c>
    </row>
    <row r="2" spans="1:6" ht="38.25" x14ac:dyDescent="0.25">
      <c r="A2" s="37" t="s">
        <v>413</v>
      </c>
      <c r="B2" s="41">
        <v>370</v>
      </c>
      <c r="E2" s="89" t="s">
        <v>73</v>
      </c>
      <c r="F2" s="89" t="s">
        <v>972</v>
      </c>
    </row>
    <row r="3" spans="1:6" ht="63.75" x14ac:dyDescent="0.25">
      <c r="A3" s="38" t="s">
        <v>429</v>
      </c>
      <c r="B3" s="41">
        <v>370</v>
      </c>
      <c r="E3" t="s">
        <v>413</v>
      </c>
      <c r="F3" s="90">
        <v>370</v>
      </c>
    </row>
    <row r="4" spans="1:6" ht="25.5" x14ac:dyDescent="0.25">
      <c r="A4" s="48" t="s">
        <v>438</v>
      </c>
      <c r="B4" s="51">
        <v>370</v>
      </c>
      <c r="E4" t="s">
        <v>335</v>
      </c>
      <c r="F4" s="90">
        <v>5350</v>
      </c>
    </row>
    <row r="5" spans="1:6" ht="25.5" x14ac:dyDescent="0.25">
      <c r="A5" s="38" t="s">
        <v>445</v>
      </c>
      <c r="B5" s="41">
        <v>300</v>
      </c>
      <c r="E5" t="s">
        <v>429</v>
      </c>
      <c r="F5" s="90">
        <v>370</v>
      </c>
    </row>
    <row r="6" spans="1:6" ht="25.5" x14ac:dyDescent="0.25">
      <c r="A6" s="38" t="s">
        <v>445</v>
      </c>
      <c r="B6" s="51">
        <v>300</v>
      </c>
      <c r="E6" t="s">
        <v>438</v>
      </c>
      <c r="F6" s="90">
        <v>370</v>
      </c>
    </row>
    <row r="7" spans="1:6" ht="25.5" x14ac:dyDescent="0.25">
      <c r="A7" s="38" t="s">
        <v>489</v>
      </c>
      <c r="B7" s="41">
        <v>300</v>
      </c>
      <c r="E7" t="s">
        <v>445</v>
      </c>
      <c r="F7" s="90">
        <v>1200</v>
      </c>
    </row>
    <row r="8" spans="1:6" ht="25.5" x14ac:dyDescent="0.25">
      <c r="A8" s="38" t="s">
        <v>489</v>
      </c>
      <c r="B8" s="51">
        <v>300</v>
      </c>
      <c r="E8" t="s">
        <v>489</v>
      </c>
      <c r="F8" s="90">
        <v>900</v>
      </c>
    </row>
    <row r="9" spans="1:6" ht="25.5" x14ac:dyDescent="0.25">
      <c r="A9" s="38" t="s">
        <v>335</v>
      </c>
      <c r="B9" s="41">
        <v>370</v>
      </c>
      <c r="E9" t="s">
        <v>478</v>
      </c>
      <c r="F9" s="90">
        <v>370</v>
      </c>
    </row>
    <row r="10" spans="1:6" ht="25.5" x14ac:dyDescent="0.25">
      <c r="A10" s="48" t="s">
        <v>335</v>
      </c>
      <c r="B10" s="51">
        <v>370</v>
      </c>
      <c r="E10" t="s">
        <v>496</v>
      </c>
      <c r="F10" s="90">
        <v>300</v>
      </c>
    </row>
    <row r="11" spans="1:6" ht="25.5" x14ac:dyDescent="0.25">
      <c r="A11" s="38" t="s">
        <v>335</v>
      </c>
      <c r="B11" s="41">
        <v>370</v>
      </c>
      <c r="E11" t="s">
        <v>509</v>
      </c>
      <c r="F11" s="90">
        <v>1850</v>
      </c>
    </row>
    <row r="12" spans="1:6" ht="25.5" x14ac:dyDescent="0.25">
      <c r="A12" s="48" t="s">
        <v>478</v>
      </c>
      <c r="B12" s="51">
        <v>370</v>
      </c>
      <c r="E12" t="s">
        <v>529</v>
      </c>
      <c r="F12" s="90">
        <v>870</v>
      </c>
    </row>
    <row r="13" spans="1:6" ht="25.5" x14ac:dyDescent="0.25">
      <c r="A13" s="38" t="s">
        <v>335</v>
      </c>
      <c r="B13" s="41">
        <v>370</v>
      </c>
      <c r="E13" t="s">
        <v>389</v>
      </c>
      <c r="F13" s="90">
        <v>740</v>
      </c>
    </row>
    <row r="14" spans="1:6" ht="25.5" x14ac:dyDescent="0.25">
      <c r="A14" s="48" t="s">
        <v>489</v>
      </c>
      <c r="B14" s="51">
        <v>300</v>
      </c>
      <c r="E14" t="s">
        <v>539</v>
      </c>
      <c r="F14" s="90">
        <v>870</v>
      </c>
    </row>
    <row r="15" spans="1:6" ht="25.5" x14ac:dyDescent="0.25">
      <c r="A15" s="38" t="s">
        <v>445</v>
      </c>
      <c r="B15" s="41">
        <v>300</v>
      </c>
      <c r="E15" t="s">
        <v>545</v>
      </c>
      <c r="F15" s="90">
        <v>1500</v>
      </c>
    </row>
    <row r="16" spans="1:6" ht="38.25" x14ac:dyDescent="0.25">
      <c r="A16" s="48" t="s">
        <v>496</v>
      </c>
      <c r="B16" s="51">
        <v>300</v>
      </c>
      <c r="E16" t="s">
        <v>894</v>
      </c>
      <c r="F16" s="90">
        <v>6600</v>
      </c>
    </row>
    <row r="17" spans="1:6" ht="25.5" x14ac:dyDescent="0.25">
      <c r="A17" s="38" t="s">
        <v>445</v>
      </c>
      <c r="B17" s="41">
        <v>300</v>
      </c>
      <c r="E17" t="s">
        <v>558</v>
      </c>
      <c r="F17" s="90">
        <v>1850</v>
      </c>
    </row>
    <row r="18" spans="1:6" ht="25.5" x14ac:dyDescent="0.25">
      <c r="A18" s="48" t="s">
        <v>335</v>
      </c>
      <c r="B18" s="51">
        <v>300</v>
      </c>
      <c r="E18" t="s">
        <v>565</v>
      </c>
      <c r="F18" s="90">
        <v>750</v>
      </c>
    </row>
    <row r="19" spans="1:6" ht="25.5" x14ac:dyDescent="0.25">
      <c r="A19" s="38" t="s">
        <v>509</v>
      </c>
      <c r="B19" s="41">
        <v>370</v>
      </c>
      <c r="E19" t="s">
        <v>572</v>
      </c>
      <c r="F19" s="90">
        <v>200</v>
      </c>
    </row>
    <row r="20" spans="1:6" ht="25.5" x14ac:dyDescent="0.25">
      <c r="A20" s="48" t="s">
        <v>509</v>
      </c>
      <c r="B20" s="51">
        <v>370</v>
      </c>
      <c r="E20" t="s">
        <v>579</v>
      </c>
      <c r="F20" s="90">
        <v>300</v>
      </c>
    </row>
    <row r="21" spans="1:6" ht="25.5" x14ac:dyDescent="0.25">
      <c r="A21" s="38" t="s">
        <v>509</v>
      </c>
      <c r="B21" s="41">
        <v>370</v>
      </c>
      <c r="E21" t="s">
        <v>586</v>
      </c>
      <c r="F21" s="90">
        <v>200</v>
      </c>
    </row>
    <row r="22" spans="1:6" ht="25.5" x14ac:dyDescent="0.25">
      <c r="A22" s="48" t="s">
        <v>509</v>
      </c>
      <c r="B22" s="51">
        <v>370</v>
      </c>
      <c r="E22" t="s">
        <v>592</v>
      </c>
      <c r="F22" s="90">
        <v>700</v>
      </c>
    </row>
    <row r="23" spans="1:6" ht="25.5" x14ac:dyDescent="0.25">
      <c r="A23" s="38" t="s">
        <v>509</v>
      </c>
      <c r="B23" s="41">
        <v>370</v>
      </c>
      <c r="E23" t="s">
        <v>599</v>
      </c>
      <c r="F23" s="90">
        <v>300</v>
      </c>
    </row>
    <row r="24" spans="1:6" ht="38.25" x14ac:dyDescent="0.25">
      <c r="A24" s="48" t="s">
        <v>529</v>
      </c>
      <c r="B24" s="51">
        <v>870</v>
      </c>
      <c r="E24" t="s">
        <v>605</v>
      </c>
      <c r="F24" s="90">
        <v>300</v>
      </c>
    </row>
    <row r="25" spans="1:6" ht="25.5" x14ac:dyDescent="0.25">
      <c r="A25" s="38" t="s">
        <v>389</v>
      </c>
      <c r="B25" s="41">
        <v>370</v>
      </c>
      <c r="E25" t="s">
        <v>612</v>
      </c>
      <c r="F25" s="90">
        <v>300</v>
      </c>
    </row>
    <row r="26" spans="1:6" ht="25.5" x14ac:dyDescent="0.25">
      <c r="A26" s="48" t="s">
        <v>539</v>
      </c>
      <c r="B26" s="51">
        <v>870</v>
      </c>
      <c r="E26" t="s">
        <v>617</v>
      </c>
      <c r="F26" s="90">
        <v>442.93</v>
      </c>
    </row>
    <row r="27" spans="1:6" ht="25.5" x14ac:dyDescent="0.25">
      <c r="A27" s="38" t="s">
        <v>545</v>
      </c>
      <c r="B27" s="41">
        <v>1500</v>
      </c>
      <c r="E27" t="s">
        <v>624</v>
      </c>
      <c r="F27" s="90">
        <v>954</v>
      </c>
    </row>
    <row r="28" spans="1:6" ht="38.25" x14ac:dyDescent="0.25">
      <c r="A28" s="38" t="s">
        <v>894</v>
      </c>
      <c r="B28" s="51">
        <v>450</v>
      </c>
      <c r="E28" t="s">
        <v>632</v>
      </c>
      <c r="F28" s="90">
        <v>300</v>
      </c>
    </row>
    <row r="29" spans="1:6" ht="25.5" x14ac:dyDescent="0.25">
      <c r="A29" s="38" t="s">
        <v>558</v>
      </c>
      <c r="B29" s="41">
        <v>1850</v>
      </c>
      <c r="E29" t="s">
        <v>637</v>
      </c>
      <c r="F29" s="90">
        <v>300</v>
      </c>
    </row>
    <row r="30" spans="1:6" ht="25.5" x14ac:dyDescent="0.25">
      <c r="A30" s="48" t="s">
        <v>565</v>
      </c>
      <c r="B30" s="51">
        <v>300</v>
      </c>
      <c r="E30" t="s">
        <v>644</v>
      </c>
      <c r="F30" s="90">
        <v>300</v>
      </c>
    </row>
    <row r="31" spans="1:6" ht="38.25" x14ac:dyDescent="0.25">
      <c r="A31" s="38" t="s">
        <v>572</v>
      </c>
      <c r="B31" s="41">
        <v>200</v>
      </c>
      <c r="E31" t="s">
        <v>654</v>
      </c>
      <c r="F31" s="90">
        <v>370</v>
      </c>
    </row>
    <row r="32" spans="1:6" ht="25.5" x14ac:dyDescent="0.25">
      <c r="A32" s="48" t="s">
        <v>579</v>
      </c>
      <c r="B32" s="51">
        <v>300</v>
      </c>
      <c r="E32" t="s">
        <v>679</v>
      </c>
      <c r="F32" s="90">
        <v>1050</v>
      </c>
    </row>
    <row r="33" spans="1:6" ht="25.5" x14ac:dyDescent="0.25">
      <c r="A33" s="38" t="s">
        <v>586</v>
      </c>
      <c r="B33" s="41">
        <v>200</v>
      </c>
      <c r="E33" t="s">
        <v>685</v>
      </c>
      <c r="F33" s="90">
        <v>1164</v>
      </c>
    </row>
    <row r="34" spans="1:6" ht="25.5" x14ac:dyDescent="0.25">
      <c r="A34" s="48" t="s">
        <v>592</v>
      </c>
      <c r="B34" s="51">
        <v>700</v>
      </c>
      <c r="E34" t="s">
        <v>700</v>
      </c>
      <c r="F34" s="90">
        <v>880</v>
      </c>
    </row>
    <row r="35" spans="1:6" ht="25.5" x14ac:dyDescent="0.25">
      <c r="A35" s="38" t="s">
        <v>599</v>
      </c>
      <c r="B35" s="41">
        <v>300</v>
      </c>
      <c r="E35" t="s">
        <v>718</v>
      </c>
      <c r="F35" s="90">
        <v>622</v>
      </c>
    </row>
    <row r="36" spans="1:6" ht="38.25" x14ac:dyDescent="0.25">
      <c r="A36" s="48" t="s">
        <v>605</v>
      </c>
      <c r="B36" s="51">
        <v>300</v>
      </c>
      <c r="E36" t="s">
        <v>724</v>
      </c>
      <c r="F36" s="90">
        <v>1200</v>
      </c>
    </row>
    <row r="37" spans="1:6" ht="25.5" x14ac:dyDescent="0.25">
      <c r="A37" s="38" t="s">
        <v>612</v>
      </c>
      <c r="B37" s="41">
        <v>300</v>
      </c>
      <c r="E37" t="s">
        <v>345</v>
      </c>
      <c r="F37" s="90">
        <v>450</v>
      </c>
    </row>
    <row r="38" spans="1:6" ht="25.5" x14ac:dyDescent="0.25">
      <c r="A38" s="48" t="s">
        <v>617</v>
      </c>
      <c r="B38" s="51">
        <v>442.93</v>
      </c>
      <c r="E38" t="s">
        <v>736</v>
      </c>
      <c r="F38" s="90">
        <v>622</v>
      </c>
    </row>
    <row r="39" spans="1:6" x14ac:dyDescent="0.25">
      <c r="A39" s="38" t="s">
        <v>624</v>
      </c>
      <c r="B39" s="41">
        <v>954</v>
      </c>
      <c r="E39" t="s">
        <v>742</v>
      </c>
      <c r="F39" s="90">
        <v>370</v>
      </c>
    </row>
    <row r="40" spans="1:6" ht="25.5" x14ac:dyDescent="0.25">
      <c r="A40" s="48" t="s">
        <v>632</v>
      </c>
      <c r="B40" s="51">
        <v>300</v>
      </c>
      <c r="E40" t="s">
        <v>746</v>
      </c>
      <c r="F40" s="90">
        <v>370</v>
      </c>
    </row>
    <row r="41" spans="1:6" ht="25.5" x14ac:dyDescent="0.25">
      <c r="A41" s="38" t="s">
        <v>637</v>
      </c>
      <c r="B41" s="41">
        <v>300</v>
      </c>
      <c r="E41" t="s">
        <v>753</v>
      </c>
      <c r="F41" s="90">
        <v>700</v>
      </c>
    </row>
    <row r="42" spans="1:6" ht="51" x14ac:dyDescent="0.25">
      <c r="A42" s="48" t="s">
        <v>644</v>
      </c>
      <c r="B42" s="51">
        <v>300</v>
      </c>
      <c r="E42" t="s">
        <v>763</v>
      </c>
      <c r="F42" s="90">
        <v>370</v>
      </c>
    </row>
    <row r="43" spans="1:6" ht="25.5" x14ac:dyDescent="0.25">
      <c r="A43" s="38" t="s">
        <v>650</v>
      </c>
      <c r="B43" s="41">
        <v>370</v>
      </c>
      <c r="E43" t="s">
        <v>771</v>
      </c>
      <c r="F43" s="90">
        <v>740</v>
      </c>
    </row>
    <row r="44" spans="1:6" ht="25.5" x14ac:dyDescent="0.25">
      <c r="A44" s="48" t="s">
        <v>654</v>
      </c>
      <c r="B44" s="51">
        <v>370</v>
      </c>
      <c r="E44" t="s">
        <v>777</v>
      </c>
      <c r="F44" s="90">
        <v>300</v>
      </c>
    </row>
    <row r="45" spans="1:6" ht="25.5" x14ac:dyDescent="0.25">
      <c r="A45" s="38" t="s">
        <v>335</v>
      </c>
      <c r="B45" s="41">
        <v>370</v>
      </c>
      <c r="E45" t="s">
        <v>787</v>
      </c>
      <c r="F45" s="90">
        <v>370</v>
      </c>
    </row>
    <row r="46" spans="1:6" ht="38.25" x14ac:dyDescent="0.25">
      <c r="A46" s="38" t="s">
        <v>894</v>
      </c>
      <c r="B46" s="51">
        <v>450</v>
      </c>
      <c r="E46" t="s">
        <v>793</v>
      </c>
      <c r="F46" s="90">
        <v>600</v>
      </c>
    </row>
    <row r="47" spans="1:6" ht="38.25" x14ac:dyDescent="0.25">
      <c r="A47" s="38" t="s">
        <v>894</v>
      </c>
      <c r="B47" s="41">
        <v>450</v>
      </c>
      <c r="E47" t="s">
        <v>799</v>
      </c>
      <c r="F47" s="90">
        <v>370</v>
      </c>
    </row>
    <row r="48" spans="1:6" ht="25.5" x14ac:dyDescent="0.25">
      <c r="A48" s="48" t="s">
        <v>679</v>
      </c>
      <c r="B48" s="51">
        <v>450</v>
      </c>
      <c r="E48" t="s">
        <v>806</v>
      </c>
      <c r="F48" s="90">
        <v>200</v>
      </c>
    </row>
    <row r="49" spans="1:6" ht="25.5" x14ac:dyDescent="0.25">
      <c r="A49" s="38" t="s">
        <v>685</v>
      </c>
      <c r="B49" s="41">
        <v>1164</v>
      </c>
      <c r="E49" t="s">
        <v>812</v>
      </c>
      <c r="F49" s="90">
        <v>370</v>
      </c>
    </row>
    <row r="50" spans="1:6" ht="38.25" x14ac:dyDescent="0.25">
      <c r="A50" s="38" t="s">
        <v>894</v>
      </c>
      <c r="B50" s="51">
        <v>450</v>
      </c>
      <c r="E50" t="s">
        <v>830</v>
      </c>
      <c r="F50" s="90">
        <v>1500</v>
      </c>
    </row>
    <row r="51" spans="1:6" ht="25.5" x14ac:dyDescent="0.25">
      <c r="A51" s="38" t="s">
        <v>335</v>
      </c>
      <c r="B51" s="41">
        <v>1000</v>
      </c>
      <c r="E51" t="s">
        <v>835</v>
      </c>
      <c r="F51" s="90">
        <v>870</v>
      </c>
    </row>
    <row r="52" spans="1:6" ht="25.5" x14ac:dyDescent="0.25">
      <c r="A52" s="48" t="s">
        <v>700</v>
      </c>
      <c r="B52" s="51">
        <v>880</v>
      </c>
      <c r="E52" t="s">
        <v>842</v>
      </c>
      <c r="F52" s="90">
        <v>4050</v>
      </c>
    </row>
    <row r="53" spans="1:6" ht="38.25" x14ac:dyDescent="0.25">
      <c r="A53" s="38" t="s">
        <v>894</v>
      </c>
      <c r="B53" s="41">
        <v>450</v>
      </c>
      <c r="E53" t="s">
        <v>845</v>
      </c>
      <c r="F53" s="90">
        <v>1480</v>
      </c>
    </row>
    <row r="54" spans="1:6" ht="38.25" x14ac:dyDescent="0.25">
      <c r="A54" s="38" t="s">
        <v>894</v>
      </c>
      <c r="B54" s="51">
        <v>450</v>
      </c>
      <c r="E54" t="s">
        <v>858</v>
      </c>
      <c r="F54" s="90">
        <v>300</v>
      </c>
    </row>
    <row r="55" spans="1:6" ht="38.25" x14ac:dyDescent="0.25">
      <c r="A55" s="38" t="s">
        <v>894</v>
      </c>
      <c r="B55" s="41">
        <v>450</v>
      </c>
      <c r="E55" t="s">
        <v>888</v>
      </c>
      <c r="F55" s="90">
        <v>1480</v>
      </c>
    </row>
    <row r="56" spans="1:6" x14ac:dyDescent="0.25">
      <c r="A56" s="48" t="s">
        <v>718</v>
      </c>
      <c r="B56" s="51">
        <v>622</v>
      </c>
      <c r="E56" t="s">
        <v>917</v>
      </c>
      <c r="F56" s="90">
        <v>937</v>
      </c>
    </row>
    <row r="57" spans="1:6" ht="25.5" x14ac:dyDescent="0.25">
      <c r="A57" s="38" t="s">
        <v>724</v>
      </c>
      <c r="B57" s="41">
        <v>400</v>
      </c>
      <c r="E57" t="s">
        <v>928</v>
      </c>
      <c r="F57" s="90">
        <v>1500</v>
      </c>
    </row>
    <row r="58" spans="1:6" ht="38.25" x14ac:dyDescent="0.25">
      <c r="A58" s="48" t="s">
        <v>345</v>
      </c>
      <c r="B58" s="51">
        <v>450</v>
      </c>
      <c r="E58" t="s">
        <v>935</v>
      </c>
      <c r="F58" s="90">
        <v>1500</v>
      </c>
    </row>
    <row r="59" spans="1:6" ht="25.5" x14ac:dyDescent="0.25">
      <c r="A59" s="38" t="s">
        <v>736</v>
      </c>
      <c r="B59" s="41">
        <v>622</v>
      </c>
      <c r="E59" t="s">
        <v>947</v>
      </c>
      <c r="F59" s="90">
        <v>1110</v>
      </c>
    </row>
    <row r="60" spans="1:6" ht="25.5" x14ac:dyDescent="0.25">
      <c r="A60" s="48" t="s">
        <v>742</v>
      </c>
      <c r="B60" s="51">
        <v>370</v>
      </c>
      <c r="E60" t="s">
        <v>970</v>
      </c>
      <c r="F60" s="90">
        <v>240</v>
      </c>
    </row>
    <row r="61" spans="1:6" ht="25.5" x14ac:dyDescent="0.25">
      <c r="A61" s="38" t="s">
        <v>746</v>
      </c>
      <c r="B61" s="41">
        <v>370</v>
      </c>
      <c r="F61" s="90"/>
    </row>
    <row r="62" spans="1:6" ht="25.5" x14ac:dyDescent="0.25">
      <c r="A62" s="48" t="s">
        <v>753</v>
      </c>
      <c r="B62" s="51">
        <v>200</v>
      </c>
      <c r="F62" s="90"/>
    </row>
    <row r="63" spans="1:6" ht="25.5" x14ac:dyDescent="0.25">
      <c r="A63" s="38" t="s">
        <v>758</v>
      </c>
      <c r="B63" s="41">
        <v>500</v>
      </c>
      <c r="F63" s="90"/>
    </row>
    <row r="64" spans="1:6" ht="25.5" x14ac:dyDescent="0.25">
      <c r="A64" s="48" t="s">
        <v>763</v>
      </c>
      <c r="B64" s="51">
        <v>370</v>
      </c>
    </row>
    <row r="65" spans="1:2" ht="25.5" x14ac:dyDescent="0.25">
      <c r="A65" s="38" t="s">
        <v>771</v>
      </c>
      <c r="B65" s="41">
        <v>370</v>
      </c>
    </row>
    <row r="66" spans="1:2" ht="25.5" x14ac:dyDescent="0.25">
      <c r="A66" s="48" t="s">
        <v>777</v>
      </c>
      <c r="B66" s="51">
        <v>300</v>
      </c>
    </row>
    <row r="67" spans="1:2" ht="25.5" x14ac:dyDescent="0.25">
      <c r="A67" s="38" t="s">
        <v>335</v>
      </c>
      <c r="B67" s="41">
        <v>300</v>
      </c>
    </row>
    <row r="68" spans="1:2" ht="25.5" x14ac:dyDescent="0.25">
      <c r="A68" s="48" t="s">
        <v>787</v>
      </c>
      <c r="B68" s="51">
        <v>370</v>
      </c>
    </row>
    <row r="69" spans="1:2" ht="25.5" x14ac:dyDescent="0.25">
      <c r="A69" s="38" t="s">
        <v>793</v>
      </c>
      <c r="B69" s="41">
        <v>300</v>
      </c>
    </row>
    <row r="70" spans="1:2" ht="25.5" x14ac:dyDescent="0.25">
      <c r="A70" s="48" t="s">
        <v>799</v>
      </c>
      <c r="B70" s="51">
        <v>370</v>
      </c>
    </row>
    <row r="71" spans="1:2" ht="25.5" x14ac:dyDescent="0.25">
      <c r="A71" s="38" t="s">
        <v>806</v>
      </c>
      <c r="B71" s="41">
        <v>200</v>
      </c>
    </row>
    <row r="72" spans="1:2" ht="38.25" x14ac:dyDescent="0.25">
      <c r="A72" s="48" t="s">
        <v>812</v>
      </c>
      <c r="B72" s="51">
        <v>370</v>
      </c>
    </row>
    <row r="73" spans="1:2" ht="25.5" x14ac:dyDescent="0.25">
      <c r="A73" s="38" t="s">
        <v>335</v>
      </c>
      <c r="B73" s="41">
        <v>300</v>
      </c>
    </row>
    <row r="74" spans="1:2" ht="25.5" x14ac:dyDescent="0.25">
      <c r="A74" s="48" t="s">
        <v>724</v>
      </c>
      <c r="B74" s="51">
        <v>400</v>
      </c>
    </row>
    <row r="75" spans="1:2" ht="25.5" x14ac:dyDescent="0.25">
      <c r="A75" s="38" t="s">
        <v>724</v>
      </c>
      <c r="B75" s="41">
        <v>400</v>
      </c>
    </row>
    <row r="76" spans="1:2" ht="25.5" x14ac:dyDescent="0.25">
      <c r="A76" s="48" t="s">
        <v>830</v>
      </c>
      <c r="B76" s="51">
        <v>1500</v>
      </c>
    </row>
    <row r="77" spans="1:2" ht="25.5" x14ac:dyDescent="0.25">
      <c r="A77" s="38" t="s">
        <v>835</v>
      </c>
      <c r="B77" s="41">
        <v>870</v>
      </c>
    </row>
    <row r="78" spans="1:2" ht="25.5" x14ac:dyDescent="0.25">
      <c r="A78" s="48" t="s">
        <v>842</v>
      </c>
      <c r="B78" s="51">
        <v>1850</v>
      </c>
    </row>
    <row r="79" spans="1:2" ht="25.5" x14ac:dyDescent="0.25">
      <c r="A79" s="38" t="s">
        <v>845</v>
      </c>
      <c r="B79" s="41">
        <v>1480</v>
      </c>
    </row>
    <row r="80" spans="1:2" ht="38.25" x14ac:dyDescent="0.25">
      <c r="A80" s="38" t="s">
        <v>894</v>
      </c>
      <c r="B80" s="51">
        <v>300</v>
      </c>
    </row>
    <row r="81" spans="1:2" ht="38.25" x14ac:dyDescent="0.25">
      <c r="A81" s="38" t="s">
        <v>858</v>
      </c>
      <c r="B81" s="41">
        <v>300</v>
      </c>
    </row>
    <row r="82" spans="1:2" ht="25.5" x14ac:dyDescent="0.25">
      <c r="A82" s="48" t="s">
        <v>679</v>
      </c>
      <c r="B82" s="51">
        <v>300</v>
      </c>
    </row>
    <row r="83" spans="1:2" ht="25.5" x14ac:dyDescent="0.25">
      <c r="A83" s="38" t="s">
        <v>679</v>
      </c>
      <c r="B83" s="41">
        <v>300</v>
      </c>
    </row>
    <row r="84" spans="1:2" ht="25.5" x14ac:dyDescent="0.25">
      <c r="A84" s="48" t="s">
        <v>335</v>
      </c>
      <c r="B84" s="51">
        <v>300</v>
      </c>
    </row>
    <row r="85" spans="1:2" ht="38.25" x14ac:dyDescent="0.25">
      <c r="A85" s="38" t="s">
        <v>894</v>
      </c>
      <c r="B85" s="41">
        <v>450</v>
      </c>
    </row>
    <row r="86" spans="1:2" ht="38.25" x14ac:dyDescent="0.25">
      <c r="A86" s="38" t="s">
        <v>894</v>
      </c>
      <c r="B86" s="51">
        <v>450</v>
      </c>
    </row>
    <row r="87" spans="1:2" ht="38.25" x14ac:dyDescent="0.25">
      <c r="A87" s="38" t="s">
        <v>894</v>
      </c>
      <c r="B87" s="41">
        <v>450</v>
      </c>
    </row>
    <row r="88" spans="1:2" ht="25.5" x14ac:dyDescent="0.25">
      <c r="A88" s="48" t="s">
        <v>888</v>
      </c>
      <c r="B88" s="51">
        <v>1480</v>
      </c>
    </row>
    <row r="89" spans="1:2" ht="38.25" x14ac:dyDescent="0.25">
      <c r="A89" s="38" t="s">
        <v>894</v>
      </c>
      <c r="B89" s="41">
        <v>450</v>
      </c>
    </row>
    <row r="90" spans="1:2" ht="38.25" x14ac:dyDescent="0.25">
      <c r="A90" s="38" t="s">
        <v>894</v>
      </c>
      <c r="B90" s="51">
        <v>450</v>
      </c>
    </row>
    <row r="91" spans="1:2" ht="25.5" x14ac:dyDescent="0.25">
      <c r="A91" s="38" t="s">
        <v>565</v>
      </c>
      <c r="B91" s="41">
        <v>450</v>
      </c>
    </row>
    <row r="92" spans="1:2" ht="38.25" x14ac:dyDescent="0.25">
      <c r="A92" s="48" t="s">
        <v>894</v>
      </c>
      <c r="B92" s="51">
        <v>450</v>
      </c>
    </row>
    <row r="93" spans="1:2" ht="25.5" x14ac:dyDescent="0.25">
      <c r="A93" s="38" t="s">
        <v>842</v>
      </c>
      <c r="B93" s="41">
        <v>1000</v>
      </c>
    </row>
    <row r="94" spans="1:2" ht="25.5" x14ac:dyDescent="0.25">
      <c r="A94" s="48" t="s">
        <v>917</v>
      </c>
      <c r="B94" s="51">
        <v>937</v>
      </c>
    </row>
    <row r="95" spans="1:2" ht="38.25" x14ac:dyDescent="0.25">
      <c r="A95" s="38" t="s">
        <v>894</v>
      </c>
      <c r="B95" s="41">
        <v>450</v>
      </c>
    </row>
    <row r="96" spans="1:2" ht="25.5" x14ac:dyDescent="0.25">
      <c r="A96" s="48" t="s">
        <v>928</v>
      </c>
      <c r="B96" s="51">
        <v>1500</v>
      </c>
    </row>
    <row r="97" spans="1:2" ht="25.5" x14ac:dyDescent="0.25">
      <c r="A97" s="38" t="s">
        <v>935</v>
      </c>
      <c r="B97" s="41">
        <v>1500</v>
      </c>
    </row>
    <row r="98" spans="1:2" ht="25.5" x14ac:dyDescent="0.25">
      <c r="A98" s="48" t="s">
        <v>941</v>
      </c>
      <c r="B98" s="76">
        <v>1200</v>
      </c>
    </row>
    <row r="99" spans="1:2" ht="25.5" x14ac:dyDescent="0.25">
      <c r="A99" s="38" t="s">
        <v>947</v>
      </c>
      <c r="B99" s="78">
        <v>1110</v>
      </c>
    </row>
    <row r="100" spans="1:2" ht="25.5" x14ac:dyDescent="0.25">
      <c r="A100" s="48" t="s">
        <v>953</v>
      </c>
      <c r="B100" s="76">
        <v>300</v>
      </c>
    </row>
    <row r="101" spans="1:2" ht="25.5" x14ac:dyDescent="0.25">
      <c r="A101" s="38" t="s">
        <v>771</v>
      </c>
      <c r="B101" s="78">
        <v>370</v>
      </c>
    </row>
    <row r="102" spans="1:2" ht="25.5" x14ac:dyDescent="0.25">
      <c r="A102" s="48" t="s">
        <v>335</v>
      </c>
      <c r="B102" s="76">
        <v>1000</v>
      </c>
    </row>
    <row r="103" spans="1:2" ht="25.5" x14ac:dyDescent="0.25">
      <c r="A103" s="38" t="s">
        <v>970</v>
      </c>
      <c r="B103" s="78">
        <v>240</v>
      </c>
    </row>
    <row r="104" spans="1:2" x14ac:dyDescent="0.25">
      <c r="A104" s="92"/>
    </row>
    <row r="105" spans="1:2" x14ac:dyDescent="0.25">
      <c r="A105" s="92"/>
    </row>
    <row r="106" spans="1:2" x14ac:dyDescent="0.25">
      <c r="A106" s="92"/>
    </row>
    <row r="107" spans="1:2" x14ac:dyDescent="0.25">
      <c r="A107" s="92"/>
    </row>
    <row r="108" spans="1:2" x14ac:dyDescent="0.25">
      <c r="A108" s="92"/>
    </row>
    <row r="109" spans="1:2" x14ac:dyDescent="0.25">
      <c r="A109" s="92"/>
    </row>
    <row r="110" spans="1:2" x14ac:dyDescent="0.25">
      <c r="A110" s="92"/>
    </row>
    <row r="111" spans="1:2" x14ac:dyDescent="0.25">
      <c r="A111" s="92"/>
    </row>
    <row r="112" spans="1:2" x14ac:dyDescent="0.25">
      <c r="A112" s="92"/>
    </row>
    <row r="113" spans="1:1" x14ac:dyDescent="0.25">
      <c r="A113" s="92"/>
    </row>
    <row r="114" spans="1:1" x14ac:dyDescent="0.25">
      <c r="A114" s="92"/>
    </row>
    <row r="115" spans="1:1" x14ac:dyDescent="0.25">
      <c r="A115" s="92"/>
    </row>
    <row r="116" spans="1:1" x14ac:dyDescent="0.25">
      <c r="A116" s="92"/>
    </row>
    <row r="117" spans="1:1" x14ac:dyDescent="0.25">
      <c r="A117" s="92"/>
    </row>
  </sheetData>
  <dataConsolidate topLabels="1">
    <dataRefs count="2">
      <dataRef ref="A1:A104" sheet="Planilha1"/>
      <dataRef ref="A1:B104" sheet="Planilha1"/>
    </dataRefs>
  </dataConsolidate>
  <conditionalFormatting sqref="A2:A103">
    <cfRule type="duplicateValues" dxfId="353" priority="33"/>
  </conditionalFormatting>
  <conditionalFormatting sqref="E2:E60">
    <cfRule type="duplicateValues" dxfId="352" priority="35"/>
  </conditionalFormatting>
  <conditionalFormatting sqref="E3:E60">
    <cfRule type="duplicateValues" dxfId="351" priority="37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/>
  <dimension ref="A1:AT224"/>
  <sheetViews>
    <sheetView topLeftCell="B1" zoomScale="55" zoomScaleNormal="100" workbookViewId="0">
      <selection activeCell="I42" sqref="I42"/>
    </sheetView>
  </sheetViews>
  <sheetFormatPr defaultRowHeight="15" x14ac:dyDescent="0.25"/>
  <cols>
    <col min="1" max="1" width="28.7109375" hidden="1" customWidth="1"/>
    <col min="2" max="2" width="7" customWidth="1"/>
    <col min="3" max="3" width="9.7109375" style="67" customWidth="1"/>
    <col min="4" max="4" width="9.7109375" hidden="1" customWidth="1"/>
    <col min="5" max="5" width="15.140625" style="64" customWidth="1"/>
    <col min="6" max="6" width="11.140625" customWidth="1"/>
    <col min="7" max="7" width="17.140625" customWidth="1"/>
    <col min="8" max="8" width="19.28515625" hidden="1" customWidth="1"/>
    <col min="9" max="9" width="14.42578125" style="64" customWidth="1"/>
    <col min="10" max="10" width="15.42578125" hidden="1" customWidth="1"/>
    <col min="11" max="11" width="11.28515625" style="64" customWidth="1"/>
    <col min="12" max="12" width="18" hidden="1" customWidth="1"/>
    <col min="13" max="13" width="11.7109375" style="64" customWidth="1"/>
    <col min="14" max="14" width="13.7109375" customWidth="1"/>
    <col min="15" max="15" width="12.5703125" customWidth="1"/>
    <col min="16" max="16" width="12.140625" customWidth="1"/>
    <col min="17" max="17" width="11.140625" customWidth="1"/>
    <col min="18" max="18" width="3.140625" customWidth="1"/>
    <col min="19" max="19" width="8.140625" customWidth="1"/>
    <col min="20" max="21" width="10" customWidth="1"/>
    <col min="22" max="22" width="9.28515625" customWidth="1"/>
    <col min="23" max="23" width="9.42578125" customWidth="1"/>
    <col min="24" max="24" width="7.5703125" customWidth="1"/>
    <col min="25" max="26" width="9.140625" customWidth="1"/>
    <col min="27" max="27" width="9.7109375" customWidth="1"/>
    <col min="28" max="28" width="8.140625" customWidth="1"/>
    <col min="29" max="1025" width="8.5703125" customWidth="1"/>
  </cols>
  <sheetData>
    <row r="1" spans="1:46" ht="23.25" x14ac:dyDescent="0.25">
      <c r="B1" s="22"/>
    </row>
    <row r="2" spans="1:46" ht="23.25" x14ac:dyDescent="0.25">
      <c r="B2" s="179" t="s">
        <v>53</v>
      </c>
      <c r="C2" s="179"/>
      <c r="D2" s="179"/>
      <c r="E2" s="179"/>
      <c r="F2" s="179"/>
      <c r="G2" s="179"/>
      <c r="H2" s="179"/>
      <c r="I2" s="180"/>
      <c r="J2" s="179"/>
      <c r="K2" s="180"/>
      <c r="L2" s="179"/>
      <c r="M2" s="180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</row>
    <row r="3" spans="1:46" ht="15" customHeight="1" x14ac:dyDescent="0.25">
      <c r="B3" s="23" t="s">
        <v>54</v>
      </c>
      <c r="C3" s="68"/>
      <c r="D3" s="25"/>
      <c r="E3" s="65"/>
      <c r="F3" s="26"/>
      <c r="G3" s="26"/>
      <c r="H3" s="26"/>
      <c r="I3" s="66"/>
      <c r="J3" s="26"/>
      <c r="K3" s="66"/>
      <c r="L3" s="26"/>
      <c r="M3" s="6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4"/>
    </row>
    <row r="4" spans="1:46" ht="29.25" customHeight="1" x14ac:dyDescent="0.25">
      <c r="B4" s="168" t="s">
        <v>55</v>
      </c>
      <c r="C4" s="181" t="s">
        <v>56</v>
      </c>
      <c r="D4" s="168" t="s">
        <v>57</v>
      </c>
      <c r="E4" s="170" t="s">
        <v>58</v>
      </c>
      <c r="F4" s="168" t="s">
        <v>59</v>
      </c>
      <c r="G4" s="168" t="s">
        <v>60</v>
      </c>
      <c r="H4" s="168" t="s">
        <v>61</v>
      </c>
      <c r="I4" s="178" t="s">
        <v>62</v>
      </c>
      <c r="J4" s="155"/>
      <c r="K4" s="178" t="s">
        <v>63</v>
      </c>
      <c r="L4" s="155"/>
      <c r="M4" s="178" t="s">
        <v>64</v>
      </c>
      <c r="N4" s="155"/>
      <c r="O4" s="155"/>
      <c r="P4" s="155"/>
      <c r="Q4" s="155"/>
      <c r="R4" s="175" t="s">
        <v>65</v>
      </c>
      <c r="S4" s="168" t="s">
        <v>66</v>
      </c>
      <c r="T4" s="168" t="s">
        <v>67</v>
      </c>
      <c r="U4" s="168"/>
      <c r="V4" s="168" t="s">
        <v>68</v>
      </c>
      <c r="W4" s="168"/>
      <c r="X4" s="168"/>
      <c r="Y4" s="168"/>
      <c r="Z4" s="161" t="s">
        <v>69</v>
      </c>
      <c r="AA4" s="161"/>
      <c r="AB4" s="161"/>
    </row>
    <row r="5" spans="1:46" ht="21.75" customHeight="1" x14ac:dyDescent="0.25">
      <c r="B5" s="168"/>
      <c r="C5" s="181"/>
      <c r="D5" s="168"/>
      <c r="E5" s="170"/>
      <c r="F5" s="168"/>
      <c r="G5" s="168"/>
      <c r="H5" s="168"/>
      <c r="I5" s="178"/>
      <c r="J5" s="155"/>
      <c r="K5" s="178"/>
      <c r="L5" s="155"/>
      <c r="M5" s="178"/>
      <c r="N5" s="155"/>
      <c r="O5" s="155"/>
      <c r="P5" s="155"/>
      <c r="Q5" s="155"/>
      <c r="R5" s="175"/>
      <c r="S5" s="168"/>
      <c r="T5" s="28" t="s">
        <v>70</v>
      </c>
      <c r="U5" s="29" t="s">
        <v>71</v>
      </c>
      <c r="V5" s="177" t="s">
        <v>72</v>
      </c>
      <c r="W5" s="162" t="s">
        <v>70</v>
      </c>
      <c r="X5" s="162"/>
      <c r="Y5" s="29">
        <v>0.3</v>
      </c>
      <c r="Z5" s="28"/>
      <c r="AA5" s="30"/>
      <c r="AB5" s="31"/>
      <c r="AC5" s="32"/>
    </row>
    <row r="6" spans="1:46" ht="15" customHeight="1" x14ac:dyDescent="0.25">
      <c r="B6" s="168"/>
      <c r="C6" s="181"/>
      <c r="D6" s="168"/>
      <c r="E6" s="170"/>
      <c r="F6" s="168"/>
      <c r="G6" s="168"/>
      <c r="H6" s="168"/>
      <c r="I6" s="178" t="s">
        <v>73</v>
      </c>
      <c r="J6" s="33" t="s">
        <v>74</v>
      </c>
      <c r="K6" s="178" t="s">
        <v>73</v>
      </c>
      <c r="L6" s="33" t="s">
        <v>74</v>
      </c>
      <c r="M6" s="178" t="s">
        <v>73</v>
      </c>
      <c r="N6" s="155" t="s">
        <v>75</v>
      </c>
      <c r="O6" s="155" t="s">
        <v>76</v>
      </c>
      <c r="P6" s="155"/>
      <c r="Q6" s="33" t="s">
        <v>77</v>
      </c>
      <c r="R6" s="175"/>
      <c r="S6" s="155" t="s">
        <v>78</v>
      </c>
      <c r="T6" s="155" t="s">
        <v>78</v>
      </c>
      <c r="U6" s="155" t="s">
        <v>79</v>
      </c>
      <c r="V6" s="177"/>
      <c r="W6" s="155" t="s">
        <v>78</v>
      </c>
      <c r="X6" s="155" t="s">
        <v>80</v>
      </c>
      <c r="Y6" s="155" t="s">
        <v>79</v>
      </c>
      <c r="Z6" s="155" t="s">
        <v>72</v>
      </c>
      <c r="AA6" s="168" t="s">
        <v>81</v>
      </c>
      <c r="AB6" s="168" t="s">
        <v>82</v>
      </c>
    </row>
    <row r="7" spans="1:46" ht="24" x14ac:dyDescent="0.25">
      <c r="B7" s="168"/>
      <c r="C7" s="181"/>
      <c r="D7" s="27"/>
      <c r="E7" s="170"/>
      <c r="F7" s="168"/>
      <c r="G7" s="168"/>
      <c r="H7" s="168"/>
      <c r="I7" s="178"/>
      <c r="J7" s="33"/>
      <c r="K7" s="178"/>
      <c r="L7" s="33"/>
      <c r="M7" s="178"/>
      <c r="N7" s="155"/>
      <c r="O7" s="27" t="s">
        <v>83</v>
      </c>
      <c r="P7" s="27" t="s">
        <v>84</v>
      </c>
      <c r="Q7" s="33"/>
      <c r="R7" s="175"/>
      <c r="S7" s="155"/>
      <c r="T7" s="155"/>
      <c r="U7" s="155"/>
      <c r="V7" s="177"/>
      <c r="W7" s="155"/>
      <c r="X7" s="155"/>
      <c r="Y7" s="155"/>
      <c r="Z7" s="155"/>
      <c r="AA7" s="168"/>
      <c r="AB7" s="168"/>
    </row>
    <row r="8" spans="1:46" s="34" customFormat="1" ht="114.75" x14ac:dyDescent="0.25">
      <c r="A8" s="34" t="str">
        <f t="shared" ref="A8:A15" si="0">UPPER(M8)</f>
        <v xml:space="preserve"> FELIPE QUEIROGA GADELHA</v>
      </c>
      <c r="B8" s="35" t="s">
        <v>85</v>
      </c>
      <c r="C8" s="69">
        <v>44110</v>
      </c>
      <c r="D8" s="36"/>
      <c r="E8" s="35" t="s">
        <v>315</v>
      </c>
      <c r="F8" s="37" t="s">
        <v>418</v>
      </c>
      <c r="G8" s="38" t="s">
        <v>312</v>
      </c>
      <c r="H8" s="38"/>
      <c r="I8" s="37" t="s">
        <v>313</v>
      </c>
      <c r="J8" s="39"/>
      <c r="K8" s="37" t="s">
        <v>314</v>
      </c>
      <c r="L8" s="39"/>
      <c r="M8" s="37" t="s">
        <v>316</v>
      </c>
      <c r="N8" s="38" t="s">
        <v>317</v>
      </c>
      <c r="O8" s="38" t="s">
        <v>93</v>
      </c>
      <c r="P8" s="7" t="s">
        <v>27</v>
      </c>
      <c r="Q8" s="39" t="s">
        <v>87</v>
      </c>
      <c r="R8" s="39">
        <v>11</v>
      </c>
      <c r="S8" s="40">
        <f t="shared" ref="S8:S39" si="1">IF(R8="","",IF(R8=1,300,IF(R8=2,370,IF(R8=3,630,IF(R8=4,830,IF(R8=5,370,IF(R8=6,430,IF(R8=7,530,IF(R8=8,370,IF(R8=9,700,IF(R8=10,870,IF(R8=11,370,IF(R8=12,370,IF(R8=13,370,IF(R8=13,370,IF(R8=14,370,IF(R8=15,370,IF(R8=16,300,IF(R8=17,300,IF(R8=18,170,IF(R8=19,330)))))))))))))))))))))</f>
        <v>370</v>
      </c>
      <c r="T8" s="41">
        <v>370</v>
      </c>
      <c r="U8" s="42" t="str">
        <f t="shared" ref="U8:U71" si="2">IF(R8="","",IF(T8&gt;(5*S8),"ACIMA","OK"))</f>
        <v>OK</v>
      </c>
      <c r="V8" s="36"/>
      <c r="W8" s="41"/>
      <c r="X8" s="42" t="str">
        <f t="shared" ref="X8:X26" si="3">IF(W8="","",W8/T8)</f>
        <v/>
      </c>
      <c r="Y8" s="42" t="str">
        <f t="shared" ref="Y8:Y71" si="4">IF(X8="","",IF(X8&gt;$Y$5,"ACIMA","OK"))</f>
        <v/>
      </c>
      <c r="Z8" s="36">
        <v>44235</v>
      </c>
      <c r="AA8" s="40">
        <f>IF(R8="","",T8-W8)</f>
        <v>370</v>
      </c>
      <c r="AB8" s="43">
        <f>IF(R8="","",IF(AND(R8&gt;0,Z8=""),AA8,T8-(W8+AA8)))</f>
        <v>0</v>
      </c>
      <c r="AE8" s="44"/>
    </row>
    <row r="9" spans="1:46" ht="38.25" x14ac:dyDescent="0.25">
      <c r="A9" s="34" t="str">
        <f t="shared" si="0"/>
        <v>FELIPE QUEIROGA GADELHA</v>
      </c>
      <c r="B9" s="45" t="s">
        <v>88</v>
      </c>
      <c r="C9" s="70"/>
      <c r="D9" s="46"/>
      <c r="E9" s="45" t="s">
        <v>318</v>
      </c>
      <c r="F9" s="47"/>
      <c r="G9" s="48" t="s">
        <v>319</v>
      </c>
      <c r="H9" s="48"/>
      <c r="I9" s="47"/>
      <c r="J9" s="49"/>
      <c r="K9" s="47"/>
      <c r="L9" s="49"/>
      <c r="M9" s="47" t="s">
        <v>335</v>
      </c>
      <c r="N9" s="49" t="s">
        <v>317</v>
      </c>
      <c r="O9" s="48"/>
      <c r="P9" s="48"/>
      <c r="Q9" s="49" t="s">
        <v>91</v>
      </c>
      <c r="R9" s="49"/>
      <c r="S9" s="50" t="str">
        <f t="shared" si="1"/>
        <v/>
      </c>
      <c r="T9" s="51"/>
      <c r="U9" s="50" t="str">
        <f t="shared" si="2"/>
        <v/>
      </c>
      <c r="V9" s="46"/>
      <c r="W9" s="51"/>
      <c r="X9" s="52" t="str">
        <f t="shared" si="3"/>
        <v/>
      </c>
      <c r="Y9" s="52" t="str">
        <f t="shared" si="4"/>
        <v/>
      </c>
      <c r="Z9" s="46"/>
      <c r="AA9" s="50" t="str">
        <f>IF(R9="","",T9-W9)</f>
        <v/>
      </c>
      <c r="AB9" s="53" t="str">
        <f>IF(R9="","",IF(AND(R9&gt;0,Z9=""),AA9,T9-(W9+AA9)))</f>
        <v/>
      </c>
    </row>
    <row r="10" spans="1:46" ht="51" x14ac:dyDescent="0.25">
      <c r="A10" s="34" t="str">
        <f t="shared" si="0"/>
        <v>ANDRE CRISTIANO DA COSTA LIMA</v>
      </c>
      <c r="B10" s="35" t="s">
        <v>92</v>
      </c>
      <c r="C10" s="69"/>
      <c r="D10" s="36"/>
      <c r="E10" s="35" t="s">
        <v>321</v>
      </c>
      <c r="F10" s="37"/>
      <c r="G10" s="38" t="s">
        <v>322</v>
      </c>
      <c r="H10" s="38"/>
      <c r="I10" s="37"/>
      <c r="J10" s="39"/>
      <c r="K10" s="37"/>
      <c r="L10" s="39"/>
      <c r="M10" s="37" t="s">
        <v>327</v>
      </c>
      <c r="N10" s="38" t="s">
        <v>317</v>
      </c>
      <c r="O10" s="38"/>
      <c r="P10" s="38"/>
      <c r="Q10" s="39" t="s">
        <v>91</v>
      </c>
      <c r="R10" s="39"/>
      <c r="S10" s="40" t="str">
        <f t="shared" si="1"/>
        <v/>
      </c>
      <c r="T10" s="41"/>
      <c r="U10" s="42" t="str">
        <f t="shared" si="2"/>
        <v/>
      </c>
      <c r="V10" s="36"/>
      <c r="W10" s="41"/>
      <c r="X10" s="42" t="str">
        <f t="shared" si="3"/>
        <v/>
      </c>
      <c r="Y10" s="42" t="str">
        <f t="shared" si="4"/>
        <v/>
      </c>
      <c r="Z10" s="36">
        <v>44270</v>
      </c>
      <c r="AA10" s="40" t="str">
        <f>IF(R10="","",T10-W10)</f>
        <v/>
      </c>
      <c r="AB10" s="43" t="str">
        <f>IF(R10="","",IF(AND(R10&gt;0,Z10=""),AA10,T10-(W10+AA10)))</f>
        <v/>
      </c>
    </row>
    <row r="11" spans="1:46" ht="25.5" customHeight="1" x14ac:dyDescent="0.25">
      <c r="A11" s="34" t="str">
        <f t="shared" si="0"/>
        <v xml:space="preserve"> FELIPE QUEIROGA GADELHA</v>
      </c>
      <c r="B11" s="45" t="s">
        <v>94</v>
      </c>
      <c r="C11" s="70"/>
      <c r="D11" s="46"/>
      <c r="E11" s="45" t="s">
        <v>323</v>
      </c>
      <c r="F11" s="47"/>
      <c r="G11" s="48" t="s">
        <v>324</v>
      </c>
      <c r="H11" s="49"/>
      <c r="I11" s="47"/>
      <c r="J11" s="49"/>
      <c r="K11" s="47"/>
      <c r="L11" s="49"/>
      <c r="M11" s="47" t="s">
        <v>316</v>
      </c>
      <c r="N11" s="48"/>
      <c r="O11" s="48"/>
      <c r="P11" s="48"/>
      <c r="Q11" s="49" t="s">
        <v>91</v>
      </c>
      <c r="R11" s="49"/>
      <c r="S11" s="50" t="str">
        <f t="shared" si="1"/>
        <v/>
      </c>
      <c r="T11" s="51"/>
      <c r="U11" s="50" t="str">
        <f t="shared" si="2"/>
        <v/>
      </c>
      <c r="V11" s="46"/>
      <c r="W11" s="51"/>
      <c r="X11" s="52" t="str">
        <f t="shared" si="3"/>
        <v/>
      </c>
      <c r="Y11" s="52" t="str">
        <f t="shared" si="4"/>
        <v/>
      </c>
      <c r="Z11" s="46"/>
      <c r="AA11" s="50" t="str">
        <f>IF(R11="","",T11-W11)</f>
        <v/>
      </c>
      <c r="AB11" s="53" t="str">
        <f>IF(R11="","",IF(AND(R11&gt;0,Z11=""),AA11,T11-(W11+AA11)))</f>
        <v/>
      </c>
    </row>
    <row r="12" spans="1:46" ht="38.25" x14ac:dyDescent="0.25">
      <c r="A12" s="34" t="str">
        <f t="shared" si="0"/>
        <v>LUCIANO JOSE LIRA MENDES</v>
      </c>
      <c r="B12" s="35" t="s">
        <v>96</v>
      </c>
      <c r="C12" s="69"/>
      <c r="D12" s="36"/>
      <c r="E12" s="35" t="s">
        <v>325</v>
      </c>
      <c r="F12" s="37"/>
      <c r="G12" s="38" t="s">
        <v>326</v>
      </c>
      <c r="H12" s="38"/>
      <c r="I12" s="37"/>
      <c r="J12" s="39"/>
      <c r="K12" s="37"/>
      <c r="L12" s="39"/>
      <c r="M12" s="37" t="s">
        <v>328</v>
      </c>
      <c r="N12" s="38"/>
      <c r="O12" s="38"/>
      <c r="P12" s="38"/>
      <c r="Q12" s="49" t="s">
        <v>91</v>
      </c>
      <c r="R12" s="39"/>
      <c r="S12" s="40" t="str">
        <f t="shared" si="1"/>
        <v/>
      </c>
      <c r="T12" s="41"/>
      <c r="U12" s="42" t="str">
        <f t="shared" si="2"/>
        <v/>
      </c>
      <c r="V12" s="36"/>
      <c r="W12" s="41"/>
      <c r="X12" s="42" t="str">
        <f t="shared" si="3"/>
        <v/>
      </c>
      <c r="Y12" s="42" t="str">
        <f t="shared" si="4"/>
        <v/>
      </c>
      <c r="Z12" s="36"/>
      <c r="AA12" s="40" t="str">
        <f>IF(R12="","",T12-W12)</f>
        <v/>
      </c>
      <c r="AB12" s="43" t="str">
        <f>IF(R12="","",IF(AND(R12&gt;0,Z12=""),AA12,T12-(W12+AA12)))</f>
        <v/>
      </c>
    </row>
    <row r="13" spans="1:46" ht="25.5" customHeight="1" x14ac:dyDescent="0.25">
      <c r="A13" s="34" t="str">
        <f t="shared" si="0"/>
        <v>ANA ELIZABETH ARAUJO LUNA</v>
      </c>
      <c r="B13" s="45" t="s">
        <v>97</v>
      </c>
      <c r="C13" s="70"/>
      <c r="D13" s="46"/>
      <c r="E13" s="45" t="s">
        <v>329</v>
      </c>
      <c r="F13" s="46"/>
      <c r="G13" s="48" t="s">
        <v>330</v>
      </c>
      <c r="H13" s="49"/>
      <c r="I13" s="47"/>
      <c r="J13" s="49"/>
      <c r="K13" s="47"/>
      <c r="L13" s="49"/>
      <c r="M13" s="47" t="s">
        <v>331</v>
      </c>
      <c r="N13" s="48" t="s">
        <v>332</v>
      </c>
      <c r="O13" s="49"/>
      <c r="P13" s="49"/>
      <c r="Q13" s="49" t="s">
        <v>98</v>
      </c>
      <c r="R13" s="49"/>
      <c r="S13" s="50" t="str">
        <f t="shared" si="1"/>
        <v/>
      </c>
      <c r="T13" s="51"/>
      <c r="U13" s="50" t="str">
        <f t="shared" si="2"/>
        <v/>
      </c>
      <c r="V13" s="46"/>
      <c r="W13" s="51"/>
      <c r="X13" s="52" t="str">
        <f t="shared" si="3"/>
        <v/>
      </c>
      <c r="Y13" s="52" t="str">
        <f t="shared" si="4"/>
        <v/>
      </c>
      <c r="Z13" s="46"/>
      <c r="AA13" s="50" t="str">
        <f t="shared" ref="AA13:AA32" si="5">IF(R13="","",T13-W13)</f>
        <v/>
      </c>
      <c r="AB13" s="53" t="str">
        <f t="shared" ref="AB13:AB32" si="6">IF(R13="","",IF(AND(R13&gt;0,Z13=""),AA13,T13-(W13+AA13)))</f>
        <v/>
      </c>
    </row>
    <row r="14" spans="1:46" ht="38.25" x14ac:dyDescent="0.25">
      <c r="A14" s="34" t="str">
        <f t="shared" si="0"/>
        <v>FELIPE QUEIROGA GADELHA</v>
      </c>
      <c r="B14" s="35" t="s">
        <v>99</v>
      </c>
      <c r="C14" s="69"/>
      <c r="D14" s="36"/>
      <c r="E14" s="35" t="s">
        <v>333</v>
      </c>
      <c r="F14" s="36"/>
      <c r="G14" s="38" t="s">
        <v>334</v>
      </c>
      <c r="H14" s="38"/>
      <c r="I14" s="37"/>
      <c r="J14" s="39"/>
      <c r="K14" s="37"/>
      <c r="L14" s="39"/>
      <c r="M14" s="37" t="s">
        <v>335</v>
      </c>
      <c r="N14" s="38" t="s">
        <v>317</v>
      </c>
      <c r="O14" s="39"/>
      <c r="P14" s="39"/>
      <c r="Q14" s="39" t="s">
        <v>98</v>
      </c>
      <c r="R14" s="39"/>
      <c r="S14" s="40" t="str">
        <f t="shared" si="1"/>
        <v/>
      </c>
      <c r="T14" s="41"/>
      <c r="U14" s="42" t="str">
        <f t="shared" si="2"/>
        <v/>
      </c>
      <c r="V14" s="36"/>
      <c r="W14" s="41"/>
      <c r="X14" s="42" t="str">
        <f t="shared" si="3"/>
        <v/>
      </c>
      <c r="Y14" s="42" t="str">
        <f t="shared" si="4"/>
        <v/>
      </c>
      <c r="Z14" s="36"/>
      <c r="AA14" s="40" t="str">
        <f t="shared" si="5"/>
        <v/>
      </c>
      <c r="AB14" s="43" t="str">
        <f t="shared" si="6"/>
        <v/>
      </c>
      <c r="AT14" s="34" t="s">
        <v>100</v>
      </c>
    </row>
    <row r="15" spans="1:46" ht="51" x14ac:dyDescent="0.25">
      <c r="A15" s="34" t="str">
        <f t="shared" si="0"/>
        <v>ANA ELIZABETH ARAUJO LUNA</v>
      </c>
      <c r="B15" s="45" t="s">
        <v>101</v>
      </c>
      <c r="C15" s="70"/>
      <c r="D15" s="46"/>
      <c r="E15" s="45" t="s">
        <v>336</v>
      </c>
      <c r="F15" s="46"/>
      <c r="G15" s="48" t="s">
        <v>337</v>
      </c>
      <c r="H15" s="48"/>
      <c r="I15" s="47"/>
      <c r="J15" s="49"/>
      <c r="K15" s="45"/>
      <c r="L15" s="49"/>
      <c r="M15" s="47" t="s">
        <v>331</v>
      </c>
      <c r="N15" s="49" t="s">
        <v>332</v>
      </c>
      <c r="O15" s="49"/>
      <c r="P15" s="49"/>
      <c r="Q15" s="49" t="s">
        <v>98</v>
      </c>
      <c r="R15" s="49"/>
      <c r="S15" s="50" t="str">
        <f t="shared" si="1"/>
        <v/>
      </c>
      <c r="T15" s="51"/>
      <c r="U15" s="50" t="str">
        <f t="shared" si="2"/>
        <v/>
      </c>
      <c r="V15" s="46"/>
      <c r="W15" s="51"/>
      <c r="X15" s="52" t="str">
        <f t="shared" si="3"/>
        <v/>
      </c>
      <c r="Y15" s="52" t="str">
        <f t="shared" si="4"/>
        <v/>
      </c>
      <c r="Z15" s="46"/>
      <c r="AA15" s="50" t="str">
        <f t="shared" si="5"/>
        <v/>
      </c>
      <c r="AB15" s="53" t="str">
        <f t="shared" si="6"/>
        <v/>
      </c>
    </row>
    <row r="16" spans="1:46" ht="38.25" x14ac:dyDescent="0.25">
      <c r="A16" s="34"/>
      <c r="B16" s="35" t="s">
        <v>102</v>
      </c>
      <c r="C16" s="69"/>
      <c r="D16" s="36"/>
      <c r="E16" s="35" t="s">
        <v>338</v>
      </c>
      <c r="F16" s="36"/>
      <c r="G16" s="38" t="s">
        <v>339</v>
      </c>
      <c r="H16" s="38"/>
      <c r="I16" s="37"/>
      <c r="J16" s="39"/>
      <c r="K16" s="37"/>
      <c r="L16" s="39"/>
      <c r="M16" s="37" t="s">
        <v>340</v>
      </c>
      <c r="N16" s="38"/>
      <c r="O16" s="39"/>
      <c r="P16" s="39"/>
      <c r="Q16" s="39" t="s">
        <v>98</v>
      </c>
      <c r="R16" s="39"/>
      <c r="S16" s="40" t="str">
        <f t="shared" si="1"/>
        <v/>
      </c>
      <c r="T16" s="41"/>
      <c r="U16" s="42" t="str">
        <f t="shared" si="2"/>
        <v/>
      </c>
      <c r="V16" s="36"/>
      <c r="W16" s="41"/>
      <c r="X16" s="42" t="str">
        <f t="shared" si="3"/>
        <v/>
      </c>
      <c r="Y16" s="42" t="str">
        <f t="shared" si="4"/>
        <v/>
      </c>
      <c r="Z16" s="36"/>
      <c r="AA16" s="40" t="str">
        <f t="shared" si="5"/>
        <v/>
      </c>
      <c r="AB16" s="43" t="str">
        <f t="shared" si="6"/>
        <v/>
      </c>
    </row>
    <row r="17" spans="1:28" ht="38.25" x14ac:dyDescent="0.25">
      <c r="A17" s="34"/>
      <c r="B17" s="45" t="s">
        <v>103</v>
      </c>
      <c r="C17" s="70"/>
      <c r="D17" s="46"/>
      <c r="E17" s="45" t="s">
        <v>341</v>
      </c>
      <c r="F17" s="46"/>
      <c r="G17" s="48" t="s">
        <v>342</v>
      </c>
      <c r="H17" s="49"/>
      <c r="I17" s="47"/>
      <c r="J17" s="49"/>
      <c r="K17" s="47"/>
      <c r="L17" s="49"/>
      <c r="M17" s="47" t="s">
        <v>316</v>
      </c>
      <c r="N17" s="49" t="s">
        <v>317</v>
      </c>
      <c r="O17" s="49"/>
      <c r="P17" s="49"/>
      <c r="Q17" s="49" t="s">
        <v>98</v>
      </c>
      <c r="R17" s="49"/>
      <c r="S17" s="50" t="str">
        <f t="shared" si="1"/>
        <v/>
      </c>
      <c r="T17" s="51"/>
      <c r="U17" s="50" t="str">
        <f t="shared" si="2"/>
        <v/>
      </c>
      <c r="V17" s="46"/>
      <c r="W17" s="51"/>
      <c r="X17" s="52" t="str">
        <f t="shared" si="3"/>
        <v/>
      </c>
      <c r="Y17" s="52" t="str">
        <f t="shared" si="4"/>
        <v/>
      </c>
      <c r="Z17" s="46"/>
      <c r="AA17" s="50" t="str">
        <f t="shared" si="5"/>
        <v/>
      </c>
      <c r="AB17" s="53" t="str">
        <f t="shared" si="6"/>
        <v/>
      </c>
    </row>
    <row r="18" spans="1:28" ht="38.25" x14ac:dyDescent="0.25">
      <c r="A18" s="34"/>
      <c r="B18" s="35" t="s">
        <v>104</v>
      </c>
      <c r="C18" s="69"/>
      <c r="D18" s="36"/>
      <c r="E18" s="35" t="s">
        <v>343</v>
      </c>
      <c r="F18" s="36"/>
      <c r="G18" s="38" t="s">
        <v>344</v>
      </c>
      <c r="H18" s="38"/>
      <c r="I18" s="37"/>
      <c r="J18" s="39"/>
      <c r="K18" s="37"/>
      <c r="L18" s="39"/>
      <c r="M18" s="37" t="s">
        <v>345</v>
      </c>
      <c r="N18" s="38"/>
      <c r="O18" s="39"/>
      <c r="P18" s="39"/>
      <c r="Q18" s="49" t="s">
        <v>98</v>
      </c>
      <c r="R18" s="39"/>
      <c r="S18" s="40" t="str">
        <f t="shared" si="1"/>
        <v/>
      </c>
      <c r="T18" s="41"/>
      <c r="U18" s="42" t="str">
        <f t="shared" si="2"/>
        <v/>
      </c>
      <c r="V18" s="36"/>
      <c r="W18" s="41"/>
      <c r="X18" s="42" t="str">
        <f t="shared" si="3"/>
        <v/>
      </c>
      <c r="Y18" s="42" t="str">
        <f t="shared" si="4"/>
        <v/>
      </c>
      <c r="Z18" s="36"/>
      <c r="AA18" s="40" t="str">
        <f t="shared" si="5"/>
        <v/>
      </c>
      <c r="AB18" s="43" t="str">
        <f t="shared" si="6"/>
        <v/>
      </c>
    </row>
    <row r="19" spans="1:28" ht="51" x14ac:dyDescent="0.25">
      <c r="A19" s="34"/>
      <c r="B19" s="45" t="s">
        <v>105</v>
      </c>
      <c r="C19" s="70"/>
      <c r="D19" s="46"/>
      <c r="E19" s="45" t="s">
        <v>346</v>
      </c>
      <c r="F19" s="46"/>
      <c r="G19" s="48" t="s">
        <v>347</v>
      </c>
      <c r="H19" s="49"/>
      <c r="I19" s="47"/>
      <c r="J19" s="49"/>
      <c r="K19" s="47"/>
      <c r="L19" s="49"/>
      <c r="M19" s="47" t="s">
        <v>331</v>
      </c>
      <c r="N19" s="49" t="s">
        <v>332</v>
      </c>
      <c r="O19" s="49"/>
      <c r="P19" s="49"/>
      <c r="Q19" s="49" t="s">
        <v>98</v>
      </c>
      <c r="R19" s="49"/>
      <c r="S19" s="50" t="str">
        <f t="shared" si="1"/>
        <v/>
      </c>
      <c r="T19" s="51"/>
      <c r="U19" s="50" t="str">
        <f t="shared" si="2"/>
        <v/>
      </c>
      <c r="V19" s="46"/>
      <c r="W19" s="51"/>
      <c r="X19" s="52" t="str">
        <f t="shared" si="3"/>
        <v/>
      </c>
      <c r="Y19" s="52" t="str">
        <f t="shared" si="4"/>
        <v/>
      </c>
      <c r="Z19" s="46"/>
      <c r="AA19" s="50" t="str">
        <f t="shared" si="5"/>
        <v/>
      </c>
      <c r="AB19" s="53" t="str">
        <f t="shared" si="6"/>
        <v/>
      </c>
    </row>
    <row r="20" spans="1:28" ht="51" x14ac:dyDescent="0.25">
      <c r="A20" s="34"/>
      <c r="B20" s="35" t="s">
        <v>106</v>
      </c>
      <c r="C20" s="69"/>
      <c r="D20" s="36"/>
      <c r="E20" s="35" t="s">
        <v>348</v>
      </c>
      <c r="F20" s="36"/>
      <c r="G20" s="38" t="s">
        <v>349</v>
      </c>
      <c r="H20" s="38"/>
      <c r="I20" s="37"/>
      <c r="J20" s="39"/>
      <c r="K20" s="37"/>
      <c r="L20" s="39"/>
      <c r="M20" s="38" t="s">
        <v>331</v>
      </c>
      <c r="N20" s="38"/>
      <c r="O20" s="39"/>
      <c r="P20" s="39"/>
      <c r="Q20" s="39" t="s">
        <v>98</v>
      </c>
      <c r="R20" s="39"/>
      <c r="S20" s="40" t="str">
        <f t="shared" si="1"/>
        <v/>
      </c>
      <c r="T20" s="41"/>
      <c r="U20" s="42" t="str">
        <f t="shared" si="2"/>
        <v/>
      </c>
      <c r="V20" s="36"/>
      <c r="W20" s="41"/>
      <c r="X20" s="42" t="str">
        <f t="shared" si="3"/>
        <v/>
      </c>
      <c r="Y20" s="42" t="str">
        <f t="shared" si="4"/>
        <v/>
      </c>
      <c r="Z20" s="36"/>
      <c r="AA20" s="40" t="str">
        <f t="shared" si="5"/>
        <v/>
      </c>
      <c r="AB20" s="43" t="str">
        <f t="shared" si="6"/>
        <v/>
      </c>
    </row>
    <row r="21" spans="1:28" ht="38.25" x14ac:dyDescent="0.25">
      <c r="A21" s="34"/>
      <c r="B21" s="45" t="s">
        <v>107</v>
      </c>
      <c r="C21" s="70"/>
      <c r="D21" s="46"/>
      <c r="E21" s="45" t="s">
        <v>350</v>
      </c>
      <c r="F21" s="46"/>
      <c r="G21" s="48" t="s">
        <v>351</v>
      </c>
      <c r="H21" s="48"/>
      <c r="I21" s="47"/>
      <c r="J21" s="49"/>
      <c r="K21" s="45"/>
      <c r="L21" s="49"/>
      <c r="M21" s="47" t="s">
        <v>352</v>
      </c>
      <c r="N21" s="49"/>
      <c r="O21" s="49"/>
      <c r="P21" s="49"/>
      <c r="Q21" s="49" t="s">
        <v>98</v>
      </c>
      <c r="R21" s="49"/>
      <c r="S21" s="50" t="str">
        <f t="shared" si="1"/>
        <v/>
      </c>
      <c r="T21" s="51"/>
      <c r="U21" s="50" t="str">
        <f t="shared" si="2"/>
        <v/>
      </c>
      <c r="V21" s="46"/>
      <c r="W21" s="51"/>
      <c r="X21" s="52" t="str">
        <f t="shared" si="3"/>
        <v/>
      </c>
      <c r="Y21" s="52" t="str">
        <f t="shared" si="4"/>
        <v/>
      </c>
      <c r="Z21" s="46"/>
      <c r="AA21" s="50" t="str">
        <f t="shared" si="5"/>
        <v/>
      </c>
      <c r="AB21" s="53" t="str">
        <f t="shared" si="6"/>
        <v/>
      </c>
    </row>
    <row r="22" spans="1:28" ht="38.25" x14ac:dyDescent="0.25">
      <c r="A22" s="34"/>
      <c r="B22" s="35" t="s">
        <v>108</v>
      </c>
      <c r="C22" s="69"/>
      <c r="D22" s="36"/>
      <c r="E22" s="35" t="s">
        <v>353</v>
      </c>
      <c r="F22" s="36"/>
      <c r="G22" s="38" t="s">
        <v>354</v>
      </c>
      <c r="H22" s="38"/>
      <c r="I22" s="37"/>
      <c r="J22" s="39"/>
      <c r="K22" s="37"/>
      <c r="L22" s="39"/>
      <c r="M22" s="37" t="s">
        <v>355</v>
      </c>
      <c r="N22" s="38" t="s">
        <v>356</v>
      </c>
      <c r="O22" s="39"/>
      <c r="P22" s="39"/>
      <c r="Q22" s="39" t="s">
        <v>98</v>
      </c>
      <c r="R22" s="39"/>
      <c r="S22" s="40" t="str">
        <f t="shared" si="1"/>
        <v/>
      </c>
      <c r="T22" s="41"/>
      <c r="U22" s="42" t="str">
        <f t="shared" si="2"/>
        <v/>
      </c>
      <c r="V22" s="36"/>
      <c r="W22" s="41"/>
      <c r="X22" s="42" t="str">
        <f t="shared" si="3"/>
        <v/>
      </c>
      <c r="Y22" s="42" t="str">
        <f t="shared" si="4"/>
        <v/>
      </c>
      <c r="Z22" s="36"/>
      <c r="AA22" s="40" t="str">
        <f t="shared" si="5"/>
        <v/>
      </c>
      <c r="AB22" s="43" t="str">
        <f t="shared" si="6"/>
        <v/>
      </c>
    </row>
    <row r="23" spans="1:28" ht="38.25" x14ac:dyDescent="0.25">
      <c r="A23" s="34"/>
      <c r="B23" s="45" t="s">
        <v>109</v>
      </c>
      <c r="C23" s="70"/>
      <c r="D23" s="46"/>
      <c r="E23" s="45" t="s">
        <v>357</v>
      </c>
      <c r="F23" s="46"/>
      <c r="G23" s="48" t="s">
        <v>358</v>
      </c>
      <c r="H23" s="49"/>
      <c r="I23" s="47"/>
      <c r="J23" s="49"/>
      <c r="K23" s="47"/>
      <c r="L23" s="49"/>
      <c r="M23" s="47" t="s">
        <v>316</v>
      </c>
      <c r="N23" s="48"/>
      <c r="O23" s="49"/>
      <c r="P23" s="49"/>
      <c r="Q23" s="49" t="s">
        <v>98</v>
      </c>
      <c r="R23" s="49"/>
      <c r="S23" s="50" t="str">
        <f t="shared" si="1"/>
        <v/>
      </c>
      <c r="T23" s="51"/>
      <c r="U23" s="50" t="str">
        <f t="shared" si="2"/>
        <v/>
      </c>
      <c r="V23" s="46"/>
      <c r="W23" s="51"/>
      <c r="X23" s="52" t="str">
        <f t="shared" si="3"/>
        <v/>
      </c>
      <c r="Y23" s="52" t="str">
        <f t="shared" si="4"/>
        <v/>
      </c>
      <c r="Z23" s="46"/>
      <c r="AA23" s="50" t="str">
        <f t="shared" si="5"/>
        <v/>
      </c>
      <c r="AB23" s="53" t="str">
        <f t="shared" si="6"/>
        <v/>
      </c>
    </row>
    <row r="24" spans="1:28" ht="25.5" x14ac:dyDescent="0.25">
      <c r="A24" s="34"/>
      <c r="B24" s="35" t="s">
        <v>110</v>
      </c>
      <c r="C24" s="69"/>
      <c r="D24" s="36"/>
      <c r="E24" s="35" t="s">
        <v>359</v>
      </c>
      <c r="F24" s="36"/>
      <c r="G24" s="38" t="s">
        <v>360</v>
      </c>
      <c r="H24" s="38"/>
      <c r="I24" s="37"/>
      <c r="J24" s="39"/>
      <c r="K24" s="37"/>
      <c r="L24" s="39"/>
      <c r="M24" s="38"/>
      <c r="N24" s="38" t="s">
        <v>317</v>
      </c>
      <c r="O24" s="39"/>
      <c r="P24" s="39"/>
      <c r="Q24" s="49" t="s">
        <v>98</v>
      </c>
      <c r="R24" s="39"/>
      <c r="S24" s="40" t="str">
        <f t="shared" si="1"/>
        <v/>
      </c>
      <c r="T24" s="41"/>
      <c r="U24" s="42" t="str">
        <f t="shared" si="2"/>
        <v/>
      </c>
      <c r="V24" s="36"/>
      <c r="W24" s="41"/>
      <c r="X24" s="42" t="str">
        <f t="shared" si="3"/>
        <v/>
      </c>
      <c r="Y24" s="42" t="str">
        <f t="shared" si="4"/>
        <v/>
      </c>
      <c r="Z24" s="36"/>
      <c r="AA24" s="40" t="str">
        <f t="shared" si="5"/>
        <v/>
      </c>
      <c r="AB24" s="43" t="str">
        <f t="shared" si="6"/>
        <v/>
      </c>
    </row>
    <row r="25" spans="1:28" ht="38.25" x14ac:dyDescent="0.25">
      <c r="A25" s="34"/>
      <c r="B25" s="45" t="s">
        <v>111</v>
      </c>
      <c r="C25" s="70"/>
      <c r="D25" s="46"/>
      <c r="E25" s="45" t="s">
        <v>361</v>
      </c>
      <c r="F25" s="46"/>
      <c r="G25" s="48" t="s">
        <v>362</v>
      </c>
      <c r="H25" s="49"/>
      <c r="I25" s="47"/>
      <c r="J25" s="49"/>
      <c r="K25" s="47"/>
      <c r="L25" s="49"/>
      <c r="M25" s="47" t="s">
        <v>316</v>
      </c>
      <c r="N25" s="48"/>
      <c r="O25" s="49"/>
      <c r="P25" s="49"/>
      <c r="Q25" s="49" t="s">
        <v>98</v>
      </c>
      <c r="R25" s="49"/>
      <c r="S25" s="50" t="str">
        <f t="shared" si="1"/>
        <v/>
      </c>
      <c r="T25" s="51"/>
      <c r="U25" s="50" t="str">
        <f t="shared" si="2"/>
        <v/>
      </c>
      <c r="V25" s="46"/>
      <c r="W25" s="51"/>
      <c r="X25" s="52" t="str">
        <f t="shared" si="3"/>
        <v/>
      </c>
      <c r="Y25" s="52" t="str">
        <f t="shared" si="4"/>
        <v/>
      </c>
      <c r="Z25" s="46"/>
      <c r="AA25" s="50" t="str">
        <f t="shared" si="5"/>
        <v/>
      </c>
      <c r="AB25" s="53" t="str">
        <f t="shared" si="6"/>
        <v/>
      </c>
    </row>
    <row r="26" spans="1:28" ht="25.5" x14ac:dyDescent="0.25">
      <c r="A26" s="34"/>
      <c r="B26" s="35" t="s">
        <v>112</v>
      </c>
      <c r="C26" s="69"/>
      <c r="D26" s="36"/>
      <c r="E26" s="35" t="s">
        <v>363</v>
      </c>
      <c r="F26" s="36"/>
      <c r="G26" s="38" t="s">
        <v>364</v>
      </c>
      <c r="H26" s="38"/>
      <c r="I26" s="37"/>
      <c r="J26" s="39"/>
      <c r="K26" s="37"/>
      <c r="L26" s="39"/>
      <c r="M26" s="38"/>
      <c r="N26" s="38" t="s">
        <v>317</v>
      </c>
      <c r="O26" s="39"/>
      <c r="P26" s="39"/>
      <c r="Q26" s="39" t="s">
        <v>98</v>
      </c>
      <c r="R26" s="39"/>
      <c r="S26" s="40" t="str">
        <f t="shared" si="1"/>
        <v/>
      </c>
      <c r="T26" s="41"/>
      <c r="U26" s="42" t="str">
        <f t="shared" si="2"/>
        <v/>
      </c>
      <c r="V26" s="36"/>
      <c r="W26" s="41"/>
      <c r="X26" s="42" t="str">
        <f t="shared" si="3"/>
        <v/>
      </c>
      <c r="Y26" s="42" t="str">
        <f t="shared" si="4"/>
        <v/>
      </c>
      <c r="Z26" s="36"/>
      <c r="AA26" s="40" t="str">
        <f t="shared" si="5"/>
        <v/>
      </c>
      <c r="AB26" s="43" t="str">
        <f t="shared" si="6"/>
        <v/>
      </c>
    </row>
    <row r="27" spans="1:28" ht="38.25" x14ac:dyDescent="0.25">
      <c r="A27" s="34"/>
      <c r="B27" s="45" t="s">
        <v>113</v>
      </c>
      <c r="C27" s="70"/>
      <c r="D27" s="46"/>
      <c r="E27" s="45" t="s">
        <v>365</v>
      </c>
      <c r="F27" s="46"/>
      <c r="G27" s="48" t="s">
        <v>366</v>
      </c>
      <c r="H27" s="48"/>
      <c r="I27" s="47"/>
      <c r="J27" s="49"/>
      <c r="K27" s="45"/>
      <c r="L27" s="49"/>
      <c r="M27" s="47" t="s">
        <v>316</v>
      </c>
      <c r="N27" s="48"/>
      <c r="O27" s="49"/>
      <c r="P27" s="49"/>
      <c r="Q27" s="49" t="s">
        <v>98</v>
      </c>
      <c r="R27" s="49"/>
      <c r="S27" s="50" t="str">
        <f t="shared" si="1"/>
        <v/>
      </c>
      <c r="T27" s="51"/>
      <c r="U27" s="50" t="str">
        <f t="shared" si="2"/>
        <v/>
      </c>
      <c r="V27" s="46"/>
      <c r="W27" s="51"/>
      <c r="X27" s="52" t="s">
        <v>415</v>
      </c>
      <c r="Y27" s="52" t="s">
        <v>415</v>
      </c>
      <c r="Z27" s="46"/>
      <c r="AA27" s="50" t="str">
        <f t="shared" si="5"/>
        <v/>
      </c>
      <c r="AB27" s="53" t="str">
        <f t="shared" si="6"/>
        <v/>
      </c>
    </row>
    <row r="28" spans="1:28" ht="25.5" x14ac:dyDescent="0.25">
      <c r="A28" s="34"/>
      <c r="B28" s="35" t="s">
        <v>114</v>
      </c>
      <c r="C28" s="69"/>
      <c r="D28" s="36"/>
      <c r="E28" s="35" t="s">
        <v>367</v>
      </c>
      <c r="F28" s="36"/>
      <c r="G28" s="38" t="s">
        <v>368</v>
      </c>
      <c r="H28" s="38"/>
      <c r="I28" s="37"/>
      <c r="J28" s="39"/>
      <c r="K28" s="37"/>
      <c r="L28" s="39"/>
      <c r="M28" s="38"/>
      <c r="N28" s="38" t="s">
        <v>317</v>
      </c>
      <c r="O28" s="39"/>
      <c r="P28" s="39"/>
      <c r="Q28" s="39" t="s">
        <v>98</v>
      </c>
      <c r="R28" s="39"/>
      <c r="S28" s="40" t="str">
        <f t="shared" si="1"/>
        <v/>
      </c>
      <c r="T28" s="41"/>
      <c r="U28" s="42" t="str">
        <f t="shared" si="2"/>
        <v/>
      </c>
      <c r="V28" s="36"/>
      <c r="W28" s="41"/>
      <c r="X28" s="42" t="str">
        <f t="shared" ref="X28:X46" si="7">IF(W28="","",W28/T28)</f>
        <v/>
      </c>
      <c r="Y28" s="42" t="str">
        <f t="shared" si="4"/>
        <v/>
      </c>
      <c r="Z28" s="36"/>
      <c r="AA28" s="40" t="str">
        <f t="shared" si="5"/>
        <v/>
      </c>
      <c r="AB28" s="43" t="str">
        <f t="shared" si="6"/>
        <v/>
      </c>
    </row>
    <row r="29" spans="1:28" ht="38.25" x14ac:dyDescent="0.25">
      <c r="A29" s="34"/>
      <c r="B29" s="45" t="s">
        <v>115</v>
      </c>
      <c r="C29" s="70"/>
      <c r="D29" s="46"/>
      <c r="E29" s="45" t="s">
        <v>369</v>
      </c>
      <c r="F29" s="46"/>
      <c r="G29" s="48" t="s">
        <v>370</v>
      </c>
      <c r="H29" s="49"/>
      <c r="I29" s="47"/>
      <c r="J29" s="49"/>
      <c r="K29" s="47"/>
      <c r="L29" s="49"/>
      <c r="M29" s="47" t="s">
        <v>316</v>
      </c>
      <c r="N29" s="48"/>
      <c r="O29" s="49"/>
      <c r="P29" s="49"/>
      <c r="Q29" s="49" t="s">
        <v>98</v>
      </c>
      <c r="R29" s="49"/>
      <c r="S29" s="50" t="str">
        <f t="shared" si="1"/>
        <v/>
      </c>
      <c r="T29" s="51"/>
      <c r="U29" s="50" t="str">
        <f t="shared" si="2"/>
        <v/>
      </c>
      <c r="V29" s="46"/>
      <c r="W29" s="51"/>
      <c r="X29" s="52" t="str">
        <f t="shared" si="7"/>
        <v/>
      </c>
      <c r="Y29" s="52" t="str">
        <f t="shared" si="4"/>
        <v/>
      </c>
      <c r="Z29" s="46"/>
      <c r="AA29" s="50" t="str">
        <f t="shared" si="5"/>
        <v/>
      </c>
      <c r="AB29" s="53" t="str">
        <f t="shared" si="6"/>
        <v/>
      </c>
    </row>
    <row r="30" spans="1:28" ht="25.5" x14ac:dyDescent="0.25">
      <c r="A30" s="34"/>
      <c r="B30" s="35" t="s">
        <v>116</v>
      </c>
      <c r="C30" s="69"/>
      <c r="D30" s="36"/>
      <c r="E30" s="35" t="s">
        <v>371</v>
      </c>
      <c r="F30" s="36"/>
      <c r="G30" s="38" t="s">
        <v>372</v>
      </c>
      <c r="H30" s="38"/>
      <c r="I30" s="37"/>
      <c r="J30" s="39"/>
      <c r="K30" s="37"/>
      <c r="L30" s="39"/>
      <c r="M30" s="38"/>
      <c r="N30" s="38" t="s">
        <v>317</v>
      </c>
      <c r="O30" s="39"/>
      <c r="P30" s="39"/>
      <c r="Q30" s="49" t="s">
        <v>98</v>
      </c>
      <c r="R30" s="39"/>
      <c r="S30" s="40" t="str">
        <f t="shared" si="1"/>
        <v/>
      </c>
      <c r="T30" s="41"/>
      <c r="U30" s="42" t="str">
        <f t="shared" si="2"/>
        <v/>
      </c>
      <c r="V30" s="36"/>
      <c r="W30" s="41"/>
      <c r="X30" s="42" t="str">
        <f t="shared" si="7"/>
        <v/>
      </c>
      <c r="Y30" s="42" t="str">
        <f t="shared" si="4"/>
        <v/>
      </c>
      <c r="Z30" s="36"/>
      <c r="AA30" s="40" t="str">
        <f t="shared" si="5"/>
        <v/>
      </c>
      <c r="AB30" s="43" t="str">
        <f t="shared" si="6"/>
        <v/>
      </c>
    </row>
    <row r="31" spans="1:28" ht="38.25" x14ac:dyDescent="0.25">
      <c r="A31" s="34"/>
      <c r="B31" s="45" t="s">
        <v>117</v>
      </c>
      <c r="C31" s="70"/>
      <c r="D31" s="46"/>
      <c r="E31" s="45" t="s">
        <v>318</v>
      </c>
      <c r="F31" s="46"/>
      <c r="G31" s="48" t="s">
        <v>373</v>
      </c>
      <c r="H31" s="49"/>
      <c r="I31" s="47"/>
      <c r="J31" s="49"/>
      <c r="K31" s="47"/>
      <c r="L31" s="49"/>
      <c r="M31" s="47" t="s">
        <v>316</v>
      </c>
      <c r="N31" s="48"/>
      <c r="O31" s="49"/>
      <c r="P31" s="49"/>
      <c r="Q31" s="49" t="s">
        <v>98</v>
      </c>
      <c r="R31" s="49"/>
      <c r="S31" s="50" t="str">
        <f t="shared" si="1"/>
        <v/>
      </c>
      <c r="T31" s="51"/>
      <c r="U31" s="50" t="str">
        <f t="shared" si="2"/>
        <v/>
      </c>
      <c r="V31" s="46"/>
      <c r="W31" s="51"/>
      <c r="X31" s="52" t="str">
        <f t="shared" si="7"/>
        <v/>
      </c>
      <c r="Y31" s="52" t="str">
        <f t="shared" si="4"/>
        <v/>
      </c>
      <c r="Z31" s="46"/>
      <c r="AA31" s="50" t="str">
        <f t="shared" si="5"/>
        <v/>
      </c>
      <c r="AB31" s="53" t="str">
        <f t="shared" si="6"/>
        <v/>
      </c>
    </row>
    <row r="32" spans="1:28" ht="25.5" x14ac:dyDescent="0.25">
      <c r="A32" s="34"/>
      <c r="B32" s="35" t="s">
        <v>118</v>
      </c>
      <c r="C32" s="69"/>
      <c r="D32" s="36"/>
      <c r="E32" s="35" t="s">
        <v>374</v>
      </c>
      <c r="F32" s="36"/>
      <c r="G32" s="38" t="s">
        <v>375</v>
      </c>
      <c r="H32" s="38"/>
      <c r="I32" s="37"/>
      <c r="J32" s="39"/>
      <c r="K32" s="37"/>
      <c r="L32" s="39"/>
      <c r="M32" s="38"/>
      <c r="N32" s="38" t="s">
        <v>317</v>
      </c>
      <c r="O32" s="39"/>
      <c r="P32" s="39"/>
      <c r="Q32" s="39" t="s">
        <v>98</v>
      </c>
      <c r="R32" s="39"/>
      <c r="S32" s="40" t="str">
        <f t="shared" si="1"/>
        <v/>
      </c>
      <c r="T32" s="41"/>
      <c r="U32" s="42" t="str">
        <f t="shared" si="2"/>
        <v/>
      </c>
      <c r="V32" s="36"/>
      <c r="W32" s="41"/>
      <c r="X32" s="42" t="str">
        <f t="shared" si="7"/>
        <v/>
      </c>
      <c r="Y32" s="42" t="str">
        <f t="shared" si="4"/>
        <v/>
      </c>
      <c r="Z32" s="36"/>
      <c r="AA32" s="40" t="str">
        <f t="shared" si="5"/>
        <v/>
      </c>
      <c r="AB32" s="43" t="str">
        <f t="shared" si="6"/>
        <v/>
      </c>
    </row>
    <row r="33" spans="1:28" ht="38.25" x14ac:dyDescent="0.25">
      <c r="A33" s="34"/>
      <c r="B33" s="45" t="s">
        <v>119</v>
      </c>
      <c r="C33" s="70"/>
      <c r="D33" s="46"/>
      <c r="E33" s="45" t="s">
        <v>376</v>
      </c>
      <c r="F33" s="46"/>
      <c r="G33" s="48" t="s">
        <v>377</v>
      </c>
      <c r="H33" s="48"/>
      <c r="I33" s="47"/>
      <c r="J33" s="49"/>
      <c r="K33" s="45"/>
      <c r="L33" s="49"/>
      <c r="M33" s="47" t="s">
        <v>316</v>
      </c>
      <c r="N33" s="48"/>
      <c r="O33" s="49"/>
      <c r="P33" s="49"/>
      <c r="Q33" s="49" t="s">
        <v>98</v>
      </c>
      <c r="R33" s="49"/>
      <c r="S33" s="50" t="str">
        <f t="shared" si="1"/>
        <v/>
      </c>
      <c r="T33" s="51"/>
      <c r="U33" s="50" t="str">
        <f t="shared" si="2"/>
        <v/>
      </c>
      <c r="V33" s="46"/>
      <c r="W33" s="51"/>
      <c r="X33" s="52" t="str">
        <f t="shared" si="7"/>
        <v/>
      </c>
      <c r="Y33" s="52" t="str">
        <f t="shared" si="4"/>
        <v/>
      </c>
      <c r="Z33" s="46"/>
      <c r="AA33" s="50" t="str">
        <f t="shared" ref="AA33:AA68" si="8">IF(R33="","",T33-W33)</f>
        <v/>
      </c>
      <c r="AB33" s="53" t="str">
        <f t="shared" ref="AB33:AB68" si="9">IF(R33="","",IF(AND(R33&gt;0,Z33=""),AA33,T33-(W33+AA33)))</f>
        <v/>
      </c>
    </row>
    <row r="34" spans="1:28" ht="38.25" x14ac:dyDescent="0.25">
      <c r="A34" s="34"/>
      <c r="B34" s="35" t="s">
        <v>120</v>
      </c>
      <c r="C34" s="69"/>
      <c r="D34" s="36"/>
      <c r="E34" s="35" t="s">
        <v>378</v>
      </c>
      <c r="F34" s="36"/>
      <c r="G34" s="38" t="s">
        <v>379</v>
      </c>
      <c r="H34" s="38"/>
      <c r="I34" s="37"/>
      <c r="J34" s="39"/>
      <c r="K34" s="37"/>
      <c r="L34" s="39"/>
      <c r="M34" s="47" t="s">
        <v>316</v>
      </c>
      <c r="N34" s="38" t="s">
        <v>317</v>
      </c>
      <c r="O34" s="39"/>
      <c r="P34" s="39"/>
      <c r="Q34" s="39" t="s">
        <v>98</v>
      </c>
      <c r="R34" s="39"/>
      <c r="S34" s="40" t="str">
        <f t="shared" si="1"/>
        <v/>
      </c>
      <c r="T34" s="41"/>
      <c r="U34" s="42" t="str">
        <f t="shared" si="2"/>
        <v/>
      </c>
      <c r="V34" s="36"/>
      <c r="W34" s="41"/>
      <c r="X34" s="42" t="str">
        <f t="shared" si="7"/>
        <v/>
      </c>
      <c r="Y34" s="42" t="str">
        <f t="shared" si="4"/>
        <v/>
      </c>
      <c r="Z34" s="36"/>
      <c r="AA34" s="40" t="str">
        <f t="shared" si="8"/>
        <v/>
      </c>
      <c r="AB34" s="43" t="str">
        <f t="shared" si="9"/>
        <v/>
      </c>
    </row>
    <row r="35" spans="1:28" ht="51" x14ac:dyDescent="0.25">
      <c r="A35" s="34"/>
      <c r="B35" s="45" t="s">
        <v>121</v>
      </c>
      <c r="C35" s="70"/>
      <c r="D35" s="46"/>
      <c r="E35" s="45" t="s">
        <v>380</v>
      </c>
      <c r="F35" s="46"/>
      <c r="G35" s="48" t="s">
        <v>381</v>
      </c>
      <c r="H35" s="49"/>
      <c r="I35" s="47"/>
      <c r="J35" s="49"/>
      <c r="K35" s="47"/>
      <c r="L35" s="49"/>
      <c r="M35" s="47" t="s">
        <v>382</v>
      </c>
      <c r="N35" s="48"/>
      <c r="O35" s="49"/>
      <c r="P35" s="49"/>
      <c r="Q35" s="49" t="s">
        <v>98</v>
      </c>
      <c r="R35" s="49"/>
      <c r="S35" s="50" t="str">
        <f t="shared" si="1"/>
        <v/>
      </c>
      <c r="T35" s="51"/>
      <c r="U35" s="50" t="str">
        <f t="shared" si="2"/>
        <v/>
      </c>
      <c r="V35" s="46"/>
      <c r="W35" s="51"/>
      <c r="X35" s="52" t="str">
        <f t="shared" si="7"/>
        <v/>
      </c>
      <c r="Y35" s="52" t="str">
        <f t="shared" si="4"/>
        <v/>
      </c>
      <c r="Z35" s="46"/>
      <c r="AA35" s="50" t="str">
        <f t="shared" si="8"/>
        <v/>
      </c>
      <c r="AB35" s="53" t="str">
        <f t="shared" si="9"/>
        <v/>
      </c>
    </row>
    <row r="36" spans="1:28" ht="25.5" x14ac:dyDescent="0.25">
      <c r="A36" s="34"/>
      <c r="B36" s="35" t="s">
        <v>122</v>
      </c>
      <c r="C36" s="69"/>
      <c r="D36" s="36"/>
      <c r="E36" s="35" t="s">
        <v>383</v>
      </c>
      <c r="F36" s="36"/>
      <c r="G36" s="38" t="s">
        <v>384</v>
      </c>
      <c r="H36" s="38"/>
      <c r="I36" s="37"/>
      <c r="J36" s="39"/>
      <c r="K36" s="37"/>
      <c r="L36" s="39"/>
      <c r="M36" s="37" t="s">
        <v>389</v>
      </c>
      <c r="N36" s="38" t="s">
        <v>385</v>
      </c>
      <c r="O36" s="39"/>
      <c r="P36" s="39"/>
      <c r="Q36" s="49" t="s">
        <v>98</v>
      </c>
      <c r="R36" s="39"/>
      <c r="S36" s="40" t="str">
        <f t="shared" si="1"/>
        <v/>
      </c>
      <c r="T36" s="41"/>
      <c r="U36" s="42" t="str">
        <f t="shared" si="2"/>
        <v/>
      </c>
      <c r="V36" s="36"/>
      <c r="W36" s="41"/>
      <c r="X36" s="42" t="str">
        <f t="shared" si="7"/>
        <v/>
      </c>
      <c r="Y36" s="42" t="str">
        <f t="shared" si="4"/>
        <v/>
      </c>
      <c r="Z36" s="36"/>
      <c r="AA36" s="40" t="str">
        <f t="shared" si="8"/>
        <v/>
      </c>
      <c r="AB36" s="43" t="str">
        <f t="shared" si="9"/>
        <v/>
      </c>
    </row>
    <row r="37" spans="1:28" ht="25.5" customHeight="1" x14ac:dyDescent="0.25">
      <c r="A37" s="34"/>
      <c r="B37" s="45" t="s">
        <v>123</v>
      </c>
      <c r="C37" s="70"/>
      <c r="D37" s="46"/>
      <c r="E37" s="45" t="s">
        <v>386</v>
      </c>
      <c r="F37" s="46"/>
      <c r="G37" s="48" t="s">
        <v>387</v>
      </c>
      <c r="H37" s="49"/>
      <c r="I37" s="47"/>
      <c r="J37" s="49"/>
      <c r="K37" s="47"/>
      <c r="L37" s="49"/>
      <c r="M37" s="47" t="s">
        <v>390</v>
      </c>
      <c r="N37" s="48" t="s">
        <v>388</v>
      </c>
      <c r="O37" s="49"/>
      <c r="P37" s="49"/>
      <c r="Q37" s="49" t="s">
        <v>98</v>
      </c>
      <c r="R37" s="49"/>
      <c r="S37" s="50" t="str">
        <f t="shared" si="1"/>
        <v/>
      </c>
      <c r="T37" s="51"/>
      <c r="U37" s="50" t="str">
        <f t="shared" si="2"/>
        <v/>
      </c>
      <c r="V37" s="46"/>
      <c r="W37" s="51"/>
      <c r="X37" s="52" t="str">
        <f t="shared" si="7"/>
        <v/>
      </c>
      <c r="Y37" s="52" t="str">
        <f t="shared" si="4"/>
        <v/>
      </c>
      <c r="Z37" s="46"/>
      <c r="AA37" s="50" t="str">
        <f t="shared" si="8"/>
        <v/>
      </c>
      <c r="AB37" s="53" t="str">
        <f t="shared" si="9"/>
        <v/>
      </c>
    </row>
    <row r="38" spans="1:28" ht="38.25" x14ac:dyDescent="0.25">
      <c r="A38" s="34"/>
      <c r="B38" s="35" t="s">
        <v>124</v>
      </c>
      <c r="C38" s="69"/>
      <c r="D38" s="36"/>
      <c r="E38" s="35" t="s">
        <v>391</v>
      </c>
      <c r="F38" s="36"/>
      <c r="G38" s="38" t="s">
        <v>392</v>
      </c>
      <c r="H38" s="38"/>
      <c r="I38" s="37"/>
      <c r="J38" s="39"/>
      <c r="K38" s="37"/>
      <c r="L38" s="39"/>
      <c r="M38" s="47" t="s">
        <v>390</v>
      </c>
      <c r="N38" s="39"/>
      <c r="O38" s="39"/>
      <c r="P38" s="39"/>
      <c r="Q38" s="39" t="s">
        <v>98</v>
      </c>
      <c r="R38" s="39"/>
      <c r="S38" s="40" t="str">
        <f t="shared" si="1"/>
        <v/>
      </c>
      <c r="T38" s="41"/>
      <c r="U38" s="42" t="str">
        <f t="shared" si="2"/>
        <v/>
      </c>
      <c r="V38" s="36"/>
      <c r="W38" s="41"/>
      <c r="X38" s="42" t="str">
        <f t="shared" si="7"/>
        <v/>
      </c>
      <c r="Y38" s="42" t="str">
        <f t="shared" si="4"/>
        <v/>
      </c>
      <c r="Z38" s="36"/>
      <c r="AA38" s="40" t="str">
        <f t="shared" si="8"/>
        <v/>
      </c>
      <c r="AB38" s="43" t="str">
        <f t="shared" si="9"/>
        <v/>
      </c>
    </row>
    <row r="39" spans="1:28" ht="38.25" x14ac:dyDescent="0.25">
      <c r="A39" s="34"/>
      <c r="B39" s="45" t="s">
        <v>125</v>
      </c>
      <c r="C39" s="70"/>
      <c r="D39" s="46"/>
      <c r="E39" s="45" t="s">
        <v>393</v>
      </c>
      <c r="F39" s="46"/>
      <c r="G39" s="48" t="s">
        <v>394</v>
      </c>
      <c r="H39" s="48"/>
      <c r="I39" s="47"/>
      <c r="J39" s="49"/>
      <c r="K39" s="45"/>
      <c r="L39" s="49"/>
      <c r="M39" s="47" t="s">
        <v>390</v>
      </c>
      <c r="N39" s="48" t="s">
        <v>388</v>
      </c>
      <c r="O39" s="49"/>
      <c r="P39" s="49"/>
      <c r="Q39" s="49" t="s">
        <v>126</v>
      </c>
      <c r="R39" s="49"/>
      <c r="S39" s="50" t="str">
        <f t="shared" si="1"/>
        <v/>
      </c>
      <c r="T39" s="51"/>
      <c r="U39" s="50" t="str">
        <f t="shared" si="2"/>
        <v/>
      </c>
      <c r="V39" s="46"/>
      <c r="W39" s="51"/>
      <c r="X39" s="52" t="str">
        <f t="shared" si="7"/>
        <v/>
      </c>
      <c r="Y39" s="52" t="str">
        <f t="shared" si="4"/>
        <v/>
      </c>
      <c r="Z39" s="46"/>
      <c r="AA39" s="50" t="str">
        <f t="shared" si="8"/>
        <v/>
      </c>
      <c r="AB39" s="53" t="str">
        <f t="shared" si="9"/>
        <v/>
      </c>
    </row>
    <row r="40" spans="1:28" ht="38.25" x14ac:dyDescent="0.25">
      <c r="A40" s="34"/>
      <c r="B40" s="35" t="s">
        <v>127</v>
      </c>
      <c r="C40" s="69"/>
      <c r="D40" s="36"/>
      <c r="E40" s="35" t="s">
        <v>395</v>
      </c>
      <c r="F40" s="36"/>
      <c r="G40" s="38" t="s">
        <v>396</v>
      </c>
      <c r="H40" s="38"/>
      <c r="I40" s="37"/>
      <c r="J40" s="39"/>
      <c r="K40" s="37"/>
      <c r="L40" s="39"/>
      <c r="M40" s="47" t="s">
        <v>390</v>
      </c>
      <c r="N40" s="39"/>
      <c r="O40" s="39"/>
      <c r="P40" s="39"/>
      <c r="Q40" s="39"/>
      <c r="R40" s="39"/>
      <c r="S40" s="40" t="str">
        <f t="shared" ref="S40:S71" si="10">IF(R40="","",IF(R40=1,300,IF(R40=2,370,IF(R40=3,630,IF(R40=4,830,IF(R40=5,370,IF(R40=6,430,IF(R40=7,530,IF(R40=8,370,IF(R40=9,700,IF(R40=10,870,IF(R40=11,370,IF(R40=12,370,IF(R40=13,370,IF(R40=13,370,IF(R40=14,370,IF(R40=15,370,IF(R40=16,300,IF(R40=17,300,IF(R40=18,170,IF(R40=19,330)))))))))))))))))))))</f>
        <v/>
      </c>
      <c r="T40" s="41"/>
      <c r="U40" s="42" t="str">
        <f t="shared" si="2"/>
        <v/>
      </c>
      <c r="V40" s="36"/>
      <c r="W40" s="41"/>
      <c r="X40" s="42" t="str">
        <f t="shared" si="7"/>
        <v/>
      </c>
      <c r="Y40" s="42" t="str">
        <f t="shared" si="4"/>
        <v/>
      </c>
      <c r="Z40" s="36"/>
      <c r="AA40" s="40" t="str">
        <f t="shared" si="8"/>
        <v/>
      </c>
      <c r="AB40" s="43" t="str">
        <f t="shared" si="9"/>
        <v/>
      </c>
    </row>
    <row r="41" spans="1:28" ht="38.25" x14ac:dyDescent="0.25">
      <c r="A41" s="34"/>
      <c r="B41" s="45" t="s">
        <v>128</v>
      </c>
      <c r="C41" s="70"/>
      <c r="D41" s="46"/>
      <c r="E41" s="45" t="s">
        <v>397</v>
      </c>
      <c r="F41" s="46"/>
      <c r="G41" s="48" t="s">
        <v>398</v>
      </c>
      <c r="H41" s="49"/>
      <c r="I41" s="47"/>
      <c r="J41" s="49"/>
      <c r="K41" s="47"/>
      <c r="L41" s="49"/>
      <c r="M41" s="47" t="s">
        <v>390</v>
      </c>
      <c r="N41" s="48" t="s">
        <v>388</v>
      </c>
      <c r="O41" s="49"/>
      <c r="P41" s="49"/>
      <c r="Q41" s="49"/>
      <c r="R41" s="49"/>
      <c r="S41" s="50" t="str">
        <f t="shared" si="10"/>
        <v/>
      </c>
      <c r="T41" s="51"/>
      <c r="U41" s="50" t="str">
        <f t="shared" si="2"/>
        <v/>
      </c>
      <c r="V41" s="46"/>
      <c r="W41" s="51"/>
      <c r="X41" s="52" t="str">
        <f t="shared" si="7"/>
        <v/>
      </c>
      <c r="Y41" s="52" t="str">
        <f t="shared" si="4"/>
        <v/>
      </c>
      <c r="Z41" s="46"/>
      <c r="AA41" s="50" t="str">
        <f t="shared" si="8"/>
        <v/>
      </c>
      <c r="AB41" s="53" t="str">
        <f t="shared" si="9"/>
        <v/>
      </c>
    </row>
    <row r="42" spans="1:28" ht="38.25" x14ac:dyDescent="0.25">
      <c r="B42" s="35" t="s">
        <v>129</v>
      </c>
      <c r="C42" s="69"/>
      <c r="D42" s="36"/>
      <c r="E42" s="35" t="s">
        <v>399</v>
      </c>
      <c r="F42" s="36"/>
      <c r="G42" s="38" t="s">
        <v>400</v>
      </c>
      <c r="H42" s="38"/>
      <c r="I42" s="37"/>
      <c r="J42" s="39"/>
      <c r="K42" s="37"/>
      <c r="L42" s="39"/>
      <c r="M42" s="47" t="s">
        <v>390</v>
      </c>
      <c r="N42" s="39"/>
      <c r="O42" s="39"/>
      <c r="P42" s="39"/>
      <c r="Q42" s="49"/>
      <c r="R42" s="39"/>
      <c r="S42" s="40" t="str">
        <f t="shared" si="10"/>
        <v/>
      </c>
      <c r="T42" s="41"/>
      <c r="U42" s="42" t="str">
        <f t="shared" si="2"/>
        <v/>
      </c>
      <c r="V42" s="36"/>
      <c r="W42" s="41"/>
      <c r="X42" s="42" t="str">
        <f t="shared" si="7"/>
        <v/>
      </c>
      <c r="Y42" s="42" t="str">
        <f t="shared" si="4"/>
        <v/>
      </c>
      <c r="Z42" s="36"/>
      <c r="AA42" s="40" t="str">
        <f t="shared" si="8"/>
        <v/>
      </c>
      <c r="AB42" s="43" t="str">
        <f t="shared" si="9"/>
        <v/>
      </c>
    </row>
    <row r="43" spans="1:28" ht="38.25" x14ac:dyDescent="0.25">
      <c r="B43" s="45" t="s">
        <v>130</v>
      </c>
      <c r="C43" s="70"/>
      <c r="D43" s="46"/>
      <c r="E43" s="45" t="s">
        <v>401</v>
      </c>
      <c r="F43" s="46"/>
      <c r="G43" s="48" t="s">
        <v>402</v>
      </c>
      <c r="H43" s="49"/>
      <c r="I43" s="47"/>
      <c r="J43" s="49"/>
      <c r="K43" s="47"/>
      <c r="L43" s="49"/>
      <c r="M43" s="47" t="s">
        <v>390</v>
      </c>
      <c r="N43" s="48" t="s">
        <v>388</v>
      </c>
      <c r="O43" s="49"/>
      <c r="P43" s="49"/>
      <c r="Q43" s="49"/>
      <c r="R43" s="49"/>
      <c r="S43" s="50" t="str">
        <f t="shared" si="10"/>
        <v/>
      </c>
      <c r="T43" s="51"/>
      <c r="U43" s="50" t="str">
        <f t="shared" si="2"/>
        <v/>
      </c>
      <c r="V43" s="46"/>
      <c r="W43" s="51"/>
      <c r="X43" s="52" t="str">
        <f t="shared" si="7"/>
        <v/>
      </c>
      <c r="Y43" s="52" t="str">
        <f t="shared" si="4"/>
        <v/>
      </c>
      <c r="Z43" s="46"/>
      <c r="AA43" s="50" t="str">
        <f t="shared" si="8"/>
        <v/>
      </c>
      <c r="AB43" s="53" t="str">
        <f t="shared" si="9"/>
        <v/>
      </c>
    </row>
    <row r="44" spans="1:28" ht="38.25" x14ac:dyDescent="0.25">
      <c r="B44" s="35" t="s">
        <v>131</v>
      </c>
      <c r="C44" s="69"/>
      <c r="D44" s="36"/>
      <c r="E44" s="35" t="s">
        <v>403</v>
      </c>
      <c r="F44" s="36"/>
      <c r="G44" s="38" t="s">
        <v>404</v>
      </c>
      <c r="H44" s="38"/>
      <c r="I44" s="37"/>
      <c r="J44" s="39"/>
      <c r="K44" s="37"/>
      <c r="L44" s="39"/>
      <c r="M44" s="47" t="s">
        <v>390</v>
      </c>
      <c r="N44" s="39"/>
      <c r="O44" s="39"/>
      <c r="P44" s="39"/>
      <c r="Q44" s="39"/>
      <c r="R44" s="39"/>
      <c r="S44" s="40" t="str">
        <f t="shared" si="10"/>
        <v/>
      </c>
      <c r="T44" s="41"/>
      <c r="U44" s="42" t="str">
        <f t="shared" si="2"/>
        <v/>
      </c>
      <c r="V44" s="36"/>
      <c r="W44" s="41"/>
      <c r="X44" s="42" t="str">
        <f t="shared" si="7"/>
        <v/>
      </c>
      <c r="Y44" s="42" t="str">
        <f t="shared" si="4"/>
        <v/>
      </c>
      <c r="Z44" s="36"/>
      <c r="AA44" s="40" t="str">
        <f t="shared" si="8"/>
        <v/>
      </c>
      <c r="AB44" s="43" t="str">
        <f t="shared" si="9"/>
        <v/>
      </c>
    </row>
    <row r="45" spans="1:28" ht="38.25" x14ac:dyDescent="0.25">
      <c r="B45" s="45" t="s">
        <v>132</v>
      </c>
      <c r="C45" s="70"/>
      <c r="D45" s="46"/>
      <c r="E45" s="45" t="s">
        <v>405</v>
      </c>
      <c r="F45" s="46"/>
      <c r="G45" s="48" t="s">
        <v>406</v>
      </c>
      <c r="H45" s="48"/>
      <c r="I45" s="47"/>
      <c r="J45" s="49"/>
      <c r="K45" s="45"/>
      <c r="L45" s="49"/>
      <c r="M45" s="47" t="s">
        <v>390</v>
      </c>
      <c r="N45" s="48" t="s">
        <v>388</v>
      </c>
      <c r="O45" s="49"/>
      <c r="P45" s="49"/>
      <c r="Q45" s="49"/>
      <c r="R45" s="49"/>
      <c r="S45" s="50" t="str">
        <f t="shared" si="10"/>
        <v/>
      </c>
      <c r="T45" s="51"/>
      <c r="U45" s="50" t="str">
        <f t="shared" si="2"/>
        <v/>
      </c>
      <c r="V45" s="46"/>
      <c r="W45" s="51"/>
      <c r="X45" s="52" t="str">
        <f t="shared" si="7"/>
        <v/>
      </c>
      <c r="Y45" s="52" t="str">
        <f t="shared" si="4"/>
        <v/>
      </c>
      <c r="Z45" s="46"/>
      <c r="AA45" s="50" t="str">
        <f t="shared" si="8"/>
        <v/>
      </c>
      <c r="AB45" s="53" t="str">
        <f t="shared" si="9"/>
        <v/>
      </c>
    </row>
    <row r="46" spans="1:28" ht="38.25" x14ac:dyDescent="0.25">
      <c r="B46" s="35" t="s">
        <v>133</v>
      </c>
      <c r="C46" s="69"/>
      <c r="D46" s="36"/>
      <c r="E46" s="35" t="s">
        <v>407</v>
      </c>
      <c r="F46" s="36"/>
      <c r="G46" s="38" t="s">
        <v>408</v>
      </c>
      <c r="H46" s="38"/>
      <c r="I46" s="37"/>
      <c r="J46" s="39"/>
      <c r="K46" s="37"/>
      <c r="L46" s="39"/>
      <c r="M46" s="47" t="s">
        <v>390</v>
      </c>
      <c r="N46" s="39"/>
      <c r="O46" s="39"/>
      <c r="P46" s="39"/>
      <c r="Q46" s="39"/>
      <c r="R46" s="39"/>
      <c r="S46" s="40" t="str">
        <f t="shared" si="10"/>
        <v/>
      </c>
      <c r="T46" s="41"/>
      <c r="U46" s="42" t="str">
        <f t="shared" si="2"/>
        <v/>
      </c>
      <c r="V46" s="36"/>
      <c r="W46" s="41"/>
      <c r="X46" s="42" t="str">
        <f t="shared" si="7"/>
        <v/>
      </c>
      <c r="Y46" s="42" t="str">
        <f t="shared" si="4"/>
        <v/>
      </c>
      <c r="Z46" s="36"/>
      <c r="AA46" s="40" t="str">
        <f t="shared" si="8"/>
        <v/>
      </c>
      <c r="AB46" s="43" t="str">
        <f t="shared" si="9"/>
        <v/>
      </c>
    </row>
    <row r="47" spans="1:28" ht="38.25" x14ac:dyDescent="0.25">
      <c r="B47" s="45" t="s">
        <v>134</v>
      </c>
      <c r="C47" s="70"/>
      <c r="D47" s="46"/>
      <c r="E47" s="45" t="s">
        <v>409</v>
      </c>
      <c r="F47" s="46"/>
      <c r="G47" s="48"/>
      <c r="H47" s="49"/>
      <c r="I47" s="47"/>
      <c r="J47" s="49"/>
      <c r="K47" s="47"/>
      <c r="L47" s="49"/>
      <c r="M47" s="47" t="s">
        <v>390</v>
      </c>
      <c r="N47" s="48" t="s">
        <v>388</v>
      </c>
      <c r="O47" s="49"/>
      <c r="P47" s="49"/>
      <c r="Q47" s="49"/>
      <c r="R47" s="49"/>
      <c r="S47" s="50" t="str">
        <f t="shared" si="10"/>
        <v/>
      </c>
      <c r="T47" s="51"/>
      <c r="U47" s="50" t="str">
        <f t="shared" si="2"/>
        <v/>
      </c>
      <c r="V47" s="46"/>
      <c r="W47" s="51"/>
      <c r="X47" s="52" t="s">
        <v>415</v>
      </c>
      <c r="Y47" s="52" t="s">
        <v>415</v>
      </c>
      <c r="Z47" s="46"/>
      <c r="AA47" s="50" t="str">
        <f t="shared" si="8"/>
        <v/>
      </c>
      <c r="AB47" s="53" t="str">
        <f t="shared" si="9"/>
        <v/>
      </c>
    </row>
    <row r="48" spans="1:28" ht="38.25" x14ac:dyDescent="0.25">
      <c r="B48" s="35" t="s">
        <v>135</v>
      </c>
      <c r="C48" s="69">
        <v>44126</v>
      </c>
      <c r="D48" s="36"/>
      <c r="E48" s="35" t="s">
        <v>410</v>
      </c>
      <c r="F48" s="36" t="s">
        <v>418</v>
      </c>
      <c r="G48" s="38" t="s">
        <v>411</v>
      </c>
      <c r="H48" s="38"/>
      <c r="I48" s="37" t="s">
        <v>412</v>
      </c>
      <c r="J48" s="39"/>
      <c r="K48" s="37" t="s">
        <v>314</v>
      </c>
      <c r="L48" s="39"/>
      <c r="M48" s="37" t="s">
        <v>413</v>
      </c>
      <c r="N48" s="38" t="s">
        <v>414</v>
      </c>
      <c r="O48" s="39" t="s">
        <v>95</v>
      </c>
      <c r="P48" s="39" t="s">
        <v>29</v>
      </c>
      <c r="Q48" s="49" t="s">
        <v>416</v>
      </c>
      <c r="R48" s="39">
        <v>15</v>
      </c>
      <c r="S48" s="40">
        <f t="shared" si="10"/>
        <v>370</v>
      </c>
      <c r="T48" s="41"/>
      <c r="U48" s="42" t="str">
        <f t="shared" si="2"/>
        <v>OK</v>
      </c>
      <c r="V48" s="36"/>
      <c r="W48" s="41"/>
      <c r="X48" s="42" t="str">
        <f>IF(W48="","",W48/T48)</f>
        <v/>
      </c>
      <c r="Y48" s="42" t="str">
        <f t="shared" si="4"/>
        <v/>
      </c>
      <c r="Z48" s="36">
        <v>44235</v>
      </c>
      <c r="AA48" s="40"/>
      <c r="AB48" s="43"/>
    </row>
    <row r="49" spans="2:28" ht="51" x14ac:dyDescent="0.25">
      <c r="B49" s="45" t="s">
        <v>136</v>
      </c>
      <c r="C49" s="70">
        <v>44265</v>
      </c>
      <c r="D49" s="46"/>
      <c r="E49" s="45" t="s">
        <v>417</v>
      </c>
      <c r="F49" s="46" t="s">
        <v>419</v>
      </c>
      <c r="G49" s="48" t="s">
        <v>420</v>
      </c>
      <c r="H49" s="49"/>
      <c r="I49" s="47" t="s">
        <v>421</v>
      </c>
      <c r="J49" s="49"/>
      <c r="K49" s="47" t="s">
        <v>422</v>
      </c>
      <c r="L49" s="49"/>
      <c r="M49" s="47" t="s">
        <v>320</v>
      </c>
      <c r="N49" s="48" t="s">
        <v>317</v>
      </c>
      <c r="O49" s="49"/>
      <c r="P49" s="49"/>
      <c r="Q49" s="49" t="s">
        <v>423</v>
      </c>
      <c r="R49" s="49"/>
      <c r="S49" s="50" t="str">
        <f t="shared" si="10"/>
        <v/>
      </c>
      <c r="T49" s="51"/>
      <c r="U49" s="50" t="str">
        <f t="shared" si="2"/>
        <v/>
      </c>
      <c r="V49" s="46"/>
      <c r="W49" s="51"/>
      <c r="X49" s="52" t="str">
        <f t="shared" ref="X49:X66" si="11">IF(W49="","",W49/T49)</f>
        <v/>
      </c>
      <c r="Y49" s="52" t="str">
        <f t="shared" si="4"/>
        <v/>
      </c>
      <c r="Z49" s="46"/>
      <c r="AA49" s="50" t="str">
        <f t="shared" si="8"/>
        <v/>
      </c>
      <c r="AB49" s="53" t="str">
        <f t="shared" si="9"/>
        <v/>
      </c>
    </row>
    <row r="50" spans="2:28" x14ac:dyDescent="0.25">
      <c r="B50" s="35" t="s">
        <v>137</v>
      </c>
      <c r="C50" s="69"/>
      <c r="D50" s="36"/>
      <c r="E50" s="35"/>
      <c r="F50" s="36"/>
      <c r="G50" s="38"/>
      <c r="H50" s="38"/>
      <c r="I50" s="37"/>
      <c r="J50" s="39"/>
      <c r="K50" s="37"/>
      <c r="L50" s="39"/>
      <c r="M50" s="37"/>
      <c r="N50" s="38"/>
      <c r="O50" s="39"/>
      <c r="P50" s="39"/>
      <c r="Q50" s="39"/>
      <c r="R50" s="39"/>
      <c r="S50" s="40" t="str">
        <f t="shared" si="10"/>
        <v/>
      </c>
      <c r="T50" s="41"/>
      <c r="U50" s="42" t="str">
        <f t="shared" si="2"/>
        <v/>
      </c>
      <c r="V50" s="36"/>
      <c r="W50" s="41"/>
      <c r="X50" s="42" t="str">
        <f t="shared" si="11"/>
        <v/>
      </c>
      <c r="Y50" s="42" t="str">
        <f t="shared" si="4"/>
        <v/>
      </c>
      <c r="Z50" s="36"/>
      <c r="AA50" s="40" t="str">
        <f t="shared" si="8"/>
        <v/>
      </c>
      <c r="AB50" s="43" t="str">
        <f t="shared" si="9"/>
        <v/>
      </c>
    </row>
    <row r="51" spans="2:28" x14ac:dyDescent="0.25">
      <c r="B51" s="45" t="s">
        <v>138</v>
      </c>
      <c r="C51" s="70"/>
      <c r="D51" s="46"/>
      <c r="E51" s="45"/>
      <c r="F51" s="46"/>
      <c r="G51" s="48"/>
      <c r="H51" s="48"/>
      <c r="I51" s="47"/>
      <c r="J51" s="49"/>
      <c r="K51" s="45"/>
      <c r="L51" s="49"/>
      <c r="M51" s="47"/>
      <c r="N51" s="49"/>
      <c r="O51" s="49"/>
      <c r="P51" s="49"/>
      <c r="Q51" s="49"/>
      <c r="R51" s="49"/>
      <c r="S51" s="50" t="str">
        <f t="shared" si="10"/>
        <v/>
      </c>
      <c r="T51" s="51"/>
      <c r="U51" s="54" t="str">
        <f t="shared" si="2"/>
        <v/>
      </c>
      <c r="V51" s="46"/>
      <c r="W51" s="51"/>
      <c r="X51" s="52" t="str">
        <f t="shared" si="11"/>
        <v/>
      </c>
      <c r="Y51" s="52" t="str">
        <f t="shared" si="4"/>
        <v/>
      </c>
      <c r="Z51" s="46"/>
      <c r="AA51" s="50" t="str">
        <f t="shared" si="8"/>
        <v/>
      </c>
      <c r="AB51" s="53" t="str">
        <f t="shared" si="9"/>
        <v/>
      </c>
    </row>
    <row r="52" spans="2:28" x14ac:dyDescent="0.25">
      <c r="B52" s="35" t="s">
        <v>139</v>
      </c>
      <c r="C52" s="69"/>
      <c r="D52" s="36"/>
      <c r="E52" s="35"/>
      <c r="F52" s="36"/>
      <c r="G52" s="38"/>
      <c r="H52" s="38"/>
      <c r="I52" s="37"/>
      <c r="J52" s="39"/>
      <c r="K52" s="37"/>
      <c r="L52" s="39"/>
      <c r="M52" s="37"/>
      <c r="N52" s="38"/>
      <c r="O52" s="39"/>
      <c r="P52" s="39"/>
      <c r="Q52" s="39"/>
      <c r="R52" s="39"/>
      <c r="S52" s="40" t="str">
        <f t="shared" si="10"/>
        <v/>
      </c>
      <c r="T52" s="41"/>
      <c r="U52" s="57" t="str">
        <f t="shared" si="2"/>
        <v/>
      </c>
      <c r="V52" s="36"/>
      <c r="W52" s="41"/>
      <c r="X52" s="42" t="str">
        <f t="shared" si="11"/>
        <v/>
      </c>
      <c r="Y52" s="42" t="str">
        <f t="shared" si="4"/>
        <v/>
      </c>
      <c r="Z52" s="36"/>
      <c r="AA52" s="40" t="str">
        <f t="shared" si="8"/>
        <v/>
      </c>
      <c r="AB52" s="43" t="str">
        <f t="shared" si="9"/>
        <v/>
      </c>
    </row>
    <row r="53" spans="2:28" x14ac:dyDescent="0.25">
      <c r="B53" s="45" t="s">
        <v>140</v>
      </c>
      <c r="C53" s="70"/>
      <c r="D53" s="46"/>
      <c r="E53" s="45"/>
      <c r="F53" s="46"/>
      <c r="G53" s="48"/>
      <c r="H53" s="49"/>
      <c r="I53" s="47"/>
      <c r="J53" s="49"/>
      <c r="K53" s="47"/>
      <c r="L53" s="49"/>
      <c r="M53" s="47"/>
      <c r="N53" s="48"/>
      <c r="O53" s="49"/>
      <c r="P53" s="49"/>
      <c r="Q53" s="49"/>
      <c r="R53" s="49"/>
      <c r="S53" s="50" t="str">
        <f t="shared" si="10"/>
        <v/>
      </c>
      <c r="T53" s="51"/>
      <c r="U53" s="54" t="str">
        <f t="shared" si="2"/>
        <v/>
      </c>
      <c r="V53" s="46"/>
      <c r="W53" s="51"/>
      <c r="X53" s="52" t="str">
        <f t="shared" si="11"/>
        <v/>
      </c>
      <c r="Y53" s="52" t="str">
        <f t="shared" si="4"/>
        <v/>
      </c>
      <c r="Z53" s="46"/>
      <c r="AA53" s="50" t="str">
        <f t="shared" si="8"/>
        <v/>
      </c>
      <c r="AB53" s="53" t="str">
        <f t="shared" si="9"/>
        <v/>
      </c>
    </row>
    <row r="54" spans="2:28" x14ac:dyDescent="0.25">
      <c r="B54" s="35" t="s">
        <v>141</v>
      </c>
      <c r="C54" s="69"/>
      <c r="D54" s="36"/>
      <c r="E54" s="35"/>
      <c r="F54" s="36"/>
      <c r="G54" s="38"/>
      <c r="H54" s="38"/>
      <c r="I54" s="37"/>
      <c r="J54" s="39"/>
      <c r="K54" s="37"/>
      <c r="L54" s="39"/>
      <c r="M54" s="37"/>
      <c r="N54" s="38"/>
      <c r="O54" s="39"/>
      <c r="P54" s="39"/>
      <c r="Q54" s="49"/>
      <c r="R54" s="39"/>
      <c r="S54" s="40" t="str">
        <f t="shared" si="10"/>
        <v/>
      </c>
      <c r="T54" s="41"/>
      <c r="U54" s="57" t="str">
        <f t="shared" si="2"/>
        <v/>
      </c>
      <c r="V54" s="36"/>
      <c r="W54" s="41"/>
      <c r="X54" s="42" t="str">
        <f t="shared" si="11"/>
        <v/>
      </c>
      <c r="Y54" s="42" t="str">
        <f t="shared" si="4"/>
        <v/>
      </c>
      <c r="Z54" s="36"/>
      <c r="AA54" s="40" t="str">
        <f t="shared" si="8"/>
        <v/>
      </c>
      <c r="AB54" s="43" t="str">
        <f t="shared" si="9"/>
        <v/>
      </c>
    </row>
    <row r="55" spans="2:28" x14ac:dyDescent="0.25">
      <c r="B55" s="45" t="s">
        <v>142</v>
      </c>
      <c r="C55" s="70"/>
      <c r="D55" s="46"/>
      <c r="E55" s="45"/>
      <c r="F55" s="46"/>
      <c r="G55" s="48"/>
      <c r="H55" s="49"/>
      <c r="I55" s="47"/>
      <c r="J55" s="49"/>
      <c r="K55" s="47"/>
      <c r="L55" s="49"/>
      <c r="M55" s="47"/>
      <c r="N55" s="48"/>
      <c r="O55" s="49"/>
      <c r="P55" s="49"/>
      <c r="Q55" s="49"/>
      <c r="R55" s="49"/>
      <c r="S55" s="50" t="str">
        <f t="shared" si="10"/>
        <v/>
      </c>
      <c r="T55" s="51"/>
      <c r="U55" s="54" t="str">
        <f t="shared" si="2"/>
        <v/>
      </c>
      <c r="V55" s="46"/>
      <c r="W55" s="51"/>
      <c r="X55" s="52" t="str">
        <f t="shared" si="11"/>
        <v/>
      </c>
      <c r="Y55" s="52" t="str">
        <f t="shared" si="4"/>
        <v/>
      </c>
      <c r="Z55" s="46"/>
      <c r="AA55" s="50" t="str">
        <f t="shared" si="8"/>
        <v/>
      </c>
      <c r="AB55" s="53" t="str">
        <f t="shared" si="9"/>
        <v/>
      </c>
    </row>
    <row r="56" spans="2:28" x14ac:dyDescent="0.25">
      <c r="B56" s="35" t="s">
        <v>143</v>
      </c>
      <c r="C56" s="69"/>
      <c r="D56" s="36"/>
      <c r="E56" s="35"/>
      <c r="F56" s="36"/>
      <c r="G56" s="38"/>
      <c r="H56" s="38"/>
      <c r="I56" s="37"/>
      <c r="J56" s="39"/>
      <c r="K56" s="37"/>
      <c r="L56" s="39"/>
      <c r="M56" s="37"/>
      <c r="N56" s="38"/>
      <c r="O56" s="39"/>
      <c r="P56" s="39"/>
      <c r="Q56" s="39"/>
      <c r="R56" s="39"/>
      <c r="S56" s="40" t="str">
        <f t="shared" si="10"/>
        <v/>
      </c>
      <c r="T56" s="41"/>
      <c r="U56" s="57" t="str">
        <f t="shared" si="2"/>
        <v/>
      </c>
      <c r="V56" s="36"/>
      <c r="W56" s="41"/>
      <c r="X56" s="42" t="str">
        <f t="shared" si="11"/>
        <v/>
      </c>
      <c r="Y56" s="42" t="str">
        <f t="shared" si="4"/>
        <v/>
      </c>
      <c r="Z56" s="36"/>
      <c r="AA56" s="40" t="str">
        <f t="shared" si="8"/>
        <v/>
      </c>
      <c r="AB56" s="43" t="str">
        <f t="shared" si="9"/>
        <v/>
      </c>
    </row>
    <row r="57" spans="2:28" x14ac:dyDescent="0.25">
      <c r="B57" s="45" t="s">
        <v>144</v>
      </c>
      <c r="C57" s="70"/>
      <c r="D57" s="46"/>
      <c r="E57" s="45"/>
      <c r="F57" s="46"/>
      <c r="G57" s="48"/>
      <c r="H57" s="48"/>
      <c r="I57" s="47"/>
      <c r="J57" s="49"/>
      <c r="K57" s="45"/>
      <c r="L57" s="49"/>
      <c r="M57" s="47"/>
      <c r="N57" s="49"/>
      <c r="O57" s="49"/>
      <c r="P57" s="49"/>
      <c r="Q57" s="49"/>
      <c r="R57" s="49"/>
      <c r="S57" s="50" t="str">
        <f t="shared" si="10"/>
        <v/>
      </c>
      <c r="T57" s="51"/>
      <c r="U57" s="54" t="str">
        <f t="shared" si="2"/>
        <v/>
      </c>
      <c r="V57" s="46"/>
      <c r="W57" s="51"/>
      <c r="X57" s="52" t="str">
        <f t="shared" si="11"/>
        <v/>
      </c>
      <c r="Y57" s="52" t="str">
        <f t="shared" si="4"/>
        <v/>
      </c>
      <c r="Z57" s="46"/>
      <c r="AA57" s="50" t="str">
        <f t="shared" si="8"/>
        <v/>
      </c>
      <c r="AB57" s="53" t="str">
        <f t="shared" si="9"/>
        <v/>
      </c>
    </row>
    <row r="58" spans="2:28" x14ac:dyDescent="0.25">
      <c r="B58" s="35" t="s">
        <v>145</v>
      </c>
      <c r="C58" s="69"/>
      <c r="D58" s="36"/>
      <c r="E58" s="35"/>
      <c r="F58" s="36"/>
      <c r="G58" s="38"/>
      <c r="H58" s="38"/>
      <c r="I58" s="37"/>
      <c r="J58" s="39"/>
      <c r="K58" s="37"/>
      <c r="L58" s="39"/>
      <c r="M58" s="37"/>
      <c r="N58" s="38"/>
      <c r="O58" s="39"/>
      <c r="P58" s="39"/>
      <c r="Q58" s="39"/>
      <c r="R58" s="39"/>
      <c r="S58" s="40" t="str">
        <f t="shared" si="10"/>
        <v/>
      </c>
      <c r="T58" s="41"/>
      <c r="U58" s="57" t="str">
        <f t="shared" si="2"/>
        <v/>
      </c>
      <c r="V58" s="36"/>
      <c r="W58" s="41"/>
      <c r="X58" s="42" t="str">
        <f t="shared" si="11"/>
        <v/>
      </c>
      <c r="Y58" s="42" t="str">
        <f t="shared" si="4"/>
        <v/>
      </c>
      <c r="Z58" s="36"/>
      <c r="AA58" s="40" t="str">
        <f t="shared" si="8"/>
        <v/>
      </c>
      <c r="AB58" s="43" t="str">
        <f t="shared" si="9"/>
        <v/>
      </c>
    </row>
    <row r="59" spans="2:28" x14ac:dyDescent="0.25">
      <c r="B59" s="45" t="s">
        <v>146</v>
      </c>
      <c r="C59" s="70"/>
      <c r="D59" s="46"/>
      <c r="E59" s="45"/>
      <c r="F59" s="46"/>
      <c r="G59" s="48"/>
      <c r="H59" s="49"/>
      <c r="I59" s="47"/>
      <c r="J59" s="49"/>
      <c r="K59" s="47"/>
      <c r="L59" s="49"/>
      <c r="M59" s="47"/>
      <c r="N59" s="48"/>
      <c r="O59" s="49"/>
      <c r="P59" s="49"/>
      <c r="Q59" s="49"/>
      <c r="R59" s="49"/>
      <c r="S59" s="50" t="str">
        <f t="shared" si="10"/>
        <v/>
      </c>
      <c r="T59" s="51"/>
      <c r="U59" s="54" t="str">
        <f t="shared" si="2"/>
        <v/>
      </c>
      <c r="V59" s="46"/>
      <c r="W59" s="51"/>
      <c r="X59" s="52" t="str">
        <f t="shared" si="11"/>
        <v/>
      </c>
      <c r="Y59" s="52" t="str">
        <f t="shared" si="4"/>
        <v/>
      </c>
      <c r="Z59" s="46"/>
      <c r="AA59" s="50" t="str">
        <f t="shared" si="8"/>
        <v/>
      </c>
      <c r="AB59" s="53" t="str">
        <f t="shared" si="9"/>
        <v/>
      </c>
    </row>
    <row r="60" spans="2:28" x14ac:dyDescent="0.25">
      <c r="B60" s="35" t="s">
        <v>147</v>
      </c>
      <c r="C60" s="69"/>
      <c r="D60" s="36"/>
      <c r="E60" s="35"/>
      <c r="F60" s="36"/>
      <c r="G60" s="38"/>
      <c r="H60" s="38"/>
      <c r="I60" s="37"/>
      <c r="J60" s="39"/>
      <c r="K60" s="37"/>
      <c r="L60" s="39"/>
      <c r="M60" s="37"/>
      <c r="N60" s="38"/>
      <c r="O60" s="39"/>
      <c r="P60" s="39"/>
      <c r="Q60" s="49"/>
      <c r="R60" s="39"/>
      <c r="S60" s="40" t="str">
        <f t="shared" si="10"/>
        <v/>
      </c>
      <c r="T60" s="41"/>
      <c r="U60" s="57" t="str">
        <f t="shared" si="2"/>
        <v/>
      </c>
      <c r="V60" s="36"/>
      <c r="W60" s="41"/>
      <c r="X60" s="42" t="str">
        <f t="shared" si="11"/>
        <v/>
      </c>
      <c r="Y60" s="42" t="str">
        <f t="shared" si="4"/>
        <v/>
      </c>
      <c r="Z60" s="36"/>
      <c r="AA60" s="40" t="str">
        <f t="shared" si="8"/>
        <v/>
      </c>
      <c r="AB60" s="43" t="str">
        <f t="shared" si="9"/>
        <v/>
      </c>
    </row>
    <row r="61" spans="2:28" x14ac:dyDescent="0.25">
      <c r="B61" s="45" t="s">
        <v>148</v>
      </c>
      <c r="C61" s="70"/>
      <c r="D61" s="46"/>
      <c r="E61" s="45"/>
      <c r="F61" s="46"/>
      <c r="G61" s="48"/>
      <c r="H61" s="49"/>
      <c r="I61" s="47"/>
      <c r="J61" s="49"/>
      <c r="K61" s="47"/>
      <c r="L61" s="49"/>
      <c r="M61" s="47"/>
      <c r="N61" s="48"/>
      <c r="O61" s="49"/>
      <c r="P61" s="49"/>
      <c r="Q61" s="49"/>
      <c r="R61" s="49"/>
      <c r="S61" s="50" t="str">
        <f t="shared" si="10"/>
        <v/>
      </c>
      <c r="T61" s="51"/>
      <c r="U61" s="54" t="str">
        <f t="shared" si="2"/>
        <v/>
      </c>
      <c r="V61" s="46"/>
      <c r="W61" s="51"/>
      <c r="X61" s="52" t="str">
        <f t="shared" si="11"/>
        <v/>
      </c>
      <c r="Y61" s="52" t="str">
        <f t="shared" si="4"/>
        <v/>
      </c>
      <c r="Z61" s="46"/>
      <c r="AA61" s="50" t="str">
        <f t="shared" si="8"/>
        <v/>
      </c>
      <c r="AB61" s="53" t="str">
        <f t="shared" si="9"/>
        <v/>
      </c>
    </row>
    <row r="62" spans="2:28" x14ac:dyDescent="0.25">
      <c r="B62" s="35" t="s">
        <v>149</v>
      </c>
      <c r="C62" s="69"/>
      <c r="D62" s="36"/>
      <c r="E62" s="35"/>
      <c r="F62" s="36"/>
      <c r="G62" s="38"/>
      <c r="H62" s="38"/>
      <c r="I62" s="37"/>
      <c r="J62" s="39"/>
      <c r="K62" s="37"/>
      <c r="L62" s="39"/>
      <c r="M62" s="37"/>
      <c r="N62" s="38"/>
      <c r="O62" s="39"/>
      <c r="P62" s="39"/>
      <c r="Q62" s="39"/>
      <c r="R62" s="39"/>
      <c r="S62" s="40" t="str">
        <f t="shared" si="10"/>
        <v/>
      </c>
      <c r="T62" s="41"/>
      <c r="U62" s="57" t="str">
        <f t="shared" si="2"/>
        <v/>
      </c>
      <c r="V62" s="36"/>
      <c r="W62" s="41"/>
      <c r="X62" s="42" t="str">
        <f t="shared" si="11"/>
        <v/>
      </c>
      <c r="Y62" s="42" t="str">
        <f t="shared" si="4"/>
        <v/>
      </c>
      <c r="Z62" s="36"/>
      <c r="AA62" s="40" t="str">
        <f t="shared" si="8"/>
        <v/>
      </c>
      <c r="AB62" s="43" t="str">
        <f t="shared" si="9"/>
        <v/>
      </c>
    </row>
    <row r="63" spans="2:28" x14ac:dyDescent="0.25">
      <c r="B63" s="45" t="s">
        <v>150</v>
      </c>
      <c r="C63" s="70"/>
      <c r="D63" s="46"/>
      <c r="E63" s="45"/>
      <c r="F63" s="46"/>
      <c r="G63" s="48"/>
      <c r="H63" s="48"/>
      <c r="I63" s="47"/>
      <c r="J63" s="49"/>
      <c r="K63" s="45"/>
      <c r="L63" s="49"/>
      <c r="M63" s="47"/>
      <c r="N63" s="49"/>
      <c r="O63" s="49"/>
      <c r="P63" s="49"/>
      <c r="Q63" s="49"/>
      <c r="R63" s="49"/>
      <c r="S63" s="54" t="str">
        <f t="shared" si="10"/>
        <v/>
      </c>
      <c r="T63" s="51"/>
      <c r="U63" s="54" t="str">
        <f t="shared" si="2"/>
        <v/>
      </c>
      <c r="V63" s="46"/>
      <c r="W63" s="51"/>
      <c r="X63" s="52" t="str">
        <f t="shared" si="11"/>
        <v/>
      </c>
      <c r="Y63" s="52" t="str">
        <f t="shared" si="4"/>
        <v/>
      </c>
      <c r="Z63" s="46"/>
      <c r="AA63" s="50" t="str">
        <f t="shared" si="8"/>
        <v/>
      </c>
      <c r="AB63" s="53" t="str">
        <f t="shared" si="9"/>
        <v/>
      </c>
    </row>
    <row r="64" spans="2:28" x14ac:dyDescent="0.25">
      <c r="B64" s="35" t="s">
        <v>151</v>
      </c>
      <c r="C64" s="69"/>
      <c r="D64" s="36"/>
      <c r="E64" s="35"/>
      <c r="F64" s="36"/>
      <c r="G64" s="38"/>
      <c r="H64" s="38"/>
      <c r="I64" s="37"/>
      <c r="J64" s="39"/>
      <c r="K64" s="37"/>
      <c r="L64" s="39"/>
      <c r="M64" s="37"/>
      <c r="N64" s="38"/>
      <c r="O64" s="39"/>
      <c r="P64" s="39"/>
      <c r="Q64" s="39"/>
      <c r="R64" s="39"/>
      <c r="S64" s="57" t="str">
        <f t="shared" si="10"/>
        <v/>
      </c>
      <c r="T64" s="41"/>
      <c r="U64" s="57" t="str">
        <f t="shared" si="2"/>
        <v/>
      </c>
      <c r="V64" s="36"/>
      <c r="W64" s="41"/>
      <c r="X64" s="42" t="str">
        <f t="shared" si="11"/>
        <v/>
      </c>
      <c r="Y64" s="42" t="str">
        <f t="shared" si="4"/>
        <v/>
      </c>
      <c r="Z64" s="36"/>
      <c r="AA64" s="40" t="str">
        <f t="shared" si="8"/>
        <v/>
      </c>
      <c r="AB64" s="43" t="str">
        <f t="shared" si="9"/>
        <v/>
      </c>
    </row>
    <row r="65" spans="2:28" x14ac:dyDescent="0.25">
      <c r="B65" s="45" t="s">
        <v>152</v>
      </c>
      <c r="C65" s="70"/>
      <c r="D65" s="46"/>
      <c r="E65" s="45"/>
      <c r="F65" s="46"/>
      <c r="G65" s="48"/>
      <c r="H65" s="49"/>
      <c r="I65" s="47"/>
      <c r="J65" s="49"/>
      <c r="K65" s="47"/>
      <c r="L65" s="49"/>
      <c r="M65" s="47"/>
      <c r="N65" s="48"/>
      <c r="O65" s="49"/>
      <c r="P65" s="49"/>
      <c r="Q65" s="49"/>
      <c r="R65" s="49"/>
      <c r="S65" s="54" t="str">
        <f t="shared" si="10"/>
        <v/>
      </c>
      <c r="T65" s="51"/>
      <c r="U65" s="54" t="str">
        <f t="shared" si="2"/>
        <v/>
      </c>
      <c r="V65" s="46"/>
      <c r="W65" s="51"/>
      <c r="X65" s="52" t="str">
        <f t="shared" si="11"/>
        <v/>
      </c>
      <c r="Y65" s="52" t="str">
        <f t="shared" si="4"/>
        <v/>
      </c>
      <c r="Z65" s="46"/>
      <c r="AA65" s="50" t="str">
        <f t="shared" si="8"/>
        <v/>
      </c>
      <c r="AB65" s="53" t="str">
        <f t="shared" si="9"/>
        <v/>
      </c>
    </row>
    <row r="66" spans="2:28" x14ac:dyDescent="0.25">
      <c r="B66" s="35" t="s">
        <v>153</v>
      </c>
      <c r="C66" s="69"/>
      <c r="D66" s="36"/>
      <c r="E66" s="35"/>
      <c r="F66" s="36"/>
      <c r="G66" s="38"/>
      <c r="H66" s="38"/>
      <c r="I66" s="37"/>
      <c r="J66" s="39"/>
      <c r="K66" s="37"/>
      <c r="L66" s="39"/>
      <c r="M66" s="37"/>
      <c r="N66" s="38"/>
      <c r="O66" s="39"/>
      <c r="P66" s="39"/>
      <c r="Q66" s="49"/>
      <c r="R66" s="39"/>
      <c r="S66" s="57" t="str">
        <f t="shared" si="10"/>
        <v/>
      </c>
      <c r="T66" s="41"/>
      <c r="U66" s="57" t="str">
        <f t="shared" si="2"/>
        <v/>
      </c>
      <c r="V66" s="36"/>
      <c r="W66" s="41"/>
      <c r="X66" s="42" t="str">
        <f t="shared" si="11"/>
        <v/>
      </c>
      <c r="Y66" s="42" t="str">
        <f t="shared" si="4"/>
        <v/>
      </c>
      <c r="Z66" s="36"/>
      <c r="AA66" s="40" t="str">
        <f t="shared" si="8"/>
        <v/>
      </c>
      <c r="AB66" s="43" t="str">
        <f t="shared" si="9"/>
        <v/>
      </c>
    </row>
    <row r="67" spans="2:28" x14ac:dyDescent="0.25">
      <c r="B67" s="45" t="s">
        <v>154</v>
      </c>
      <c r="C67" s="70"/>
      <c r="D67" s="46"/>
      <c r="E67" s="45"/>
      <c r="F67" s="46"/>
      <c r="G67" s="48"/>
      <c r="H67" s="49"/>
      <c r="I67" s="47"/>
      <c r="J67" s="49"/>
      <c r="K67" s="47"/>
      <c r="L67" s="49"/>
      <c r="M67" s="47"/>
      <c r="N67" s="48"/>
      <c r="O67" s="49"/>
      <c r="P67" s="49"/>
      <c r="Q67" s="49"/>
      <c r="R67" s="49"/>
      <c r="S67" s="54" t="str">
        <f t="shared" si="10"/>
        <v/>
      </c>
      <c r="T67" s="51"/>
      <c r="U67" s="54" t="str">
        <f t="shared" si="2"/>
        <v/>
      </c>
      <c r="V67" s="46"/>
      <c r="W67" s="51"/>
      <c r="X67" s="55" t="str">
        <f>IF(W67="","",W67/T67)</f>
        <v/>
      </c>
      <c r="Y67" s="55" t="str">
        <f t="shared" si="4"/>
        <v/>
      </c>
      <c r="Z67" s="46"/>
      <c r="AA67" s="50" t="str">
        <f t="shared" si="8"/>
        <v/>
      </c>
      <c r="AB67" s="53" t="str">
        <f t="shared" si="9"/>
        <v/>
      </c>
    </row>
    <row r="68" spans="2:28" x14ac:dyDescent="0.25">
      <c r="B68" s="35" t="s">
        <v>155</v>
      </c>
      <c r="C68" s="69"/>
      <c r="D68" s="36"/>
      <c r="E68" s="35"/>
      <c r="F68" s="36"/>
      <c r="G68" s="38"/>
      <c r="H68" s="38"/>
      <c r="I68" s="37"/>
      <c r="J68" s="39"/>
      <c r="K68" s="37"/>
      <c r="L68" s="39"/>
      <c r="M68" s="37"/>
      <c r="N68" s="38"/>
      <c r="O68" s="39"/>
      <c r="P68" s="39"/>
      <c r="Q68" s="39"/>
      <c r="R68" s="39"/>
      <c r="S68" s="57" t="str">
        <f t="shared" si="10"/>
        <v/>
      </c>
      <c r="T68" s="41"/>
      <c r="U68" s="57" t="str">
        <f t="shared" si="2"/>
        <v/>
      </c>
      <c r="V68" s="36"/>
      <c r="W68" s="41"/>
      <c r="X68" s="58" t="str">
        <f>IF(W68="","",W68/T68)</f>
        <v/>
      </c>
      <c r="Y68" s="58" t="str">
        <f t="shared" si="4"/>
        <v/>
      </c>
      <c r="Z68" s="36"/>
      <c r="AA68" s="40" t="str">
        <f t="shared" si="8"/>
        <v/>
      </c>
      <c r="AB68" s="43" t="str">
        <f t="shared" si="9"/>
        <v/>
      </c>
    </row>
    <row r="69" spans="2:28" x14ac:dyDescent="0.25">
      <c r="B69" s="45" t="s">
        <v>156</v>
      </c>
      <c r="C69" s="70"/>
      <c r="D69" s="46"/>
      <c r="E69" s="45"/>
      <c r="F69" s="46"/>
      <c r="G69" s="48"/>
      <c r="H69" s="48"/>
      <c r="I69" s="47"/>
      <c r="J69" s="49"/>
      <c r="K69" s="45"/>
      <c r="L69" s="49"/>
      <c r="M69" s="47"/>
      <c r="N69" s="49"/>
      <c r="O69" s="49"/>
      <c r="P69" s="49"/>
      <c r="Q69" s="49"/>
      <c r="R69" s="49"/>
      <c r="S69" s="54" t="str">
        <f t="shared" si="10"/>
        <v/>
      </c>
      <c r="T69" s="51"/>
      <c r="U69" s="54" t="str">
        <f t="shared" si="2"/>
        <v/>
      </c>
      <c r="V69" s="46"/>
      <c r="W69" s="51"/>
      <c r="X69" s="55" t="str">
        <f>IF(W69="","",W69/T69)</f>
        <v/>
      </c>
      <c r="Y69" s="55" t="str">
        <f t="shared" si="4"/>
        <v/>
      </c>
      <c r="Z69" s="46"/>
      <c r="AA69" s="54" t="str">
        <f>IF(R69="","",T69-W69)</f>
        <v/>
      </c>
      <c r="AB69" s="56" t="str">
        <f>IF(R69="","",IF(AND(R69&gt;0,Z69=""),AA69,T69-(W69+AA69)))</f>
        <v/>
      </c>
    </row>
    <row r="70" spans="2:28" x14ac:dyDescent="0.25">
      <c r="B70" s="35" t="s">
        <v>157</v>
      </c>
      <c r="C70" s="69"/>
      <c r="D70" s="36"/>
      <c r="E70" s="35"/>
      <c r="F70" s="36"/>
      <c r="G70" s="38"/>
      <c r="H70" s="38"/>
      <c r="I70" s="37"/>
      <c r="J70" s="39"/>
      <c r="K70" s="37"/>
      <c r="L70" s="39"/>
      <c r="M70" s="37"/>
      <c r="N70" s="38"/>
      <c r="O70" s="39"/>
      <c r="P70" s="39"/>
      <c r="Q70" s="39"/>
      <c r="R70" s="39"/>
      <c r="S70" s="57" t="str">
        <f t="shared" si="10"/>
        <v/>
      </c>
      <c r="T70" s="41"/>
      <c r="U70" s="57" t="str">
        <f t="shared" si="2"/>
        <v/>
      </c>
      <c r="V70" s="36"/>
      <c r="W70" s="41"/>
      <c r="X70" s="58" t="str">
        <f>IF(W70="","",W70/T70)</f>
        <v/>
      </c>
      <c r="Y70" s="58" t="str">
        <f t="shared" si="4"/>
        <v/>
      </c>
      <c r="Z70" s="36"/>
      <c r="AA70" s="57" t="str">
        <f>IF(R70="","",T70-W70)</f>
        <v/>
      </c>
      <c r="AB70" s="59" t="str">
        <f>IF(R70="","",IF(AND(R70&gt;0,Z70=""),AA70,T70-(W70+AA70)))</f>
        <v/>
      </c>
    </row>
    <row r="71" spans="2:28" x14ac:dyDescent="0.25">
      <c r="B71" s="45" t="s">
        <v>158</v>
      </c>
      <c r="C71" s="70"/>
      <c r="D71" s="46"/>
      <c r="E71" s="45"/>
      <c r="F71" s="46"/>
      <c r="G71" s="48"/>
      <c r="H71" s="49"/>
      <c r="I71" s="47"/>
      <c r="J71" s="49"/>
      <c r="K71" s="47"/>
      <c r="L71" s="49"/>
      <c r="M71" s="47"/>
      <c r="N71" s="48"/>
      <c r="O71" s="49"/>
      <c r="P71" s="49"/>
      <c r="Q71" s="49"/>
      <c r="R71" s="49"/>
      <c r="S71" s="54" t="str">
        <f t="shared" si="10"/>
        <v/>
      </c>
      <c r="T71" s="51"/>
      <c r="U71" s="54" t="str">
        <f t="shared" si="2"/>
        <v/>
      </c>
      <c r="V71" s="46"/>
      <c r="W71" s="51"/>
      <c r="X71" s="55" t="str">
        <f>IF(W71="","",W71/T71)</f>
        <v/>
      </c>
      <c r="Y71" s="55" t="str">
        <f t="shared" si="4"/>
        <v/>
      </c>
      <c r="Z71" s="46"/>
      <c r="AA71" s="54" t="str">
        <f>IF(R71="","",T71-W71)</f>
        <v/>
      </c>
      <c r="AB71" s="56" t="str">
        <f>IF(R71="","",IF(AND(R71&gt;0,Z71=""),AA71,T71-(W71+AA71)))</f>
        <v/>
      </c>
    </row>
    <row r="72" spans="2:28" x14ac:dyDescent="0.25">
      <c r="B72" s="35" t="s">
        <v>159</v>
      </c>
      <c r="C72" s="69"/>
      <c r="D72" s="36"/>
      <c r="E72" s="35"/>
      <c r="F72" s="36"/>
      <c r="G72" s="38"/>
      <c r="H72" s="38"/>
      <c r="I72" s="37"/>
      <c r="J72" s="39"/>
      <c r="K72" s="37"/>
      <c r="L72" s="39"/>
      <c r="M72" s="37"/>
      <c r="N72" s="38"/>
      <c r="O72" s="39"/>
      <c r="P72" s="39"/>
      <c r="Q72" s="49"/>
      <c r="R72" s="39"/>
      <c r="S72" s="57" t="str">
        <f t="shared" ref="S72:S135" si="12">IF(R72="","",IF(R72=1,300,IF(R72=2,370,IF(R72=3,630,IF(R72=4,830,IF(R72=5,370,IF(R72=6,430,IF(R72=7,530,IF(R72=8,370,IF(R72=9,700,IF(R72=10,870,IF(R72=11,370,IF(R72=12,370,IF(R72=13,370,IF(R72=13,370,IF(R72=14,370,IF(R72=15,370,IF(R72=16,300,IF(R72=17,300,IF(R72=18,170,IF(R72=19,330)))))))))))))))))))))</f>
        <v/>
      </c>
      <c r="T72" s="41"/>
      <c r="U72" s="57" t="str">
        <f t="shared" ref="U72:U135" si="13">IF(R72="","",IF(T72&gt;(5*S72),"ACIMA","OK"))</f>
        <v/>
      </c>
      <c r="V72" s="36"/>
      <c r="W72" s="41"/>
      <c r="X72" s="58" t="str">
        <f t="shared" ref="X72:X135" si="14">IF(W72="","",W72/T72)</f>
        <v/>
      </c>
      <c r="Y72" s="58" t="str">
        <f t="shared" ref="Y72:Y135" si="15">IF(X72="","",IF(X72&gt;$Y$5,"ACIMA","OK"))</f>
        <v/>
      </c>
      <c r="Z72" s="36"/>
      <c r="AA72" s="57" t="str">
        <f t="shared" ref="AA72:AA135" si="16">IF(R72="","",T72-W72)</f>
        <v/>
      </c>
      <c r="AB72" s="59" t="str">
        <f t="shared" ref="AB72:AB135" si="17">IF(R72="","",IF(AND(R72&gt;0,Z72=""),AA72,T72-(W72+AA72)))</f>
        <v/>
      </c>
    </row>
    <row r="73" spans="2:28" x14ac:dyDescent="0.25">
      <c r="B73" s="45" t="s">
        <v>160</v>
      </c>
      <c r="C73" s="70"/>
      <c r="D73" s="46"/>
      <c r="E73" s="45"/>
      <c r="F73" s="46"/>
      <c r="G73" s="48"/>
      <c r="H73" s="49"/>
      <c r="I73" s="47"/>
      <c r="J73" s="49"/>
      <c r="K73" s="47"/>
      <c r="L73" s="49"/>
      <c r="M73" s="47"/>
      <c r="N73" s="48"/>
      <c r="O73" s="49"/>
      <c r="P73" s="49"/>
      <c r="Q73" s="49"/>
      <c r="R73" s="49"/>
      <c r="S73" s="54" t="str">
        <f t="shared" si="12"/>
        <v/>
      </c>
      <c r="T73" s="51"/>
      <c r="U73" s="54" t="str">
        <f t="shared" si="13"/>
        <v/>
      </c>
      <c r="V73" s="46"/>
      <c r="W73" s="51"/>
      <c r="X73" s="55" t="str">
        <f t="shared" si="14"/>
        <v/>
      </c>
      <c r="Y73" s="55" t="str">
        <f t="shared" si="15"/>
        <v/>
      </c>
      <c r="Z73" s="46"/>
      <c r="AA73" s="54" t="str">
        <f t="shared" si="16"/>
        <v/>
      </c>
      <c r="AB73" s="56" t="str">
        <f t="shared" si="17"/>
        <v/>
      </c>
    </row>
    <row r="74" spans="2:28" x14ac:dyDescent="0.25">
      <c r="B74" s="35" t="s">
        <v>161</v>
      </c>
      <c r="C74" s="69"/>
      <c r="D74" s="36"/>
      <c r="E74" s="35"/>
      <c r="F74" s="36"/>
      <c r="G74" s="38"/>
      <c r="H74" s="38"/>
      <c r="I74" s="37"/>
      <c r="J74" s="39"/>
      <c r="K74" s="37"/>
      <c r="L74" s="39"/>
      <c r="M74" s="37"/>
      <c r="N74" s="38"/>
      <c r="O74" s="39"/>
      <c r="P74" s="39"/>
      <c r="Q74" s="39"/>
      <c r="R74" s="39"/>
      <c r="S74" s="57" t="str">
        <f t="shared" si="12"/>
        <v/>
      </c>
      <c r="T74" s="41"/>
      <c r="U74" s="57" t="str">
        <f t="shared" si="13"/>
        <v/>
      </c>
      <c r="V74" s="36"/>
      <c r="W74" s="41"/>
      <c r="X74" s="58" t="str">
        <f t="shared" si="14"/>
        <v/>
      </c>
      <c r="Y74" s="58" t="str">
        <f t="shared" si="15"/>
        <v/>
      </c>
      <c r="Z74" s="36"/>
      <c r="AA74" s="57" t="str">
        <f t="shared" si="16"/>
        <v/>
      </c>
      <c r="AB74" s="59" t="str">
        <f t="shared" si="17"/>
        <v/>
      </c>
    </row>
    <row r="75" spans="2:28" x14ac:dyDescent="0.25">
      <c r="B75" s="45" t="s">
        <v>162</v>
      </c>
      <c r="C75" s="70"/>
      <c r="D75" s="46"/>
      <c r="E75" s="45"/>
      <c r="F75" s="46"/>
      <c r="G75" s="48"/>
      <c r="H75" s="48"/>
      <c r="I75" s="47"/>
      <c r="J75" s="49"/>
      <c r="K75" s="45"/>
      <c r="L75" s="49"/>
      <c r="M75" s="47"/>
      <c r="N75" s="49"/>
      <c r="O75" s="49"/>
      <c r="P75" s="49"/>
      <c r="Q75" s="49"/>
      <c r="R75" s="49"/>
      <c r="S75" s="54" t="str">
        <f t="shared" si="12"/>
        <v/>
      </c>
      <c r="T75" s="51"/>
      <c r="U75" s="54" t="str">
        <f t="shared" si="13"/>
        <v/>
      </c>
      <c r="V75" s="46"/>
      <c r="W75" s="51"/>
      <c r="X75" s="55" t="str">
        <f t="shared" si="14"/>
        <v/>
      </c>
      <c r="Y75" s="55" t="str">
        <f t="shared" si="15"/>
        <v/>
      </c>
      <c r="Z75" s="46"/>
      <c r="AA75" s="54" t="str">
        <f t="shared" si="16"/>
        <v/>
      </c>
      <c r="AB75" s="56" t="str">
        <f t="shared" si="17"/>
        <v/>
      </c>
    </row>
    <row r="76" spans="2:28" x14ac:dyDescent="0.25">
      <c r="B76" s="35" t="s">
        <v>163</v>
      </c>
      <c r="C76" s="69"/>
      <c r="D76" s="36"/>
      <c r="E76" s="35"/>
      <c r="F76" s="36"/>
      <c r="G76" s="38"/>
      <c r="H76" s="38"/>
      <c r="I76" s="37"/>
      <c r="J76" s="39"/>
      <c r="K76" s="37"/>
      <c r="L76" s="39"/>
      <c r="M76" s="37"/>
      <c r="N76" s="38"/>
      <c r="O76" s="39"/>
      <c r="P76" s="39"/>
      <c r="Q76" s="39"/>
      <c r="R76" s="39"/>
      <c r="S76" s="57" t="str">
        <f t="shared" si="12"/>
        <v/>
      </c>
      <c r="T76" s="41"/>
      <c r="U76" s="57" t="str">
        <f t="shared" si="13"/>
        <v/>
      </c>
      <c r="V76" s="36"/>
      <c r="W76" s="41"/>
      <c r="X76" s="58" t="str">
        <f t="shared" si="14"/>
        <v/>
      </c>
      <c r="Y76" s="58" t="str">
        <f t="shared" si="15"/>
        <v/>
      </c>
      <c r="Z76" s="36"/>
      <c r="AA76" s="57" t="str">
        <f t="shared" si="16"/>
        <v/>
      </c>
      <c r="AB76" s="59" t="str">
        <f t="shared" si="17"/>
        <v/>
      </c>
    </row>
    <row r="77" spans="2:28" x14ac:dyDescent="0.25">
      <c r="B77" s="45" t="s">
        <v>164</v>
      </c>
      <c r="C77" s="70"/>
      <c r="D77" s="46"/>
      <c r="E77" s="45"/>
      <c r="F77" s="46"/>
      <c r="G77" s="48"/>
      <c r="H77" s="49"/>
      <c r="I77" s="47"/>
      <c r="J77" s="49"/>
      <c r="K77" s="47"/>
      <c r="L77" s="49"/>
      <c r="M77" s="47"/>
      <c r="N77" s="48"/>
      <c r="O77" s="49"/>
      <c r="P77" s="49"/>
      <c r="Q77" s="49"/>
      <c r="R77" s="49"/>
      <c r="S77" s="54" t="str">
        <f t="shared" si="12"/>
        <v/>
      </c>
      <c r="T77" s="51"/>
      <c r="U77" s="54" t="str">
        <f t="shared" si="13"/>
        <v/>
      </c>
      <c r="V77" s="46"/>
      <c r="W77" s="51"/>
      <c r="X77" s="55" t="str">
        <f t="shared" si="14"/>
        <v/>
      </c>
      <c r="Y77" s="55" t="str">
        <f t="shared" si="15"/>
        <v/>
      </c>
      <c r="Z77" s="46"/>
      <c r="AA77" s="54" t="str">
        <f t="shared" si="16"/>
        <v/>
      </c>
      <c r="AB77" s="56" t="str">
        <f t="shared" si="17"/>
        <v/>
      </c>
    </row>
    <row r="78" spans="2:28" x14ac:dyDescent="0.25">
      <c r="B78" s="35" t="s">
        <v>165</v>
      </c>
      <c r="C78" s="69"/>
      <c r="D78" s="36"/>
      <c r="E78" s="35"/>
      <c r="F78" s="36"/>
      <c r="G78" s="38"/>
      <c r="H78" s="38"/>
      <c r="I78" s="37"/>
      <c r="J78" s="39"/>
      <c r="K78" s="37"/>
      <c r="L78" s="39"/>
      <c r="M78" s="37"/>
      <c r="N78" s="38"/>
      <c r="O78" s="39"/>
      <c r="P78" s="39"/>
      <c r="Q78" s="49"/>
      <c r="R78" s="39"/>
      <c r="S78" s="57" t="str">
        <f t="shared" si="12"/>
        <v/>
      </c>
      <c r="T78" s="41"/>
      <c r="U78" s="57" t="str">
        <f t="shared" si="13"/>
        <v/>
      </c>
      <c r="V78" s="36"/>
      <c r="W78" s="41"/>
      <c r="X78" s="58" t="str">
        <f t="shared" si="14"/>
        <v/>
      </c>
      <c r="Y78" s="58" t="str">
        <f t="shared" si="15"/>
        <v/>
      </c>
      <c r="Z78" s="36"/>
      <c r="AA78" s="57" t="str">
        <f t="shared" si="16"/>
        <v/>
      </c>
      <c r="AB78" s="59" t="str">
        <f t="shared" si="17"/>
        <v/>
      </c>
    </row>
    <row r="79" spans="2:28" x14ac:dyDescent="0.25">
      <c r="B79" s="45" t="s">
        <v>166</v>
      </c>
      <c r="C79" s="70"/>
      <c r="D79" s="46"/>
      <c r="E79" s="45"/>
      <c r="F79" s="46"/>
      <c r="G79" s="48"/>
      <c r="H79" s="49"/>
      <c r="I79" s="47"/>
      <c r="J79" s="49"/>
      <c r="K79" s="47"/>
      <c r="L79" s="49"/>
      <c r="M79" s="47"/>
      <c r="N79" s="48"/>
      <c r="O79" s="49"/>
      <c r="P79" s="49"/>
      <c r="Q79" s="49"/>
      <c r="R79" s="49"/>
      <c r="S79" s="54" t="str">
        <f t="shared" si="12"/>
        <v/>
      </c>
      <c r="T79" s="51"/>
      <c r="U79" s="54" t="str">
        <f t="shared" si="13"/>
        <v/>
      </c>
      <c r="V79" s="46"/>
      <c r="W79" s="51"/>
      <c r="X79" s="55" t="str">
        <f t="shared" si="14"/>
        <v/>
      </c>
      <c r="Y79" s="55" t="str">
        <f t="shared" si="15"/>
        <v/>
      </c>
      <c r="Z79" s="46"/>
      <c r="AA79" s="54" t="str">
        <f t="shared" si="16"/>
        <v/>
      </c>
      <c r="AB79" s="56" t="str">
        <f t="shared" si="17"/>
        <v/>
      </c>
    </row>
    <row r="80" spans="2:28" x14ac:dyDescent="0.25">
      <c r="B80" s="35" t="s">
        <v>167</v>
      </c>
      <c r="C80" s="69"/>
      <c r="D80" s="36"/>
      <c r="E80" s="35"/>
      <c r="F80" s="36"/>
      <c r="G80" s="38"/>
      <c r="H80" s="38"/>
      <c r="I80" s="37"/>
      <c r="J80" s="39"/>
      <c r="K80" s="37"/>
      <c r="L80" s="39"/>
      <c r="M80" s="37"/>
      <c r="N80" s="38"/>
      <c r="O80" s="39"/>
      <c r="P80" s="39"/>
      <c r="Q80" s="39"/>
      <c r="R80" s="39"/>
      <c r="S80" s="57" t="str">
        <f t="shared" si="12"/>
        <v/>
      </c>
      <c r="T80" s="41"/>
      <c r="U80" s="57" t="str">
        <f t="shared" si="13"/>
        <v/>
      </c>
      <c r="V80" s="36"/>
      <c r="W80" s="41"/>
      <c r="X80" s="58" t="str">
        <f t="shared" si="14"/>
        <v/>
      </c>
      <c r="Y80" s="58" t="str">
        <f t="shared" si="15"/>
        <v/>
      </c>
      <c r="Z80" s="36"/>
      <c r="AA80" s="57" t="str">
        <f t="shared" si="16"/>
        <v/>
      </c>
      <c r="AB80" s="59" t="str">
        <f t="shared" si="17"/>
        <v/>
      </c>
    </row>
    <row r="81" spans="2:28" x14ac:dyDescent="0.25">
      <c r="B81" s="45" t="s">
        <v>168</v>
      </c>
      <c r="C81" s="70"/>
      <c r="D81" s="46"/>
      <c r="E81" s="45"/>
      <c r="F81" s="46"/>
      <c r="G81" s="48"/>
      <c r="H81" s="48"/>
      <c r="I81" s="47"/>
      <c r="J81" s="49"/>
      <c r="K81" s="45"/>
      <c r="L81" s="49"/>
      <c r="M81" s="47"/>
      <c r="N81" s="49"/>
      <c r="O81" s="49"/>
      <c r="P81" s="49"/>
      <c r="Q81" s="49"/>
      <c r="R81" s="49"/>
      <c r="S81" s="54" t="str">
        <f t="shared" si="12"/>
        <v/>
      </c>
      <c r="T81" s="51"/>
      <c r="U81" s="54" t="str">
        <f t="shared" si="13"/>
        <v/>
      </c>
      <c r="V81" s="46"/>
      <c r="W81" s="51"/>
      <c r="X81" s="55" t="str">
        <f t="shared" si="14"/>
        <v/>
      </c>
      <c r="Y81" s="55" t="str">
        <f t="shared" si="15"/>
        <v/>
      </c>
      <c r="Z81" s="46"/>
      <c r="AA81" s="54" t="str">
        <f t="shared" si="16"/>
        <v/>
      </c>
      <c r="AB81" s="56" t="str">
        <f t="shared" si="17"/>
        <v/>
      </c>
    </row>
    <row r="82" spans="2:28" x14ac:dyDescent="0.25">
      <c r="B82" s="35" t="s">
        <v>169</v>
      </c>
      <c r="C82" s="69"/>
      <c r="D82" s="36"/>
      <c r="E82" s="35"/>
      <c r="F82" s="36"/>
      <c r="G82" s="38"/>
      <c r="H82" s="38"/>
      <c r="I82" s="37"/>
      <c r="J82" s="39"/>
      <c r="K82" s="37"/>
      <c r="L82" s="39"/>
      <c r="M82" s="37"/>
      <c r="N82" s="38"/>
      <c r="O82" s="39"/>
      <c r="P82" s="39"/>
      <c r="Q82" s="39"/>
      <c r="R82" s="39"/>
      <c r="S82" s="57" t="str">
        <f t="shared" si="12"/>
        <v/>
      </c>
      <c r="T82" s="41"/>
      <c r="U82" s="57" t="str">
        <f t="shared" si="13"/>
        <v/>
      </c>
      <c r="V82" s="36"/>
      <c r="W82" s="41"/>
      <c r="X82" s="58" t="str">
        <f t="shared" si="14"/>
        <v/>
      </c>
      <c r="Y82" s="58" t="str">
        <f t="shared" si="15"/>
        <v/>
      </c>
      <c r="Z82" s="36"/>
      <c r="AA82" s="57" t="str">
        <f t="shared" si="16"/>
        <v/>
      </c>
      <c r="AB82" s="59" t="str">
        <f t="shared" si="17"/>
        <v/>
      </c>
    </row>
    <row r="83" spans="2:28" x14ac:dyDescent="0.25">
      <c r="B83" s="45" t="s">
        <v>170</v>
      </c>
      <c r="C83" s="70"/>
      <c r="D83" s="46"/>
      <c r="E83" s="45"/>
      <c r="F83" s="46"/>
      <c r="G83" s="48"/>
      <c r="H83" s="49"/>
      <c r="I83" s="47"/>
      <c r="J83" s="49"/>
      <c r="K83" s="47"/>
      <c r="L83" s="49"/>
      <c r="M83" s="47"/>
      <c r="N83" s="48"/>
      <c r="O83" s="49"/>
      <c r="P83" s="49"/>
      <c r="Q83" s="49"/>
      <c r="R83" s="49"/>
      <c r="S83" s="54" t="str">
        <f t="shared" si="12"/>
        <v/>
      </c>
      <c r="T83" s="51"/>
      <c r="U83" s="54" t="str">
        <f t="shared" si="13"/>
        <v/>
      </c>
      <c r="V83" s="46"/>
      <c r="W83" s="51"/>
      <c r="X83" s="55" t="str">
        <f t="shared" si="14"/>
        <v/>
      </c>
      <c r="Y83" s="55" t="str">
        <f t="shared" si="15"/>
        <v/>
      </c>
      <c r="Z83" s="46"/>
      <c r="AA83" s="54" t="str">
        <f t="shared" si="16"/>
        <v/>
      </c>
      <c r="AB83" s="56" t="str">
        <f t="shared" si="17"/>
        <v/>
      </c>
    </row>
    <row r="84" spans="2:28" x14ac:dyDescent="0.25">
      <c r="B84" s="35" t="s">
        <v>171</v>
      </c>
      <c r="C84" s="69"/>
      <c r="D84" s="36"/>
      <c r="E84" s="35"/>
      <c r="F84" s="36"/>
      <c r="G84" s="38"/>
      <c r="H84" s="38"/>
      <c r="I84" s="37"/>
      <c r="J84" s="39"/>
      <c r="K84" s="37"/>
      <c r="L84" s="39"/>
      <c r="M84" s="37"/>
      <c r="N84" s="38"/>
      <c r="O84" s="39"/>
      <c r="P84" s="39"/>
      <c r="Q84" s="49"/>
      <c r="R84" s="39"/>
      <c r="S84" s="57" t="str">
        <f t="shared" si="12"/>
        <v/>
      </c>
      <c r="T84" s="41"/>
      <c r="U84" s="57" t="str">
        <f t="shared" si="13"/>
        <v/>
      </c>
      <c r="V84" s="36"/>
      <c r="W84" s="41"/>
      <c r="X84" s="58" t="str">
        <f t="shared" si="14"/>
        <v/>
      </c>
      <c r="Y84" s="58" t="str">
        <f t="shared" si="15"/>
        <v/>
      </c>
      <c r="Z84" s="36"/>
      <c r="AA84" s="57" t="str">
        <f t="shared" si="16"/>
        <v/>
      </c>
      <c r="AB84" s="59" t="str">
        <f t="shared" si="17"/>
        <v/>
      </c>
    </row>
    <row r="85" spans="2:28" x14ac:dyDescent="0.25">
      <c r="B85" s="45" t="s">
        <v>172</v>
      </c>
      <c r="C85" s="70"/>
      <c r="D85" s="46"/>
      <c r="E85" s="45"/>
      <c r="F85" s="46"/>
      <c r="G85" s="48"/>
      <c r="H85" s="49"/>
      <c r="I85" s="47"/>
      <c r="J85" s="49"/>
      <c r="K85" s="47"/>
      <c r="L85" s="49"/>
      <c r="M85" s="47"/>
      <c r="N85" s="48"/>
      <c r="O85" s="49"/>
      <c r="P85" s="49"/>
      <c r="Q85" s="49"/>
      <c r="R85" s="49"/>
      <c r="S85" s="54" t="str">
        <f t="shared" si="12"/>
        <v/>
      </c>
      <c r="T85" s="51"/>
      <c r="U85" s="54" t="str">
        <f t="shared" si="13"/>
        <v/>
      </c>
      <c r="V85" s="46"/>
      <c r="W85" s="51"/>
      <c r="X85" s="55" t="str">
        <f t="shared" si="14"/>
        <v/>
      </c>
      <c r="Y85" s="55" t="str">
        <f t="shared" si="15"/>
        <v/>
      </c>
      <c r="Z85" s="46"/>
      <c r="AA85" s="54" t="str">
        <f t="shared" si="16"/>
        <v/>
      </c>
      <c r="AB85" s="56" t="str">
        <f t="shared" si="17"/>
        <v/>
      </c>
    </row>
    <row r="86" spans="2:28" x14ac:dyDescent="0.25">
      <c r="B86" s="35" t="s">
        <v>173</v>
      </c>
      <c r="C86" s="69"/>
      <c r="D86" s="36"/>
      <c r="E86" s="35"/>
      <c r="F86" s="36"/>
      <c r="G86" s="38"/>
      <c r="H86" s="38"/>
      <c r="I86" s="37"/>
      <c r="J86" s="39"/>
      <c r="K86" s="37"/>
      <c r="L86" s="39"/>
      <c r="M86" s="37"/>
      <c r="N86" s="38"/>
      <c r="O86" s="39"/>
      <c r="P86" s="39"/>
      <c r="Q86" s="39"/>
      <c r="R86" s="39"/>
      <c r="S86" s="57" t="str">
        <f t="shared" si="12"/>
        <v/>
      </c>
      <c r="T86" s="41"/>
      <c r="U86" s="57" t="str">
        <f t="shared" si="13"/>
        <v/>
      </c>
      <c r="V86" s="36"/>
      <c r="W86" s="41"/>
      <c r="X86" s="58" t="str">
        <f t="shared" si="14"/>
        <v/>
      </c>
      <c r="Y86" s="58" t="str">
        <f t="shared" si="15"/>
        <v/>
      </c>
      <c r="Z86" s="36"/>
      <c r="AA86" s="57" t="str">
        <f t="shared" si="16"/>
        <v/>
      </c>
      <c r="AB86" s="59" t="str">
        <f t="shared" si="17"/>
        <v/>
      </c>
    </row>
    <row r="87" spans="2:28" x14ac:dyDescent="0.25">
      <c r="B87" s="45" t="s">
        <v>174</v>
      </c>
      <c r="C87" s="70"/>
      <c r="D87" s="46"/>
      <c r="E87" s="45"/>
      <c r="F87" s="46"/>
      <c r="G87" s="48"/>
      <c r="H87" s="48"/>
      <c r="I87" s="47"/>
      <c r="J87" s="49"/>
      <c r="K87" s="45"/>
      <c r="L87" s="49"/>
      <c r="M87" s="47"/>
      <c r="N87" s="49"/>
      <c r="O87" s="49"/>
      <c r="P87" s="49"/>
      <c r="Q87" s="49"/>
      <c r="R87" s="49"/>
      <c r="S87" s="54" t="str">
        <f t="shared" si="12"/>
        <v/>
      </c>
      <c r="T87" s="51"/>
      <c r="U87" s="54" t="str">
        <f t="shared" si="13"/>
        <v/>
      </c>
      <c r="V87" s="46"/>
      <c r="W87" s="51"/>
      <c r="X87" s="55" t="str">
        <f t="shared" si="14"/>
        <v/>
      </c>
      <c r="Y87" s="55" t="str">
        <f t="shared" si="15"/>
        <v/>
      </c>
      <c r="Z87" s="46"/>
      <c r="AA87" s="54" t="str">
        <f t="shared" si="16"/>
        <v/>
      </c>
      <c r="AB87" s="56" t="str">
        <f t="shared" si="17"/>
        <v/>
      </c>
    </row>
    <row r="88" spans="2:28" x14ac:dyDescent="0.25">
      <c r="B88" s="35" t="s">
        <v>175</v>
      </c>
      <c r="C88" s="69"/>
      <c r="D88" s="36"/>
      <c r="E88" s="35"/>
      <c r="F88" s="36"/>
      <c r="G88" s="38"/>
      <c r="H88" s="38"/>
      <c r="I88" s="37"/>
      <c r="J88" s="39"/>
      <c r="K88" s="37"/>
      <c r="L88" s="39"/>
      <c r="M88" s="37"/>
      <c r="N88" s="38"/>
      <c r="O88" s="39"/>
      <c r="P88" s="39"/>
      <c r="Q88" s="39"/>
      <c r="R88" s="39"/>
      <c r="S88" s="57" t="str">
        <f t="shared" si="12"/>
        <v/>
      </c>
      <c r="T88" s="41"/>
      <c r="U88" s="57" t="str">
        <f t="shared" si="13"/>
        <v/>
      </c>
      <c r="V88" s="36"/>
      <c r="W88" s="41"/>
      <c r="X88" s="58" t="str">
        <f t="shared" si="14"/>
        <v/>
      </c>
      <c r="Y88" s="58" t="str">
        <f t="shared" si="15"/>
        <v/>
      </c>
      <c r="Z88" s="36"/>
      <c r="AA88" s="57" t="str">
        <f t="shared" si="16"/>
        <v/>
      </c>
      <c r="AB88" s="59" t="str">
        <f t="shared" si="17"/>
        <v/>
      </c>
    </row>
    <row r="89" spans="2:28" x14ac:dyDescent="0.25">
      <c r="B89" s="45" t="s">
        <v>176</v>
      </c>
      <c r="C89" s="70"/>
      <c r="D89" s="46"/>
      <c r="E89" s="45"/>
      <c r="F89" s="46"/>
      <c r="G89" s="48"/>
      <c r="H89" s="49"/>
      <c r="I89" s="47"/>
      <c r="J89" s="49"/>
      <c r="K89" s="47"/>
      <c r="L89" s="49"/>
      <c r="M89" s="47"/>
      <c r="N89" s="48"/>
      <c r="O89" s="49"/>
      <c r="P89" s="49"/>
      <c r="Q89" s="49"/>
      <c r="R89" s="49"/>
      <c r="S89" s="54" t="str">
        <f t="shared" si="12"/>
        <v/>
      </c>
      <c r="T89" s="51"/>
      <c r="U89" s="54" t="str">
        <f t="shared" si="13"/>
        <v/>
      </c>
      <c r="V89" s="46"/>
      <c r="W89" s="51"/>
      <c r="X89" s="55" t="str">
        <f t="shared" si="14"/>
        <v/>
      </c>
      <c r="Y89" s="55" t="str">
        <f t="shared" si="15"/>
        <v/>
      </c>
      <c r="Z89" s="46"/>
      <c r="AA89" s="54" t="str">
        <f t="shared" si="16"/>
        <v/>
      </c>
      <c r="AB89" s="56" t="str">
        <f t="shared" si="17"/>
        <v/>
      </c>
    </row>
    <row r="90" spans="2:28" x14ac:dyDescent="0.25">
      <c r="B90" s="35" t="s">
        <v>177</v>
      </c>
      <c r="C90" s="69"/>
      <c r="D90" s="36"/>
      <c r="E90" s="35"/>
      <c r="F90" s="36"/>
      <c r="G90" s="38"/>
      <c r="H90" s="38"/>
      <c r="I90" s="37"/>
      <c r="J90" s="39"/>
      <c r="K90" s="37"/>
      <c r="L90" s="39"/>
      <c r="M90" s="37"/>
      <c r="N90" s="38"/>
      <c r="O90" s="39"/>
      <c r="P90" s="39"/>
      <c r="Q90" s="49"/>
      <c r="R90" s="39"/>
      <c r="S90" s="57" t="str">
        <f t="shared" si="12"/>
        <v/>
      </c>
      <c r="T90" s="41"/>
      <c r="U90" s="57" t="str">
        <f t="shared" si="13"/>
        <v/>
      </c>
      <c r="V90" s="36"/>
      <c r="W90" s="41"/>
      <c r="X90" s="58" t="str">
        <f t="shared" si="14"/>
        <v/>
      </c>
      <c r="Y90" s="58" t="str">
        <f t="shared" si="15"/>
        <v/>
      </c>
      <c r="Z90" s="36"/>
      <c r="AA90" s="57" t="str">
        <f t="shared" si="16"/>
        <v/>
      </c>
      <c r="AB90" s="59" t="str">
        <f t="shared" si="17"/>
        <v/>
      </c>
    </row>
    <row r="91" spans="2:28" x14ac:dyDescent="0.25">
      <c r="B91" s="45" t="s">
        <v>178</v>
      </c>
      <c r="C91" s="70"/>
      <c r="D91" s="46"/>
      <c r="E91" s="45"/>
      <c r="F91" s="46"/>
      <c r="G91" s="48"/>
      <c r="H91" s="49"/>
      <c r="I91" s="47"/>
      <c r="J91" s="49"/>
      <c r="K91" s="47"/>
      <c r="L91" s="49"/>
      <c r="M91" s="47"/>
      <c r="N91" s="48"/>
      <c r="O91" s="49"/>
      <c r="P91" s="49"/>
      <c r="Q91" s="49"/>
      <c r="R91" s="49"/>
      <c r="S91" s="54" t="str">
        <f t="shared" si="12"/>
        <v/>
      </c>
      <c r="T91" s="51"/>
      <c r="U91" s="54" t="str">
        <f t="shared" si="13"/>
        <v/>
      </c>
      <c r="V91" s="46"/>
      <c r="W91" s="51"/>
      <c r="X91" s="55" t="str">
        <f t="shared" si="14"/>
        <v/>
      </c>
      <c r="Y91" s="55" t="str">
        <f t="shared" si="15"/>
        <v/>
      </c>
      <c r="Z91" s="46"/>
      <c r="AA91" s="54" t="str">
        <f t="shared" si="16"/>
        <v/>
      </c>
      <c r="AB91" s="56" t="str">
        <f t="shared" si="17"/>
        <v/>
      </c>
    </row>
    <row r="92" spans="2:28" x14ac:dyDescent="0.25">
      <c r="B92" s="35" t="s">
        <v>179</v>
      </c>
      <c r="C92" s="69"/>
      <c r="D92" s="36"/>
      <c r="E92" s="35"/>
      <c r="F92" s="36"/>
      <c r="G92" s="38"/>
      <c r="H92" s="38"/>
      <c r="I92" s="37"/>
      <c r="J92" s="39"/>
      <c r="K92" s="37"/>
      <c r="L92" s="39"/>
      <c r="M92" s="37"/>
      <c r="N92" s="38"/>
      <c r="O92" s="39"/>
      <c r="P92" s="39"/>
      <c r="Q92" s="39"/>
      <c r="R92" s="39"/>
      <c r="S92" s="57" t="str">
        <f t="shared" si="12"/>
        <v/>
      </c>
      <c r="T92" s="41"/>
      <c r="U92" s="57" t="str">
        <f t="shared" si="13"/>
        <v/>
      </c>
      <c r="V92" s="36"/>
      <c r="W92" s="41"/>
      <c r="X92" s="58" t="str">
        <f t="shared" si="14"/>
        <v/>
      </c>
      <c r="Y92" s="58" t="str">
        <f t="shared" si="15"/>
        <v/>
      </c>
      <c r="Z92" s="36"/>
      <c r="AA92" s="57" t="str">
        <f t="shared" si="16"/>
        <v/>
      </c>
      <c r="AB92" s="59" t="str">
        <f t="shared" si="17"/>
        <v/>
      </c>
    </row>
    <row r="93" spans="2:28" x14ac:dyDescent="0.25">
      <c r="B93" s="45" t="s">
        <v>180</v>
      </c>
      <c r="C93" s="70"/>
      <c r="D93" s="46"/>
      <c r="E93" s="45"/>
      <c r="F93" s="46"/>
      <c r="G93" s="48"/>
      <c r="H93" s="48"/>
      <c r="I93" s="47"/>
      <c r="J93" s="49"/>
      <c r="K93" s="45"/>
      <c r="L93" s="49"/>
      <c r="M93" s="47"/>
      <c r="N93" s="49"/>
      <c r="O93" s="49"/>
      <c r="P93" s="49"/>
      <c r="Q93" s="49"/>
      <c r="R93" s="49"/>
      <c r="S93" s="54" t="str">
        <f t="shared" si="12"/>
        <v/>
      </c>
      <c r="T93" s="51"/>
      <c r="U93" s="54" t="str">
        <f t="shared" si="13"/>
        <v/>
      </c>
      <c r="V93" s="46"/>
      <c r="W93" s="51"/>
      <c r="X93" s="55" t="str">
        <f t="shared" si="14"/>
        <v/>
      </c>
      <c r="Y93" s="55" t="str">
        <f t="shared" si="15"/>
        <v/>
      </c>
      <c r="Z93" s="46"/>
      <c r="AA93" s="54" t="str">
        <f t="shared" si="16"/>
        <v/>
      </c>
      <c r="AB93" s="56" t="str">
        <f t="shared" si="17"/>
        <v/>
      </c>
    </row>
    <row r="94" spans="2:28" x14ac:dyDescent="0.25">
      <c r="B94" s="35" t="s">
        <v>181</v>
      </c>
      <c r="C94" s="69"/>
      <c r="D94" s="36"/>
      <c r="E94" s="35"/>
      <c r="F94" s="36"/>
      <c r="G94" s="38"/>
      <c r="H94" s="38"/>
      <c r="I94" s="37"/>
      <c r="J94" s="39"/>
      <c r="K94" s="37"/>
      <c r="L94" s="39"/>
      <c r="M94" s="37"/>
      <c r="N94" s="38"/>
      <c r="O94" s="39"/>
      <c r="P94" s="39"/>
      <c r="Q94" s="39"/>
      <c r="R94" s="39"/>
      <c r="S94" s="57" t="str">
        <f t="shared" si="12"/>
        <v/>
      </c>
      <c r="T94" s="41"/>
      <c r="U94" s="57" t="str">
        <f t="shared" si="13"/>
        <v/>
      </c>
      <c r="V94" s="36"/>
      <c r="W94" s="41"/>
      <c r="X94" s="58" t="str">
        <f t="shared" si="14"/>
        <v/>
      </c>
      <c r="Y94" s="58" t="str">
        <f t="shared" si="15"/>
        <v/>
      </c>
      <c r="Z94" s="36"/>
      <c r="AA94" s="57" t="str">
        <f t="shared" si="16"/>
        <v/>
      </c>
      <c r="AB94" s="59" t="str">
        <f t="shared" si="17"/>
        <v/>
      </c>
    </row>
    <row r="95" spans="2:28" x14ac:dyDescent="0.25">
      <c r="B95" s="45" t="s">
        <v>182</v>
      </c>
      <c r="C95" s="70"/>
      <c r="D95" s="46"/>
      <c r="E95" s="45"/>
      <c r="F95" s="46"/>
      <c r="G95" s="48"/>
      <c r="H95" s="49"/>
      <c r="I95" s="47"/>
      <c r="J95" s="49"/>
      <c r="K95" s="47"/>
      <c r="L95" s="49"/>
      <c r="M95" s="47"/>
      <c r="N95" s="48"/>
      <c r="O95" s="49"/>
      <c r="P95" s="49"/>
      <c r="Q95" s="49"/>
      <c r="R95" s="49"/>
      <c r="S95" s="54" t="str">
        <f t="shared" si="12"/>
        <v/>
      </c>
      <c r="T95" s="51"/>
      <c r="U95" s="54" t="str">
        <f t="shared" si="13"/>
        <v/>
      </c>
      <c r="V95" s="46"/>
      <c r="W95" s="51"/>
      <c r="X95" s="55" t="str">
        <f t="shared" si="14"/>
        <v/>
      </c>
      <c r="Y95" s="55" t="str">
        <f t="shared" si="15"/>
        <v/>
      </c>
      <c r="Z95" s="46"/>
      <c r="AA95" s="54" t="str">
        <f t="shared" si="16"/>
        <v/>
      </c>
      <c r="AB95" s="56" t="str">
        <f t="shared" si="17"/>
        <v/>
      </c>
    </row>
    <row r="96" spans="2:28" x14ac:dyDescent="0.25">
      <c r="B96" s="35" t="s">
        <v>183</v>
      </c>
      <c r="C96" s="69"/>
      <c r="D96" s="36"/>
      <c r="E96" s="35"/>
      <c r="F96" s="36"/>
      <c r="G96" s="38"/>
      <c r="H96" s="38"/>
      <c r="I96" s="37"/>
      <c r="J96" s="39"/>
      <c r="K96" s="37"/>
      <c r="L96" s="39"/>
      <c r="M96" s="37"/>
      <c r="N96" s="38"/>
      <c r="O96" s="39"/>
      <c r="P96" s="39"/>
      <c r="Q96" s="49"/>
      <c r="R96" s="39"/>
      <c r="S96" s="57" t="str">
        <f t="shared" si="12"/>
        <v/>
      </c>
      <c r="T96" s="41"/>
      <c r="U96" s="57" t="str">
        <f t="shared" si="13"/>
        <v/>
      </c>
      <c r="V96" s="36"/>
      <c r="W96" s="41"/>
      <c r="X96" s="58" t="str">
        <f t="shared" si="14"/>
        <v/>
      </c>
      <c r="Y96" s="58" t="str">
        <f t="shared" si="15"/>
        <v/>
      </c>
      <c r="Z96" s="36"/>
      <c r="AA96" s="57" t="str">
        <f t="shared" si="16"/>
        <v/>
      </c>
      <c r="AB96" s="59" t="str">
        <f t="shared" si="17"/>
        <v/>
      </c>
    </row>
    <row r="97" spans="2:28" x14ac:dyDescent="0.25">
      <c r="B97" s="45" t="s">
        <v>184</v>
      </c>
      <c r="C97" s="70"/>
      <c r="D97" s="46"/>
      <c r="E97" s="45"/>
      <c r="F97" s="46"/>
      <c r="G97" s="48"/>
      <c r="H97" s="49"/>
      <c r="I97" s="47"/>
      <c r="J97" s="49"/>
      <c r="K97" s="47"/>
      <c r="L97" s="49"/>
      <c r="M97" s="47"/>
      <c r="N97" s="48"/>
      <c r="O97" s="49"/>
      <c r="P97" s="49"/>
      <c r="Q97" s="49"/>
      <c r="R97" s="49"/>
      <c r="S97" s="54" t="str">
        <f t="shared" si="12"/>
        <v/>
      </c>
      <c r="T97" s="51"/>
      <c r="U97" s="54" t="str">
        <f t="shared" si="13"/>
        <v/>
      </c>
      <c r="V97" s="46"/>
      <c r="W97" s="51"/>
      <c r="X97" s="55" t="str">
        <f t="shared" si="14"/>
        <v/>
      </c>
      <c r="Y97" s="55" t="str">
        <f t="shared" si="15"/>
        <v/>
      </c>
      <c r="Z97" s="46"/>
      <c r="AA97" s="54" t="str">
        <f t="shared" si="16"/>
        <v/>
      </c>
      <c r="AB97" s="56" t="str">
        <f t="shared" si="17"/>
        <v/>
      </c>
    </row>
    <row r="98" spans="2:28" x14ac:dyDescent="0.25">
      <c r="B98" s="35" t="s">
        <v>185</v>
      </c>
      <c r="C98" s="69"/>
      <c r="D98" s="36"/>
      <c r="E98" s="35"/>
      <c r="F98" s="36"/>
      <c r="G98" s="38"/>
      <c r="H98" s="38"/>
      <c r="I98" s="37"/>
      <c r="J98" s="39"/>
      <c r="K98" s="37"/>
      <c r="L98" s="39"/>
      <c r="M98" s="37"/>
      <c r="N98" s="38"/>
      <c r="O98" s="39"/>
      <c r="P98" s="39"/>
      <c r="Q98" s="39"/>
      <c r="R98" s="39"/>
      <c r="S98" s="57" t="str">
        <f t="shared" si="12"/>
        <v/>
      </c>
      <c r="T98" s="41"/>
      <c r="U98" s="57" t="str">
        <f t="shared" si="13"/>
        <v/>
      </c>
      <c r="V98" s="36"/>
      <c r="W98" s="41"/>
      <c r="X98" s="58" t="str">
        <f t="shared" si="14"/>
        <v/>
      </c>
      <c r="Y98" s="58" t="str">
        <f t="shared" si="15"/>
        <v/>
      </c>
      <c r="Z98" s="36"/>
      <c r="AA98" s="57" t="str">
        <f t="shared" si="16"/>
        <v/>
      </c>
      <c r="AB98" s="59" t="str">
        <f t="shared" si="17"/>
        <v/>
      </c>
    </row>
    <row r="99" spans="2:28" x14ac:dyDescent="0.25">
      <c r="B99" s="45" t="s">
        <v>186</v>
      </c>
      <c r="C99" s="70"/>
      <c r="D99" s="46"/>
      <c r="E99" s="45"/>
      <c r="F99" s="46"/>
      <c r="G99" s="48"/>
      <c r="H99" s="48"/>
      <c r="I99" s="47"/>
      <c r="J99" s="49"/>
      <c r="K99" s="45"/>
      <c r="L99" s="49"/>
      <c r="M99" s="47"/>
      <c r="N99" s="49"/>
      <c r="O99" s="49"/>
      <c r="P99" s="49"/>
      <c r="Q99" s="49"/>
      <c r="R99" s="49"/>
      <c r="S99" s="54" t="str">
        <f t="shared" si="12"/>
        <v/>
      </c>
      <c r="T99" s="51"/>
      <c r="U99" s="54" t="str">
        <f t="shared" si="13"/>
        <v/>
      </c>
      <c r="V99" s="46"/>
      <c r="W99" s="51"/>
      <c r="X99" s="55" t="str">
        <f t="shared" si="14"/>
        <v/>
      </c>
      <c r="Y99" s="55" t="str">
        <f t="shared" si="15"/>
        <v/>
      </c>
      <c r="Z99" s="46"/>
      <c r="AA99" s="54" t="str">
        <f t="shared" si="16"/>
        <v/>
      </c>
      <c r="AB99" s="56" t="str">
        <f t="shared" si="17"/>
        <v/>
      </c>
    </row>
    <row r="100" spans="2:28" x14ac:dyDescent="0.25">
      <c r="B100" s="35" t="s">
        <v>187</v>
      </c>
      <c r="C100" s="69"/>
      <c r="D100" s="36"/>
      <c r="E100" s="35"/>
      <c r="F100" s="36"/>
      <c r="G100" s="38"/>
      <c r="H100" s="38"/>
      <c r="I100" s="37"/>
      <c r="J100" s="39"/>
      <c r="K100" s="37"/>
      <c r="L100" s="39"/>
      <c r="M100" s="37"/>
      <c r="N100" s="38"/>
      <c r="O100" s="39"/>
      <c r="P100" s="39"/>
      <c r="Q100" s="39"/>
      <c r="R100" s="39"/>
      <c r="S100" s="57" t="str">
        <f t="shared" si="12"/>
        <v/>
      </c>
      <c r="T100" s="41"/>
      <c r="U100" s="57" t="str">
        <f t="shared" si="13"/>
        <v/>
      </c>
      <c r="V100" s="36"/>
      <c r="W100" s="41"/>
      <c r="X100" s="58" t="str">
        <f t="shared" si="14"/>
        <v/>
      </c>
      <c r="Y100" s="58" t="str">
        <f t="shared" si="15"/>
        <v/>
      </c>
      <c r="Z100" s="36"/>
      <c r="AA100" s="57" t="str">
        <f t="shared" si="16"/>
        <v/>
      </c>
      <c r="AB100" s="59" t="str">
        <f t="shared" si="17"/>
        <v/>
      </c>
    </row>
    <row r="101" spans="2:28" x14ac:dyDescent="0.25">
      <c r="B101" s="45" t="s">
        <v>188</v>
      </c>
      <c r="C101" s="70"/>
      <c r="D101" s="46"/>
      <c r="E101" s="45"/>
      <c r="F101" s="46"/>
      <c r="G101" s="48"/>
      <c r="H101" s="49"/>
      <c r="I101" s="47"/>
      <c r="J101" s="49"/>
      <c r="K101" s="47"/>
      <c r="L101" s="49"/>
      <c r="M101" s="47"/>
      <c r="N101" s="48"/>
      <c r="O101" s="49"/>
      <c r="P101" s="49"/>
      <c r="Q101" s="49"/>
      <c r="R101" s="49"/>
      <c r="S101" s="54" t="str">
        <f t="shared" si="12"/>
        <v/>
      </c>
      <c r="T101" s="51"/>
      <c r="U101" s="54" t="str">
        <f t="shared" si="13"/>
        <v/>
      </c>
      <c r="V101" s="46"/>
      <c r="W101" s="51"/>
      <c r="X101" s="55" t="str">
        <f t="shared" si="14"/>
        <v/>
      </c>
      <c r="Y101" s="55" t="str">
        <f t="shared" si="15"/>
        <v/>
      </c>
      <c r="Z101" s="46"/>
      <c r="AA101" s="54" t="str">
        <f t="shared" si="16"/>
        <v/>
      </c>
      <c r="AB101" s="56" t="str">
        <f t="shared" si="17"/>
        <v/>
      </c>
    </row>
    <row r="102" spans="2:28" x14ac:dyDescent="0.25">
      <c r="B102" s="35" t="s">
        <v>189</v>
      </c>
      <c r="C102" s="69"/>
      <c r="D102" s="36"/>
      <c r="E102" s="35"/>
      <c r="F102" s="36"/>
      <c r="G102" s="38"/>
      <c r="H102" s="38"/>
      <c r="I102" s="37"/>
      <c r="J102" s="39"/>
      <c r="K102" s="37"/>
      <c r="L102" s="39"/>
      <c r="M102" s="37"/>
      <c r="N102" s="38"/>
      <c r="O102" s="39"/>
      <c r="P102" s="39"/>
      <c r="Q102" s="49"/>
      <c r="R102" s="39"/>
      <c r="S102" s="57" t="str">
        <f t="shared" si="12"/>
        <v/>
      </c>
      <c r="T102" s="41"/>
      <c r="U102" s="57" t="str">
        <f t="shared" si="13"/>
        <v/>
      </c>
      <c r="V102" s="36"/>
      <c r="W102" s="41"/>
      <c r="X102" s="58" t="str">
        <f t="shared" si="14"/>
        <v/>
      </c>
      <c r="Y102" s="58" t="str">
        <f t="shared" si="15"/>
        <v/>
      </c>
      <c r="Z102" s="36"/>
      <c r="AA102" s="57" t="str">
        <f t="shared" si="16"/>
        <v/>
      </c>
      <c r="AB102" s="59" t="str">
        <f t="shared" si="17"/>
        <v/>
      </c>
    </row>
    <row r="103" spans="2:28" x14ac:dyDescent="0.25">
      <c r="B103" s="45" t="s">
        <v>190</v>
      </c>
      <c r="C103" s="70"/>
      <c r="D103" s="46"/>
      <c r="E103" s="45"/>
      <c r="F103" s="46"/>
      <c r="G103" s="48"/>
      <c r="H103" s="49"/>
      <c r="I103" s="47"/>
      <c r="J103" s="49"/>
      <c r="K103" s="47"/>
      <c r="L103" s="49"/>
      <c r="M103" s="47"/>
      <c r="N103" s="48"/>
      <c r="O103" s="49"/>
      <c r="P103" s="49"/>
      <c r="Q103" s="49"/>
      <c r="R103" s="49"/>
      <c r="S103" s="54" t="str">
        <f t="shared" si="12"/>
        <v/>
      </c>
      <c r="T103" s="51"/>
      <c r="U103" s="54" t="str">
        <f t="shared" si="13"/>
        <v/>
      </c>
      <c r="V103" s="46"/>
      <c r="W103" s="51"/>
      <c r="X103" s="55" t="str">
        <f t="shared" si="14"/>
        <v/>
      </c>
      <c r="Y103" s="55" t="str">
        <f t="shared" si="15"/>
        <v/>
      </c>
      <c r="Z103" s="46"/>
      <c r="AA103" s="54" t="str">
        <f t="shared" si="16"/>
        <v/>
      </c>
      <c r="AB103" s="56" t="str">
        <f t="shared" si="17"/>
        <v/>
      </c>
    </row>
    <row r="104" spans="2:28" x14ac:dyDescent="0.25">
      <c r="B104" s="35" t="s">
        <v>191</v>
      </c>
      <c r="C104" s="69"/>
      <c r="D104" s="36"/>
      <c r="E104" s="35"/>
      <c r="F104" s="36"/>
      <c r="G104" s="38"/>
      <c r="H104" s="38"/>
      <c r="I104" s="37"/>
      <c r="J104" s="39"/>
      <c r="K104" s="37"/>
      <c r="L104" s="39"/>
      <c r="M104" s="37"/>
      <c r="N104" s="38"/>
      <c r="O104" s="39"/>
      <c r="P104" s="39"/>
      <c r="Q104" s="39"/>
      <c r="R104" s="39"/>
      <c r="S104" s="57" t="str">
        <f t="shared" si="12"/>
        <v/>
      </c>
      <c r="T104" s="41"/>
      <c r="U104" s="57" t="str">
        <f t="shared" si="13"/>
        <v/>
      </c>
      <c r="V104" s="36"/>
      <c r="W104" s="41"/>
      <c r="X104" s="58" t="str">
        <f t="shared" si="14"/>
        <v/>
      </c>
      <c r="Y104" s="58" t="str">
        <f t="shared" si="15"/>
        <v/>
      </c>
      <c r="Z104" s="36"/>
      <c r="AA104" s="57" t="str">
        <f t="shared" si="16"/>
        <v/>
      </c>
      <c r="AB104" s="59" t="str">
        <f t="shared" si="17"/>
        <v/>
      </c>
    </row>
    <row r="105" spans="2:28" x14ac:dyDescent="0.25">
      <c r="B105" s="45" t="s">
        <v>192</v>
      </c>
      <c r="C105" s="70"/>
      <c r="D105" s="46"/>
      <c r="E105" s="45"/>
      <c r="F105" s="46"/>
      <c r="G105" s="48"/>
      <c r="H105" s="48"/>
      <c r="I105" s="47"/>
      <c r="J105" s="49"/>
      <c r="K105" s="45"/>
      <c r="L105" s="49"/>
      <c r="M105" s="47"/>
      <c r="N105" s="49"/>
      <c r="O105" s="49"/>
      <c r="P105" s="49"/>
      <c r="Q105" s="49"/>
      <c r="R105" s="49"/>
      <c r="S105" s="54" t="str">
        <f t="shared" si="12"/>
        <v/>
      </c>
      <c r="T105" s="51"/>
      <c r="U105" s="54" t="str">
        <f t="shared" si="13"/>
        <v/>
      </c>
      <c r="V105" s="46"/>
      <c r="W105" s="51"/>
      <c r="X105" s="55" t="str">
        <f t="shared" si="14"/>
        <v/>
      </c>
      <c r="Y105" s="55" t="str">
        <f t="shared" si="15"/>
        <v/>
      </c>
      <c r="Z105" s="46"/>
      <c r="AA105" s="54" t="str">
        <f t="shared" si="16"/>
        <v/>
      </c>
      <c r="AB105" s="56" t="str">
        <f t="shared" si="17"/>
        <v/>
      </c>
    </row>
    <row r="106" spans="2:28" x14ac:dyDescent="0.25">
      <c r="B106" s="35" t="s">
        <v>193</v>
      </c>
      <c r="C106" s="69"/>
      <c r="D106" s="36"/>
      <c r="E106" s="35"/>
      <c r="F106" s="36"/>
      <c r="G106" s="38"/>
      <c r="H106" s="38"/>
      <c r="I106" s="37"/>
      <c r="J106" s="39"/>
      <c r="K106" s="37"/>
      <c r="L106" s="39"/>
      <c r="M106" s="37"/>
      <c r="N106" s="38"/>
      <c r="O106" s="39"/>
      <c r="P106" s="39"/>
      <c r="Q106" s="39"/>
      <c r="R106" s="39"/>
      <c r="S106" s="57" t="str">
        <f t="shared" si="12"/>
        <v/>
      </c>
      <c r="T106" s="41"/>
      <c r="U106" s="57" t="str">
        <f t="shared" si="13"/>
        <v/>
      </c>
      <c r="V106" s="36"/>
      <c r="W106" s="41"/>
      <c r="X106" s="58" t="str">
        <f t="shared" si="14"/>
        <v/>
      </c>
      <c r="Y106" s="58" t="str">
        <f t="shared" si="15"/>
        <v/>
      </c>
      <c r="Z106" s="36"/>
      <c r="AA106" s="57" t="str">
        <f t="shared" si="16"/>
        <v/>
      </c>
      <c r="AB106" s="59" t="str">
        <f t="shared" si="17"/>
        <v/>
      </c>
    </row>
    <row r="107" spans="2:28" x14ac:dyDescent="0.25">
      <c r="B107" s="45" t="s">
        <v>194</v>
      </c>
      <c r="C107" s="70"/>
      <c r="D107" s="46"/>
      <c r="E107" s="45"/>
      <c r="F107" s="46"/>
      <c r="G107" s="48"/>
      <c r="H107" s="49"/>
      <c r="I107" s="47"/>
      <c r="J107" s="49"/>
      <c r="K107" s="47"/>
      <c r="L107" s="49"/>
      <c r="M107" s="47"/>
      <c r="N107" s="48"/>
      <c r="O107" s="49"/>
      <c r="P107" s="49"/>
      <c r="Q107" s="49"/>
      <c r="R107" s="49"/>
      <c r="S107" s="54" t="str">
        <f t="shared" si="12"/>
        <v/>
      </c>
      <c r="T107" s="51"/>
      <c r="U107" s="54" t="str">
        <f t="shared" si="13"/>
        <v/>
      </c>
      <c r="V107" s="46"/>
      <c r="W107" s="51"/>
      <c r="X107" s="55" t="str">
        <f t="shared" si="14"/>
        <v/>
      </c>
      <c r="Y107" s="55" t="str">
        <f t="shared" si="15"/>
        <v/>
      </c>
      <c r="Z107" s="46"/>
      <c r="AA107" s="54" t="str">
        <f t="shared" si="16"/>
        <v/>
      </c>
      <c r="AB107" s="56" t="str">
        <f t="shared" si="17"/>
        <v/>
      </c>
    </row>
    <row r="108" spans="2:28" x14ac:dyDescent="0.25">
      <c r="B108" s="35" t="s">
        <v>195</v>
      </c>
      <c r="C108" s="69"/>
      <c r="D108" s="36"/>
      <c r="E108" s="35"/>
      <c r="F108" s="36"/>
      <c r="G108" s="38"/>
      <c r="H108" s="38"/>
      <c r="I108" s="37"/>
      <c r="J108" s="39"/>
      <c r="K108" s="37"/>
      <c r="L108" s="39"/>
      <c r="M108" s="37"/>
      <c r="N108" s="38"/>
      <c r="O108" s="39"/>
      <c r="P108" s="39"/>
      <c r="Q108" s="49"/>
      <c r="R108" s="39"/>
      <c r="S108" s="57" t="str">
        <f t="shared" si="12"/>
        <v/>
      </c>
      <c r="T108" s="41"/>
      <c r="U108" s="57" t="str">
        <f t="shared" si="13"/>
        <v/>
      </c>
      <c r="V108" s="36"/>
      <c r="W108" s="41"/>
      <c r="X108" s="58" t="str">
        <f t="shared" si="14"/>
        <v/>
      </c>
      <c r="Y108" s="58" t="str">
        <f t="shared" si="15"/>
        <v/>
      </c>
      <c r="Z108" s="36"/>
      <c r="AA108" s="57" t="str">
        <f t="shared" si="16"/>
        <v/>
      </c>
      <c r="AB108" s="59" t="str">
        <f t="shared" si="17"/>
        <v/>
      </c>
    </row>
    <row r="109" spans="2:28" x14ac:dyDescent="0.25">
      <c r="B109" s="45" t="s">
        <v>196</v>
      </c>
      <c r="C109" s="70"/>
      <c r="D109" s="46"/>
      <c r="E109" s="45"/>
      <c r="F109" s="46"/>
      <c r="G109" s="48"/>
      <c r="H109" s="49"/>
      <c r="I109" s="47"/>
      <c r="J109" s="49"/>
      <c r="K109" s="47"/>
      <c r="L109" s="49"/>
      <c r="M109" s="47"/>
      <c r="N109" s="48"/>
      <c r="O109" s="49"/>
      <c r="P109" s="49"/>
      <c r="Q109" s="49"/>
      <c r="R109" s="49"/>
      <c r="S109" s="54" t="str">
        <f t="shared" si="12"/>
        <v/>
      </c>
      <c r="T109" s="51"/>
      <c r="U109" s="54" t="str">
        <f t="shared" si="13"/>
        <v/>
      </c>
      <c r="V109" s="46"/>
      <c r="W109" s="51"/>
      <c r="X109" s="55" t="str">
        <f t="shared" si="14"/>
        <v/>
      </c>
      <c r="Y109" s="55" t="str">
        <f t="shared" si="15"/>
        <v/>
      </c>
      <c r="Z109" s="46"/>
      <c r="AA109" s="54" t="str">
        <f t="shared" si="16"/>
        <v/>
      </c>
      <c r="AB109" s="56" t="str">
        <f t="shared" si="17"/>
        <v/>
      </c>
    </row>
    <row r="110" spans="2:28" x14ac:dyDescent="0.25">
      <c r="B110" s="35" t="s">
        <v>197</v>
      </c>
      <c r="C110" s="69"/>
      <c r="D110" s="36"/>
      <c r="E110" s="35"/>
      <c r="F110" s="36"/>
      <c r="G110" s="38"/>
      <c r="H110" s="38"/>
      <c r="I110" s="37"/>
      <c r="J110" s="39"/>
      <c r="K110" s="37"/>
      <c r="L110" s="39"/>
      <c r="M110" s="37"/>
      <c r="N110" s="38"/>
      <c r="O110" s="39"/>
      <c r="P110" s="39"/>
      <c r="Q110" s="39"/>
      <c r="R110" s="39"/>
      <c r="S110" s="57" t="str">
        <f t="shared" si="12"/>
        <v/>
      </c>
      <c r="T110" s="41"/>
      <c r="U110" s="57" t="str">
        <f t="shared" si="13"/>
        <v/>
      </c>
      <c r="V110" s="36"/>
      <c r="W110" s="41"/>
      <c r="X110" s="58" t="str">
        <f t="shared" si="14"/>
        <v/>
      </c>
      <c r="Y110" s="58" t="str">
        <f t="shared" si="15"/>
        <v/>
      </c>
      <c r="Z110" s="36"/>
      <c r="AA110" s="57" t="str">
        <f t="shared" si="16"/>
        <v/>
      </c>
      <c r="AB110" s="59" t="str">
        <f t="shared" si="17"/>
        <v/>
      </c>
    </row>
    <row r="111" spans="2:28" x14ac:dyDescent="0.25">
      <c r="B111" s="45" t="s">
        <v>198</v>
      </c>
      <c r="C111" s="70"/>
      <c r="D111" s="46"/>
      <c r="E111" s="45"/>
      <c r="F111" s="46"/>
      <c r="G111" s="48"/>
      <c r="H111" s="48"/>
      <c r="I111" s="47"/>
      <c r="J111" s="49"/>
      <c r="K111" s="45"/>
      <c r="L111" s="49"/>
      <c r="M111" s="47"/>
      <c r="N111" s="49"/>
      <c r="O111" s="49"/>
      <c r="P111" s="49"/>
      <c r="Q111" s="49"/>
      <c r="R111" s="49"/>
      <c r="S111" s="54" t="str">
        <f t="shared" si="12"/>
        <v/>
      </c>
      <c r="T111" s="51"/>
      <c r="U111" s="54" t="str">
        <f t="shared" si="13"/>
        <v/>
      </c>
      <c r="V111" s="46"/>
      <c r="W111" s="51"/>
      <c r="X111" s="55" t="str">
        <f t="shared" si="14"/>
        <v/>
      </c>
      <c r="Y111" s="55" t="str">
        <f t="shared" si="15"/>
        <v/>
      </c>
      <c r="Z111" s="46"/>
      <c r="AA111" s="54" t="str">
        <f t="shared" si="16"/>
        <v/>
      </c>
      <c r="AB111" s="56" t="str">
        <f t="shared" si="17"/>
        <v/>
      </c>
    </row>
    <row r="112" spans="2:28" x14ac:dyDescent="0.25">
      <c r="B112" s="35" t="s">
        <v>199</v>
      </c>
      <c r="C112" s="69"/>
      <c r="D112" s="36"/>
      <c r="E112" s="35"/>
      <c r="F112" s="36"/>
      <c r="G112" s="38"/>
      <c r="H112" s="38"/>
      <c r="I112" s="37"/>
      <c r="J112" s="39"/>
      <c r="K112" s="37"/>
      <c r="L112" s="39"/>
      <c r="M112" s="37"/>
      <c r="N112" s="38"/>
      <c r="O112" s="39"/>
      <c r="P112" s="39"/>
      <c r="Q112" s="39"/>
      <c r="R112" s="39"/>
      <c r="S112" s="57" t="str">
        <f t="shared" si="12"/>
        <v/>
      </c>
      <c r="T112" s="41"/>
      <c r="U112" s="57" t="str">
        <f t="shared" si="13"/>
        <v/>
      </c>
      <c r="V112" s="36"/>
      <c r="W112" s="41"/>
      <c r="X112" s="58" t="str">
        <f t="shared" si="14"/>
        <v/>
      </c>
      <c r="Y112" s="58" t="str">
        <f t="shared" si="15"/>
        <v/>
      </c>
      <c r="Z112" s="36"/>
      <c r="AA112" s="57" t="str">
        <f t="shared" si="16"/>
        <v/>
      </c>
      <c r="AB112" s="59" t="str">
        <f t="shared" si="17"/>
        <v/>
      </c>
    </row>
    <row r="113" spans="2:28" x14ac:dyDescent="0.25">
      <c r="B113" s="45" t="s">
        <v>200</v>
      </c>
      <c r="C113" s="70"/>
      <c r="D113" s="46"/>
      <c r="E113" s="45"/>
      <c r="F113" s="46"/>
      <c r="G113" s="48"/>
      <c r="H113" s="49"/>
      <c r="I113" s="47"/>
      <c r="J113" s="49"/>
      <c r="K113" s="47"/>
      <c r="L113" s="49"/>
      <c r="M113" s="47"/>
      <c r="N113" s="48"/>
      <c r="O113" s="49"/>
      <c r="P113" s="49"/>
      <c r="Q113" s="49"/>
      <c r="R113" s="49"/>
      <c r="S113" s="54" t="str">
        <f t="shared" si="12"/>
        <v/>
      </c>
      <c r="T113" s="51"/>
      <c r="U113" s="54" t="str">
        <f t="shared" si="13"/>
        <v/>
      </c>
      <c r="V113" s="46"/>
      <c r="W113" s="51"/>
      <c r="X113" s="55" t="str">
        <f t="shared" si="14"/>
        <v/>
      </c>
      <c r="Y113" s="55" t="str">
        <f t="shared" si="15"/>
        <v/>
      </c>
      <c r="Z113" s="46"/>
      <c r="AA113" s="54" t="str">
        <f t="shared" si="16"/>
        <v/>
      </c>
      <c r="AB113" s="56" t="str">
        <f t="shared" si="17"/>
        <v/>
      </c>
    </row>
    <row r="114" spans="2:28" x14ac:dyDescent="0.25">
      <c r="B114" s="35" t="s">
        <v>201</v>
      </c>
      <c r="C114" s="69"/>
      <c r="D114" s="36"/>
      <c r="E114" s="35"/>
      <c r="F114" s="36"/>
      <c r="G114" s="38"/>
      <c r="H114" s="38"/>
      <c r="I114" s="37"/>
      <c r="J114" s="39"/>
      <c r="K114" s="37"/>
      <c r="L114" s="39"/>
      <c r="M114" s="37"/>
      <c r="N114" s="38"/>
      <c r="O114" s="39"/>
      <c r="P114" s="39"/>
      <c r="Q114" s="49"/>
      <c r="R114" s="39"/>
      <c r="S114" s="57" t="str">
        <f t="shared" si="12"/>
        <v/>
      </c>
      <c r="T114" s="41"/>
      <c r="U114" s="57" t="str">
        <f t="shared" si="13"/>
        <v/>
      </c>
      <c r="V114" s="36"/>
      <c r="W114" s="41"/>
      <c r="X114" s="58" t="str">
        <f t="shared" si="14"/>
        <v/>
      </c>
      <c r="Y114" s="58" t="str">
        <f t="shared" si="15"/>
        <v/>
      </c>
      <c r="Z114" s="36"/>
      <c r="AA114" s="57" t="str">
        <f t="shared" si="16"/>
        <v/>
      </c>
      <c r="AB114" s="59" t="str">
        <f t="shared" si="17"/>
        <v/>
      </c>
    </row>
    <row r="115" spans="2:28" x14ac:dyDescent="0.25">
      <c r="B115" s="45" t="s">
        <v>202</v>
      </c>
      <c r="C115" s="70"/>
      <c r="D115" s="46"/>
      <c r="E115" s="45"/>
      <c r="F115" s="46"/>
      <c r="G115" s="48"/>
      <c r="H115" s="49"/>
      <c r="I115" s="47"/>
      <c r="J115" s="49"/>
      <c r="K115" s="47"/>
      <c r="L115" s="49"/>
      <c r="M115" s="47"/>
      <c r="N115" s="48"/>
      <c r="O115" s="49"/>
      <c r="P115" s="49"/>
      <c r="Q115" s="49"/>
      <c r="R115" s="49"/>
      <c r="S115" s="54" t="str">
        <f t="shared" si="12"/>
        <v/>
      </c>
      <c r="T115" s="51"/>
      <c r="U115" s="54" t="str">
        <f t="shared" si="13"/>
        <v/>
      </c>
      <c r="V115" s="46"/>
      <c r="W115" s="51"/>
      <c r="X115" s="55" t="str">
        <f t="shared" si="14"/>
        <v/>
      </c>
      <c r="Y115" s="55" t="str">
        <f t="shared" si="15"/>
        <v/>
      </c>
      <c r="Z115" s="46"/>
      <c r="AA115" s="54" t="str">
        <f t="shared" si="16"/>
        <v/>
      </c>
      <c r="AB115" s="56" t="str">
        <f t="shared" si="17"/>
        <v/>
      </c>
    </row>
    <row r="116" spans="2:28" x14ac:dyDescent="0.25">
      <c r="B116" s="35" t="s">
        <v>203</v>
      </c>
      <c r="C116" s="69"/>
      <c r="D116" s="36"/>
      <c r="E116" s="35"/>
      <c r="F116" s="36"/>
      <c r="G116" s="38"/>
      <c r="H116" s="38"/>
      <c r="I116" s="37"/>
      <c r="J116" s="39"/>
      <c r="K116" s="37"/>
      <c r="L116" s="39"/>
      <c r="M116" s="37"/>
      <c r="N116" s="38"/>
      <c r="O116" s="39"/>
      <c r="P116" s="39"/>
      <c r="Q116" s="39"/>
      <c r="R116" s="39"/>
      <c r="S116" s="57" t="str">
        <f t="shared" si="12"/>
        <v/>
      </c>
      <c r="T116" s="41"/>
      <c r="U116" s="57" t="str">
        <f t="shared" si="13"/>
        <v/>
      </c>
      <c r="V116" s="36"/>
      <c r="W116" s="41"/>
      <c r="X116" s="58" t="str">
        <f t="shared" si="14"/>
        <v/>
      </c>
      <c r="Y116" s="58" t="str">
        <f t="shared" si="15"/>
        <v/>
      </c>
      <c r="Z116" s="36"/>
      <c r="AA116" s="57" t="str">
        <f t="shared" si="16"/>
        <v/>
      </c>
      <c r="AB116" s="59" t="str">
        <f t="shared" si="17"/>
        <v/>
      </c>
    </row>
    <row r="117" spans="2:28" x14ac:dyDescent="0.25">
      <c r="B117" s="45" t="s">
        <v>204</v>
      </c>
      <c r="C117" s="70"/>
      <c r="D117" s="46"/>
      <c r="E117" s="45"/>
      <c r="F117" s="46"/>
      <c r="G117" s="48"/>
      <c r="H117" s="48"/>
      <c r="I117" s="47"/>
      <c r="J117" s="49"/>
      <c r="K117" s="45"/>
      <c r="L117" s="49"/>
      <c r="M117" s="47"/>
      <c r="N117" s="49"/>
      <c r="O117" s="49"/>
      <c r="P117" s="49"/>
      <c r="Q117" s="49"/>
      <c r="R117" s="49"/>
      <c r="S117" s="54" t="str">
        <f t="shared" si="12"/>
        <v/>
      </c>
      <c r="T117" s="51"/>
      <c r="U117" s="54" t="str">
        <f t="shared" si="13"/>
        <v/>
      </c>
      <c r="V117" s="46"/>
      <c r="W117" s="51"/>
      <c r="X117" s="55" t="str">
        <f t="shared" si="14"/>
        <v/>
      </c>
      <c r="Y117" s="55" t="str">
        <f t="shared" si="15"/>
        <v/>
      </c>
      <c r="Z117" s="46"/>
      <c r="AA117" s="54" t="str">
        <f t="shared" si="16"/>
        <v/>
      </c>
      <c r="AB117" s="56" t="str">
        <f t="shared" si="17"/>
        <v/>
      </c>
    </row>
    <row r="118" spans="2:28" x14ac:dyDescent="0.25">
      <c r="B118" s="35" t="s">
        <v>205</v>
      </c>
      <c r="C118" s="69"/>
      <c r="D118" s="36"/>
      <c r="E118" s="35"/>
      <c r="F118" s="36"/>
      <c r="G118" s="38"/>
      <c r="H118" s="38"/>
      <c r="I118" s="37"/>
      <c r="J118" s="39"/>
      <c r="K118" s="37"/>
      <c r="L118" s="39"/>
      <c r="M118" s="37"/>
      <c r="N118" s="38"/>
      <c r="O118" s="39"/>
      <c r="P118" s="39"/>
      <c r="Q118" s="39"/>
      <c r="R118" s="39"/>
      <c r="S118" s="57" t="str">
        <f t="shared" si="12"/>
        <v/>
      </c>
      <c r="T118" s="41"/>
      <c r="U118" s="57" t="str">
        <f t="shared" si="13"/>
        <v/>
      </c>
      <c r="V118" s="36"/>
      <c r="W118" s="41"/>
      <c r="X118" s="58" t="str">
        <f t="shared" si="14"/>
        <v/>
      </c>
      <c r="Y118" s="58" t="str">
        <f t="shared" si="15"/>
        <v/>
      </c>
      <c r="Z118" s="36"/>
      <c r="AA118" s="57" t="str">
        <f t="shared" si="16"/>
        <v/>
      </c>
      <c r="AB118" s="59" t="str">
        <f t="shared" si="17"/>
        <v/>
      </c>
    </row>
    <row r="119" spans="2:28" x14ac:dyDescent="0.25">
      <c r="B119" s="45" t="s">
        <v>206</v>
      </c>
      <c r="C119" s="70"/>
      <c r="D119" s="46"/>
      <c r="E119" s="45"/>
      <c r="F119" s="46"/>
      <c r="G119" s="48"/>
      <c r="H119" s="49"/>
      <c r="I119" s="47"/>
      <c r="J119" s="49"/>
      <c r="K119" s="47"/>
      <c r="L119" s="49"/>
      <c r="M119" s="47"/>
      <c r="N119" s="48"/>
      <c r="O119" s="49"/>
      <c r="P119" s="49"/>
      <c r="Q119" s="49"/>
      <c r="R119" s="49"/>
      <c r="S119" s="54" t="str">
        <f t="shared" si="12"/>
        <v/>
      </c>
      <c r="T119" s="51"/>
      <c r="U119" s="54" t="str">
        <f t="shared" si="13"/>
        <v/>
      </c>
      <c r="V119" s="46"/>
      <c r="W119" s="51"/>
      <c r="X119" s="55" t="str">
        <f t="shared" si="14"/>
        <v/>
      </c>
      <c r="Y119" s="55" t="str">
        <f t="shared" si="15"/>
        <v/>
      </c>
      <c r="Z119" s="46"/>
      <c r="AA119" s="54" t="str">
        <f t="shared" si="16"/>
        <v/>
      </c>
      <c r="AB119" s="56" t="str">
        <f t="shared" si="17"/>
        <v/>
      </c>
    </row>
    <row r="120" spans="2:28" x14ac:dyDescent="0.25">
      <c r="B120" s="35" t="s">
        <v>207</v>
      </c>
      <c r="C120" s="69"/>
      <c r="D120" s="36"/>
      <c r="E120" s="35"/>
      <c r="F120" s="36"/>
      <c r="G120" s="38"/>
      <c r="H120" s="38"/>
      <c r="I120" s="37"/>
      <c r="J120" s="39"/>
      <c r="K120" s="37"/>
      <c r="L120" s="39"/>
      <c r="M120" s="37"/>
      <c r="N120" s="38"/>
      <c r="O120" s="39"/>
      <c r="P120" s="39"/>
      <c r="Q120" s="49"/>
      <c r="R120" s="39"/>
      <c r="S120" s="57" t="str">
        <f t="shared" si="12"/>
        <v/>
      </c>
      <c r="T120" s="41"/>
      <c r="U120" s="57" t="str">
        <f t="shared" si="13"/>
        <v/>
      </c>
      <c r="V120" s="36"/>
      <c r="W120" s="41"/>
      <c r="X120" s="58" t="str">
        <f t="shared" si="14"/>
        <v/>
      </c>
      <c r="Y120" s="58" t="str">
        <f t="shared" si="15"/>
        <v/>
      </c>
      <c r="Z120" s="36"/>
      <c r="AA120" s="57" t="str">
        <f t="shared" si="16"/>
        <v/>
      </c>
      <c r="AB120" s="59" t="str">
        <f t="shared" si="17"/>
        <v/>
      </c>
    </row>
    <row r="121" spans="2:28" x14ac:dyDescent="0.25">
      <c r="B121" s="45" t="s">
        <v>208</v>
      </c>
      <c r="C121" s="70"/>
      <c r="D121" s="46"/>
      <c r="E121" s="45"/>
      <c r="F121" s="46"/>
      <c r="G121" s="48"/>
      <c r="H121" s="49"/>
      <c r="I121" s="47"/>
      <c r="J121" s="49"/>
      <c r="K121" s="47"/>
      <c r="L121" s="49"/>
      <c r="M121" s="47"/>
      <c r="N121" s="48"/>
      <c r="O121" s="49"/>
      <c r="P121" s="49"/>
      <c r="Q121" s="49"/>
      <c r="R121" s="49"/>
      <c r="S121" s="54" t="str">
        <f t="shared" si="12"/>
        <v/>
      </c>
      <c r="T121" s="51"/>
      <c r="U121" s="54" t="str">
        <f t="shared" si="13"/>
        <v/>
      </c>
      <c r="V121" s="46"/>
      <c r="W121" s="51"/>
      <c r="X121" s="55" t="str">
        <f t="shared" si="14"/>
        <v/>
      </c>
      <c r="Y121" s="55" t="str">
        <f t="shared" si="15"/>
        <v/>
      </c>
      <c r="Z121" s="46"/>
      <c r="AA121" s="54" t="str">
        <f t="shared" si="16"/>
        <v/>
      </c>
      <c r="AB121" s="56" t="str">
        <f t="shared" si="17"/>
        <v/>
      </c>
    </row>
    <row r="122" spans="2:28" x14ac:dyDescent="0.25">
      <c r="B122" s="35" t="s">
        <v>209</v>
      </c>
      <c r="C122" s="69"/>
      <c r="D122" s="36"/>
      <c r="E122" s="35"/>
      <c r="F122" s="36"/>
      <c r="G122" s="38"/>
      <c r="H122" s="38"/>
      <c r="I122" s="37"/>
      <c r="J122" s="39"/>
      <c r="K122" s="37"/>
      <c r="L122" s="39"/>
      <c r="M122" s="37"/>
      <c r="N122" s="38"/>
      <c r="O122" s="39"/>
      <c r="P122" s="39"/>
      <c r="Q122" s="39"/>
      <c r="R122" s="39"/>
      <c r="S122" s="57" t="str">
        <f t="shared" si="12"/>
        <v/>
      </c>
      <c r="T122" s="41"/>
      <c r="U122" s="57" t="str">
        <f t="shared" si="13"/>
        <v/>
      </c>
      <c r="V122" s="36"/>
      <c r="W122" s="41"/>
      <c r="X122" s="58" t="str">
        <f t="shared" si="14"/>
        <v/>
      </c>
      <c r="Y122" s="58" t="str">
        <f t="shared" si="15"/>
        <v/>
      </c>
      <c r="Z122" s="36"/>
      <c r="AA122" s="57" t="str">
        <f t="shared" si="16"/>
        <v/>
      </c>
      <c r="AB122" s="59" t="str">
        <f t="shared" si="17"/>
        <v/>
      </c>
    </row>
    <row r="123" spans="2:28" x14ac:dyDescent="0.25">
      <c r="B123" s="45" t="s">
        <v>210</v>
      </c>
      <c r="C123" s="70"/>
      <c r="D123" s="46"/>
      <c r="E123" s="45"/>
      <c r="F123" s="46"/>
      <c r="G123" s="48"/>
      <c r="H123" s="48"/>
      <c r="I123" s="47"/>
      <c r="J123" s="49"/>
      <c r="K123" s="45"/>
      <c r="L123" s="49"/>
      <c r="M123" s="47"/>
      <c r="N123" s="49"/>
      <c r="O123" s="49"/>
      <c r="P123" s="49"/>
      <c r="Q123" s="49"/>
      <c r="R123" s="49"/>
      <c r="S123" s="54" t="str">
        <f t="shared" si="12"/>
        <v/>
      </c>
      <c r="T123" s="51"/>
      <c r="U123" s="54" t="str">
        <f t="shared" si="13"/>
        <v/>
      </c>
      <c r="V123" s="46"/>
      <c r="W123" s="51"/>
      <c r="X123" s="55" t="str">
        <f t="shared" si="14"/>
        <v/>
      </c>
      <c r="Y123" s="55" t="str">
        <f t="shared" si="15"/>
        <v/>
      </c>
      <c r="Z123" s="46"/>
      <c r="AA123" s="54" t="str">
        <f t="shared" si="16"/>
        <v/>
      </c>
      <c r="AB123" s="56" t="str">
        <f t="shared" si="17"/>
        <v/>
      </c>
    </row>
    <row r="124" spans="2:28" x14ac:dyDescent="0.25">
      <c r="B124" s="35" t="s">
        <v>211</v>
      </c>
      <c r="C124" s="69"/>
      <c r="D124" s="36"/>
      <c r="E124" s="35"/>
      <c r="F124" s="36"/>
      <c r="G124" s="38"/>
      <c r="H124" s="38"/>
      <c r="I124" s="37"/>
      <c r="J124" s="39"/>
      <c r="K124" s="37"/>
      <c r="L124" s="39"/>
      <c r="M124" s="37"/>
      <c r="N124" s="38"/>
      <c r="O124" s="39"/>
      <c r="P124" s="39"/>
      <c r="Q124" s="39"/>
      <c r="R124" s="39"/>
      <c r="S124" s="57" t="str">
        <f t="shared" si="12"/>
        <v/>
      </c>
      <c r="T124" s="41"/>
      <c r="U124" s="57" t="str">
        <f t="shared" si="13"/>
        <v/>
      </c>
      <c r="V124" s="36"/>
      <c r="W124" s="41"/>
      <c r="X124" s="58" t="str">
        <f t="shared" si="14"/>
        <v/>
      </c>
      <c r="Y124" s="58" t="str">
        <f t="shared" si="15"/>
        <v/>
      </c>
      <c r="Z124" s="36"/>
      <c r="AA124" s="57" t="str">
        <f t="shared" si="16"/>
        <v/>
      </c>
      <c r="AB124" s="59" t="str">
        <f t="shared" si="17"/>
        <v/>
      </c>
    </row>
    <row r="125" spans="2:28" x14ac:dyDescent="0.25">
      <c r="B125" s="45" t="s">
        <v>212</v>
      </c>
      <c r="C125" s="70"/>
      <c r="D125" s="46"/>
      <c r="E125" s="45"/>
      <c r="F125" s="46"/>
      <c r="G125" s="48"/>
      <c r="H125" s="49"/>
      <c r="I125" s="47"/>
      <c r="J125" s="49"/>
      <c r="K125" s="47"/>
      <c r="L125" s="49"/>
      <c r="M125" s="47"/>
      <c r="N125" s="48"/>
      <c r="O125" s="49"/>
      <c r="P125" s="49"/>
      <c r="Q125" s="49"/>
      <c r="R125" s="49"/>
      <c r="S125" s="54" t="str">
        <f t="shared" si="12"/>
        <v/>
      </c>
      <c r="T125" s="51"/>
      <c r="U125" s="54" t="str">
        <f t="shared" si="13"/>
        <v/>
      </c>
      <c r="V125" s="46"/>
      <c r="W125" s="51"/>
      <c r="X125" s="55" t="str">
        <f t="shared" si="14"/>
        <v/>
      </c>
      <c r="Y125" s="55" t="str">
        <f t="shared" si="15"/>
        <v/>
      </c>
      <c r="Z125" s="46"/>
      <c r="AA125" s="54" t="str">
        <f t="shared" si="16"/>
        <v/>
      </c>
      <c r="AB125" s="56" t="str">
        <f t="shared" si="17"/>
        <v/>
      </c>
    </row>
    <row r="126" spans="2:28" x14ac:dyDescent="0.25">
      <c r="B126" s="35" t="s">
        <v>213</v>
      </c>
      <c r="C126" s="69"/>
      <c r="D126" s="36"/>
      <c r="E126" s="35"/>
      <c r="F126" s="36"/>
      <c r="G126" s="38"/>
      <c r="H126" s="38"/>
      <c r="I126" s="37"/>
      <c r="J126" s="39"/>
      <c r="K126" s="37"/>
      <c r="L126" s="39"/>
      <c r="M126" s="37"/>
      <c r="N126" s="38"/>
      <c r="O126" s="39"/>
      <c r="P126" s="39"/>
      <c r="Q126" s="49"/>
      <c r="R126" s="39"/>
      <c r="S126" s="57" t="str">
        <f t="shared" si="12"/>
        <v/>
      </c>
      <c r="T126" s="41"/>
      <c r="U126" s="57" t="str">
        <f t="shared" si="13"/>
        <v/>
      </c>
      <c r="V126" s="36"/>
      <c r="W126" s="41"/>
      <c r="X126" s="58" t="str">
        <f t="shared" si="14"/>
        <v/>
      </c>
      <c r="Y126" s="58" t="str">
        <f t="shared" si="15"/>
        <v/>
      </c>
      <c r="Z126" s="36"/>
      <c r="AA126" s="57" t="str">
        <f t="shared" si="16"/>
        <v/>
      </c>
      <c r="AB126" s="59" t="str">
        <f t="shared" si="17"/>
        <v/>
      </c>
    </row>
    <row r="127" spans="2:28" x14ac:dyDescent="0.25">
      <c r="B127" s="45" t="s">
        <v>214</v>
      </c>
      <c r="C127" s="70"/>
      <c r="D127" s="46"/>
      <c r="E127" s="45"/>
      <c r="F127" s="46"/>
      <c r="G127" s="48"/>
      <c r="H127" s="49"/>
      <c r="I127" s="47"/>
      <c r="J127" s="49"/>
      <c r="K127" s="47"/>
      <c r="L127" s="49"/>
      <c r="M127" s="47"/>
      <c r="N127" s="48"/>
      <c r="O127" s="49"/>
      <c r="P127" s="49"/>
      <c r="Q127" s="49"/>
      <c r="R127" s="49"/>
      <c r="S127" s="54" t="str">
        <f t="shared" si="12"/>
        <v/>
      </c>
      <c r="T127" s="51"/>
      <c r="U127" s="54" t="str">
        <f t="shared" si="13"/>
        <v/>
      </c>
      <c r="V127" s="46"/>
      <c r="W127" s="51"/>
      <c r="X127" s="55" t="str">
        <f t="shared" si="14"/>
        <v/>
      </c>
      <c r="Y127" s="55" t="str">
        <f t="shared" si="15"/>
        <v/>
      </c>
      <c r="Z127" s="46"/>
      <c r="AA127" s="54" t="str">
        <f t="shared" si="16"/>
        <v/>
      </c>
      <c r="AB127" s="56" t="str">
        <f t="shared" si="17"/>
        <v/>
      </c>
    </row>
    <row r="128" spans="2:28" x14ac:dyDescent="0.25">
      <c r="B128" s="35" t="s">
        <v>215</v>
      </c>
      <c r="C128" s="69"/>
      <c r="D128" s="36"/>
      <c r="E128" s="35"/>
      <c r="F128" s="36"/>
      <c r="G128" s="38"/>
      <c r="H128" s="38"/>
      <c r="I128" s="37"/>
      <c r="J128" s="39"/>
      <c r="K128" s="37"/>
      <c r="L128" s="39"/>
      <c r="M128" s="37"/>
      <c r="N128" s="38"/>
      <c r="O128" s="39"/>
      <c r="P128" s="39"/>
      <c r="Q128" s="39"/>
      <c r="R128" s="39"/>
      <c r="S128" s="57" t="str">
        <f t="shared" si="12"/>
        <v/>
      </c>
      <c r="T128" s="41"/>
      <c r="U128" s="57" t="str">
        <f t="shared" si="13"/>
        <v/>
      </c>
      <c r="V128" s="36"/>
      <c r="W128" s="41"/>
      <c r="X128" s="58" t="str">
        <f t="shared" si="14"/>
        <v/>
      </c>
      <c r="Y128" s="58" t="str">
        <f t="shared" si="15"/>
        <v/>
      </c>
      <c r="Z128" s="36"/>
      <c r="AA128" s="57" t="str">
        <f t="shared" si="16"/>
        <v/>
      </c>
      <c r="AB128" s="59" t="str">
        <f t="shared" si="17"/>
        <v/>
      </c>
    </row>
    <row r="129" spans="2:28" x14ac:dyDescent="0.25">
      <c r="B129" s="45" t="s">
        <v>216</v>
      </c>
      <c r="C129" s="70"/>
      <c r="D129" s="46"/>
      <c r="E129" s="45"/>
      <c r="F129" s="46"/>
      <c r="G129" s="48"/>
      <c r="H129" s="48"/>
      <c r="I129" s="47"/>
      <c r="J129" s="49"/>
      <c r="K129" s="45"/>
      <c r="L129" s="49"/>
      <c r="M129" s="47"/>
      <c r="N129" s="49"/>
      <c r="O129" s="49"/>
      <c r="P129" s="49"/>
      <c r="Q129" s="49"/>
      <c r="R129" s="49"/>
      <c r="S129" s="54" t="str">
        <f t="shared" si="12"/>
        <v/>
      </c>
      <c r="T129" s="51"/>
      <c r="U129" s="54" t="str">
        <f t="shared" si="13"/>
        <v/>
      </c>
      <c r="V129" s="46"/>
      <c r="W129" s="51"/>
      <c r="X129" s="55" t="str">
        <f t="shared" si="14"/>
        <v/>
      </c>
      <c r="Y129" s="55" t="str">
        <f t="shared" si="15"/>
        <v/>
      </c>
      <c r="Z129" s="46"/>
      <c r="AA129" s="54" t="str">
        <f t="shared" si="16"/>
        <v/>
      </c>
      <c r="AB129" s="56" t="str">
        <f t="shared" si="17"/>
        <v/>
      </c>
    </row>
    <row r="130" spans="2:28" x14ac:dyDescent="0.25">
      <c r="B130" s="35" t="s">
        <v>217</v>
      </c>
      <c r="C130" s="69"/>
      <c r="D130" s="36"/>
      <c r="E130" s="35"/>
      <c r="F130" s="36"/>
      <c r="G130" s="38"/>
      <c r="H130" s="38"/>
      <c r="I130" s="37"/>
      <c r="J130" s="39"/>
      <c r="K130" s="37"/>
      <c r="L130" s="39"/>
      <c r="M130" s="37"/>
      <c r="N130" s="38"/>
      <c r="O130" s="39"/>
      <c r="P130" s="39"/>
      <c r="Q130" s="39"/>
      <c r="R130" s="39"/>
      <c r="S130" s="57" t="str">
        <f t="shared" si="12"/>
        <v/>
      </c>
      <c r="T130" s="41"/>
      <c r="U130" s="57" t="str">
        <f t="shared" si="13"/>
        <v/>
      </c>
      <c r="V130" s="36"/>
      <c r="W130" s="41"/>
      <c r="X130" s="58" t="str">
        <f t="shared" si="14"/>
        <v/>
      </c>
      <c r="Y130" s="58" t="str">
        <f t="shared" si="15"/>
        <v/>
      </c>
      <c r="Z130" s="36"/>
      <c r="AA130" s="57" t="str">
        <f t="shared" si="16"/>
        <v/>
      </c>
      <c r="AB130" s="59" t="str">
        <f t="shared" si="17"/>
        <v/>
      </c>
    </row>
    <row r="131" spans="2:28" x14ac:dyDescent="0.25">
      <c r="B131" s="45" t="s">
        <v>218</v>
      </c>
      <c r="C131" s="70"/>
      <c r="D131" s="46"/>
      <c r="E131" s="45"/>
      <c r="F131" s="46"/>
      <c r="G131" s="48"/>
      <c r="H131" s="49"/>
      <c r="I131" s="47"/>
      <c r="J131" s="49"/>
      <c r="K131" s="47"/>
      <c r="L131" s="49"/>
      <c r="M131" s="47"/>
      <c r="N131" s="48"/>
      <c r="O131" s="49"/>
      <c r="P131" s="49"/>
      <c r="Q131" s="49"/>
      <c r="R131" s="49"/>
      <c r="S131" s="54" t="str">
        <f t="shared" si="12"/>
        <v/>
      </c>
      <c r="T131" s="51"/>
      <c r="U131" s="54" t="str">
        <f t="shared" si="13"/>
        <v/>
      </c>
      <c r="V131" s="46"/>
      <c r="W131" s="51"/>
      <c r="X131" s="55" t="str">
        <f t="shared" si="14"/>
        <v/>
      </c>
      <c r="Y131" s="55" t="str">
        <f t="shared" si="15"/>
        <v/>
      </c>
      <c r="Z131" s="46"/>
      <c r="AA131" s="54" t="str">
        <f t="shared" si="16"/>
        <v/>
      </c>
      <c r="AB131" s="56" t="str">
        <f t="shared" si="17"/>
        <v/>
      </c>
    </row>
    <row r="132" spans="2:28" x14ac:dyDescent="0.25">
      <c r="B132" s="35" t="s">
        <v>219</v>
      </c>
      <c r="C132" s="69"/>
      <c r="D132" s="36"/>
      <c r="E132" s="35"/>
      <c r="F132" s="36"/>
      <c r="G132" s="38"/>
      <c r="H132" s="38"/>
      <c r="I132" s="37"/>
      <c r="J132" s="39"/>
      <c r="K132" s="37"/>
      <c r="L132" s="39"/>
      <c r="M132" s="37"/>
      <c r="N132" s="38"/>
      <c r="O132" s="39"/>
      <c r="P132" s="39"/>
      <c r="Q132" s="49"/>
      <c r="R132" s="39"/>
      <c r="S132" s="57" t="str">
        <f t="shared" si="12"/>
        <v/>
      </c>
      <c r="T132" s="41"/>
      <c r="U132" s="57" t="str">
        <f t="shared" si="13"/>
        <v/>
      </c>
      <c r="V132" s="36"/>
      <c r="W132" s="41"/>
      <c r="X132" s="58" t="str">
        <f t="shared" si="14"/>
        <v/>
      </c>
      <c r="Y132" s="58" t="str">
        <f t="shared" si="15"/>
        <v/>
      </c>
      <c r="Z132" s="36"/>
      <c r="AA132" s="57" t="str">
        <f t="shared" si="16"/>
        <v/>
      </c>
      <c r="AB132" s="59" t="str">
        <f t="shared" si="17"/>
        <v/>
      </c>
    </row>
    <row r="133" spans="2:28" x14ac:dyDescent="0.25">
      <c r="B133" s="45" t="s">
        <v>220</v>
      </c>
      <c r="C133" s="70"/>
      <c r="D133" s="46"/>
      <c r="E133" s="45"/>
      <c r="F133" s="46"/>
      <c r="G133" s="48"/>
      <c r="H133" s="49"/>
      <c r="I133" s="47"/>
      <c r="J133" s="49"/>
      <c r="K133" s="47"/>
      <c r="L133" s="49"/>
      <c r="M133" s="47"/>
      <c r="N133" s="48"/>
      <c r="O133" s="49"/>
      <c r="P133" s="49"/>
      <c r="Q133" s="49"/>
      <c r="R133" s="49"/>
      <c r="S133" s="54" t="str">
        <f t="shared" si="12"/>
        <v/>
      </c>
      <c r="T133" s="51"/>
      <c r="U133" s="54" t="str">
        <f t="shared" si="13"/>
        <v/>
      </c>
      <c r="V133" s="46"/>
      <c r="W133" s="51"/>
      <c r="X133" s="55" t="str">
        <f t="shared" si="14"/>
        <v/>
      </c>
      <c r="Y133" s="55" t="str">
        <f t="shared" si="15"/>
        <v/>
      </c>
      <c r="Z133" s="46"/>
      <c r="AA133" s="54" t="str">
        <f t="shared" si="16"/>
        <v/>
      </c>
      <c r="AB133" s="56" t="str">
        <f t="shared" si="17"/>
        <v/>
      </c>
    </row>
    <row r="134" spans="2:28" x14ac:dyDescent="0.25">
      <c r="B134" s="35" t="s">
        <v>221</v>
      </c>
      <c r="C134" s="69"/>
      <c r="D134" s="36"/>
      <c r="E134" s="35"/>
      <c r="F134" s="36"/>
      <c r="G134" s="38"/>
      <c r="H134" s="38"/>
      <c r="I134" s="37"/>
      <c r="J134" s="39"/>
      <c r="K134" s="37"/>
      <c r="L134" s="39"/>
      <c r="M134" s="37"/>
      <c r="N134" s="38"/>
      <c r="O134" s="39"/>
      <c r="P134" s="39"/>
      <c r="Q134" s="39"/>
      <c r="R134" s="39"/>
      <c r="S134" s="57" t="str">
        <f t="shared" si="12"/>
        <v/>
      </c>
      <c r="T134" s="41"/>
      <c r="U134" s="57" t="str">
        <f t="shared" si="13"/>
        <v/>
      </c>
      <c r="V134" s="36"/>
      <c r="W134" s="41"/>
      <c r="X134" s="58" t="str">
        <f t="shared" si="14"/>
        <v/>
      </c>
      <c r="Y134" s="58" t="str">
        <f t="shared" si="15"/>
        <v/>
      </c>
      <c r="Z134" s="36"/>
      <c r="AA134" s="57" t="str">
        <f t="shared" si="16"/>
        <v/>
      </c>
      <c r="AB134" s="59" t="str">
        <f t="shared" si="17"/>
        <v/>
      </c>
    </row>
    <row r="135" spans="2:28" x14ac:dyDescent="0.25">
      <c r="B135" s="45" t="s">
        <v>222</v>
      </c>
      <c r="C135" s="70"/>
      <c r="D135" s="46"/>
      <c r="E135" s="45"/>
      <c r="F135" s="46"/>
      <c r="G135" s="48"/>
      <c r="H135" s="48"/>
      <c r="I135" s="47"/>
      <c r="J135" s="49"/>
      <c r="K135" s="45"/>
      <c r="L135" s="49"/>
      <c r="M135" s="47"/>
      <c r="N135" s="49"/>
      <c r="O135" s="49"/>
      <c r="P135" s="49"/>
      <c r="Q135" s="49"/>
      <c r="R135" s="49"/>
      <c r="S135" s="54" t="str">
        <f t="shared" si="12"/>
        <v/>
      </c>
      <c r="T135" s="51"/>
      <c r="U135" s="54" t="str">
        <f t="shared" si="13"/>
        <v/>
      </c>
      <c r="V135" s="46"/>
      <c r="W135" s="51"/>
      <c r="X135" s="55" t="str">
        <f t="shared" si="14"/>
        <v/>
      </c>
      <c r="Y135" s="55" t="str">
        <f t="shared" si="15"/>
        <v/>
      </c>
      <c r="Z135" s="46"/>
      <c r="AA135" s="54" t="str">
        <f t="shared" si="16"/>
        <v/>
      </c>
      <c r="AB135" s="56" t="str">
        <f t="shared" si="17"/>
        <v/>
      </c>
    </row>
    <row r="136" spans="2:28" x14ac:dyDescent="0.25">
      <c r="B136" s="35" t="s">
        <v>223</v>
      </c>
      <c r="C136" s="69"/>
      <c r="D136" s="36"/>
      <c r="E136" s="35"/>
      <c r="F136" s="36"/>
      <c r="G136" s="38"/>
      <c r="H136" s="38"/>
      <c r="I136" s="37"/>
      <c r="J136" s="39"/>
      <c r="K136" s="37"/>
      <c r="L136" s="39"/>
      <c r="M136" s="37"/>
      <c r="N136" s="38"/>
      <c r="O136" s="39"/>
      <c r="P136" s="39"/>
      <c r="Q136" s="39"/>
      <c r="R136" s="39"/>
      <c r="S136" s="57" t="str">
        <f t="shared" ref="S136:S199" si="18">IF(R136="","",IF(R136=1,300,IF(R136=2,370,IF(R136=3,630,IF(R136=4,830,IF(R136=5,370,IF(R136=6,430,IF(R136=7,530,IF(R136=8,370,IF(R136=9,700,IF(R136=10,870,IF(R136=11,370,IF(R136=12,370,IF(R136=13,370,IF(R136=13,370,IF(R136=14,370,IF(R136=15,370,IF(R136=16,300,IF(R136=17,300,IF(R136=18,170,IF(R136=19,330)))))))))))))))))))))</f>
        <v/>
      </c>
      <c r="T136" s="41"/>
      <c r="U136" s="57" t="str">
        <f t="shared" ref="U136:U199" si="19">IF(R136="","",IF(T136&gt;(5*S136),"ACIMA","OK"))</f>
        <v/>
      </c>
      <c r="V136" s="36"/>
      <c r="W136" s="41"/>
      <c r="X136" s="58" t="str">
        <f t="shared" ref="X136:X199" si="20">IF(W136="","",W136/T136)</f>
        <v/>
      </c>
      <c r="Y136" s="58" t="str">
        <f t="shared" ref="Y136:Y199" si="21">IF(X136="","",IF(X136&gt;$Y$5,"ACIMA","OK"))</f>
        <v/>
      </c>
      <c r="Z136" s="36"/>
      <c r="AA136" s="57" t="str">
        <f t="shared" ref="AA136:AA199" si="22">IF(R136="","",T136-W136)</f>
        <v/>
      </c>
      <c r="AB136" s="59" t="str">
        <f t="shared" ref="AB136:AB199" si="23">IF(R136="","",IF(AND(R136&gt;0,Z136=""),AA136,T136-(W136+AA136)))</f>
        <v/>
      </c>
    </row>
    <row r="137" spans="2:28" x14ac:dyDescent="0.25">
      <c r="B137" s="45" t="s">
        <v>224</v>
      </c>
      <c r="C137" s="70"/>
      <c r="D137" s="46"/>
      <c r="E137" s="45"/>
      <c r="F137" s="46"/>
      <c r="G137" s="48"/>
      <c r="H137" s="49"/>
      <c r="I137" s="47"/>
      <c r="J137" s="49"/>
      <c r="K137" s="47"/>
      <c r="L137" s="49"/>
      <c r="M137" s="47"/>
      <c r="N137" s="48"/>
      <c r="O137" s="49"/>
      <c r="P137" s="49"/>
      <c r="Q137" s="49"/>
      <c r="R137" s="49"/>
      <c r="S137" s="54" t="str">
        <f t="shared" si="18"/>
        <v/>
      </c>
      <c r="T137" s="51"/>
      <c r="U137" s="54" t="str">
        <f t="shared" si="19"/>
        <v/>
      </c>
      <c r="V137" s="46"/>
      <c r="W137" s="51"/>
      <c r="X137" s="55" t="str">
        <f t="shared" si="20"/>
        <v/>
      </c>
      <c r="Y137" s="55" t="str">
        <f t="shared" si="21"/>
        <v/>
      </c>
      <c r="Z137" s="46"/>
      <c r="AA137" s="54" t="str">
        <f t="shared" si="22"/>
        <v/>
      </c>
      <c r="AB137" s="56" t="str">
        <f t="shared" si="23"/>
        <v/>
      </c>
    </row>
    <row r="138" spans="2:28" x14ac:dyDescent="0.25">
      <c r="B138" s="35" t="s">
        <v>225</v>
      </c>
      <c r="C138" s="69"/>
      <c r="D138" s="36"/>
      <c r="E138" s="35"/>
      <c r="F138" s="36"/>
      <c r="G138" s="38"/>
      <c r="H138" s="38"/>
      <c r="I138" s="37"/>
      <c r="J138" s="39"/>
      <c r="K138" s="37"/>
      <c r="L138" s="39"/>
      <c r="M138" s="37"/>
      <c r="N138" s="38"/>
      <c r="O138" s="39"/>
      <c r="P138" s="39"/>
      <c r="Q138" s="49"/>
      <c r="R138" s="39"/>
      <c r="S138" s="57" t="str">
        <f t="shared" si="18"/>
        <v/>
      </c>
      <c r="T138" s="41"/>
      <c r="U138" s="57" t="str">
        <f t="shared" si="19"/>
        <v/>
      </c>
      <c r="V138" s="36"/>
      <c r="W138" s="41"/>
      <c r="X138" s="58" t="str">
        <f t="shared" si="20"/>
        <v/>
      </c>
      <c r="Y138" s="58" t="str">
        <f t="shared" si="21"/>
        <v/>
      </c>
      <c r="Z138" s="36"/>
      <c r="AA138" s="57" t="str">
        <f t="shared" si="22"/>
        <v/>
      </c>
      <c r="AB138" s="59" t="str">
        <f t="shared" si="23"/>
        <v/>
      </c>
    </row>
    <row r="139" spans="2:28" x14ac:dyDescent="0.25">
      <c r="B139" s="45" t="s">
        <v>226</v>
      </c>
      <c r="C139" s="70"/>
      <c r="D139" s="46"/>
      <c r="E139" s="45"/>
      <c r="F139" s="46"/>
      <c r="G139" s="48"/>
      <c r="H139" s="49"/>
      <c r="I139" s="47"/>
      <c r="J139" s="49"/>
      <c r="K139" s="47"/>
      <c r="L139" s="49"/>
      <c r="M139" s="47"/>
      <c r="N139" s="48"/>
      <c r="O139" s="49"/>
      <c r="P139" s="49"/>
      <c r="Q139" s="49"/>
      <c r="R139" s="49"/>
      <c r="S139" s="54" t="str">
        <f t="shared" si="18"/>
        <v/>
      </c>
      <c r="T139" s="51"/>
      <c r="U139" s="54" t="str">
        <f t="shared" si="19"/>
        <v/>
      </c>
      <c r="V139" s="46"/>
      <c r="W139" s="51"/>
      <c r="X139" s="55" t="str">
        <f t="shared" si="20"/>
        <v/>
      </c>
      <c r="Y139" s="55" t="str">
        <f t="shared" si="21"/>
        <v/>
      </c>
      <c r="Z139" s="46"/>
      <c r="AA139" s="54" t="str">
        <f t="shared" si="22"/>
        <v/>
      </c>
      <c r="AB139" s="56" t="str">
        <f t="shared" si="23"/>
        <v/>
      </c>
    </row>
    <row r="140" spans="2:28" x14ac:dyDescent="0.25">
      <c r="B140" s="35" t="s">
        <v>227</v>
      </c>
      <c r="C140" s="69"/>
      <c r="D140" s="36"/>
      <c r="E140" s="35"/>
      <c r="F140" s="36"/>
      <c r="G140" s="38"/>
      <c r="H140" s="38"/>
      <c r="I140" s="37"/>
      <c r="J140" s="39"/>
      <c r="K140" s="37"/>
      <c r="L140" s="39"/>
      <c r="M140" s="37"/>
      <c r="N140" s="38"/>
      <c r="O140" s="39"/>
      <c r="P140" s="39"/>
      <c r="Q140" s="39"/>
      <c r="R140" s="39"/>
      <c r="S140" s="57" t="str">
        <f t="shared" si="18"/>
        <v/>
      </c>
      <c r="T140" s="41"/>
      <c r="U140" s="57" t="str">
        <f t="shared" si="19"/>
        <v/>
      </c>
      <c r="V140" s="36"/>
      <c r="W140" s="41"/>
      <c r="X140" s="58" t="str">
        <f t="shared" si="20"/>
        <v/>
      </c>
      <c r="Y140" s="58" t="str">
        <f t="shared" si="21"/>
        <v/>
      </c>
      <c r="Z140" s="36"/>
      <c r="AA140" s="57" t="str">
        <f t="shared" si="22"/>
        <v/>
      </c>
      <c r="AB140" s="59" t="str">
        <f t="shared" si="23"/>
        <v/>
      </c>
    </row>
    <row r="141" spans="2:28" x14ac:dyDescent="0.25">
      <c r="B141" s="45" t="s">
        <v>228</v>
      </c>
      <c r="C141" s="70"/>
      <c r="D141" s="46"/>
      <c r="E141" s="45"/>
      <c r="F141" s="46"/>
      <c r="G141" s="48"/>
      <c r="H141" s="48"/>
      <c r="I141" s="47"/>
      <c r="J141" s="49"/>
      <c r="K141" s="45"/>
      <c r="L141" s="49"/>
      <c r="M141" s="47"/>
      <c r="N141" s="49"/>
      <c r="O141" s="49"/>
      <c r="P141" s="49"/>
      <c r="Q141" s="49"/>
      <c r="R141" s="49"/>
      <c r="S141" s="54" t="str">
        <f t="shared" si="18"/>
        <v/>
      </c>
      <c r="T141" s="51"/>
      <c r="U141" s="54" t="str">
        <f t="shared" si="19"/>
        <v/>
      </c>
      <c r="V141" s="46"/>
      <c r="W141" s="51"/>
      <c r="X141" s="55" t="str">
        <f t="shared" si="20"/>
        <v/>
      </c>
      <c r="Y141" s="55" t="str">
        <f t="shared" si="21"/>
        <v/>
      </c>
      <c r="Z141" s="46"/>
      <c r="AA141" s="54" t="str">
        <f t="shared" si="22"/>
        <v/>
      </c>
      <c r="AB141" s="56" t="str">
        <f t="shared" si="23"/>
        <v/>
      </c>
    </row>
    <row r="142" spans="2:28" x14ac:dyDescent="0.25">
      <c r="B142" s="35" t="s">
        <v>229</v>
      </c>
      <c r="C142" s="69"/>
      <c r="D142" s="36"/>
      <c r="E142" s="35"/>
      <c r="F142" s="36"/>
      <c r="G142" s="38"/>
      <c r="H142" s="38"/>
      <c r="I142" s="37"/>
      <c r="J142" s="39"/>
      <c r="K142" s="37"/>
      <c r="L142" s="39"/>
      <c r="M142" s="37"/>
      <c r="N142" s="38"/>
      <c r="O142" s="39"/>
      <c r="P142" s="39"/>
      <c r="Q142" s="39"/>
      <c r="R142" s="39"/>
      <c r="S142" s="57" t="str">
        <f t="shared" si="18"/>
        <v/>
      </c>
      <c r="T142" s="41"/>
      <c r="U142" s="57" t="str">
        <f t="shared" si="19"/>
        <v/>
      </c>
      <c r="V142" s="36"/>
      <c r="W142" s="41"/>
      <c r="X142" s="58" t="str">
        <f t="shared" si="20"/>
        <v/>
      </c>
      <c r="Y142" s="58" t="str">
        <f t="shared" si="21"/>
        <v/>
      </c>
      <c r="Z142" s="36"/>
      <c r="AA142" s="57" t="str">
        <f t="shared" si="22"/>
        <v/>
      </c>
      <c r="AB142" s="59" t="str">
        <f t="shared" si="23"/>
        <v/>
      </c>
    </row>
    <row r="143" spans="2:28" x14ac:dyDescent="0.25">
      <c r="B143" s="45" t="s">
        <v>230</v>
      </c>
      <c r="C143" s="70"/>
      <c r="D143" s="46"/>
      <c r="E143" s="45"/>
      <c r="F143" s="46"/>
      <c r="G143" s="48"/>
      <c r="H143" s="49"/>
      <c r="I143" s="47"/>
      <c r="J143" s="49"/>
      <c r="K143" s="47"/>
      <c r="L143" s="49"/>
      <c r="M143" s="47"/>
      <c r="N143" s="48"/>
      <c r="O143" s="49"/>
      <c r="P143" s="49"/>
      <c r="Q143" s="49"/>
      <c r="R143" s="49"/>
      <c r="S143" s="54" t="str">
        <f t="shared" si="18"/>
        <v/>
      </c>
      <c r="T143" s="51"/>
      <c r="U143" s="54" t="str">
        <f t="shared" si="19"/>
        <v/>
      </c>
      <c r="V143" s="46"/>
      <c r="W143" s="51"/>
      <c r="X143" s="55" t="str">
        <f t="shared" si="20"/>
        <v/>
      </c>
      <c r="Y143" s="55" t="str">
        <f t="shared" si="21"/>
        <v/>
      </c>
      <c r="Z143" s="46"/>
      <c r="AA143" s="54" t="str">
        <f t="shared" si="22"/>
        <v/>
      </c>
      <c r="AB143" s="56" t="str">
        <f t="shared" si="23"/>
        <v/>
      </c>
    </row>
    <row r="144" spans="2:28" x14ac:dyDescent="0.25">
      <c r="B144" s="35" t="s">
        <v>231</v>
      </c>
      <c r="C144" s="69"/>
      <c r="D144" s="36"/>
      <c r="E144" s="35"/>
      <c r="F144" s="36"/>
      <c r="G144" s="38"/>
      <c r="H144" s="38"/>
      <c r="I144" s="37"/>
      <c r="J144" s="39"/>
      <c r="K144" s="37"/>
      <c r="L144" s="39"/>
      <c r="M144" s="37"/>
      <c r="N144" s="38"/>
      <c r="O144" s="39"/>
      <c r="P144" s="39"/>
      <c r="Q144" s="49"/>
      <c r="R144" s="39"/>
      <c r="S144" s="57" t="str">
        <f t="shared" si="18"/>
        <v/>
      </c>
      <c r="T144" s="41"/>
      <c r="U144" s="57" t="str">
        <f t="shared" si="19"/>
        <v/>
      </c>
      <c r="V144" s="36"/>
      <c r="W144" s="41"/>
      <c r="X144" s="58" t="str">
        <f t="shared" si="20"/>
        <v/>
      </c>
      <c r="Y144" s="58" t="str">
        <f t="shared" si="21"/>
        <v/>
      </c>
      <c r="Z144" s="36"/>
      <c r="AA144" s="57" t="str">
        <f t="shared" si="22"/>
        <v/>
      </c>
      <c r="AB144" s="59" t="str">
        <f t="shared" si="23"/>
        <v/>
      </c>
    </row>
    <row r="145" spans="2:28" x14ac:dyDescent="0.25">
      <c r="B145" s="45" t="s">
        <v>232</v>
      </c>
      <c r="C145" s="70"/>
      <c r="D145" s="46"/>
      <c r="E145" s="45"/>
      <c r="F145" s="46"/>
      <c r="G145" s="48"/>
      <c r="H145" s="49"/>
      <c r="I145" s="47"/>
      <c r="J145" s="49"/>
      <c r="K145" s="47"/>
      <c r="L145" s="49"/>
      <c r="M145" s="47"/>
      <c r="N145" s="48"/>
      <c r="O145" s="49"/>
      <c r="P145" s="49"/>
      <c r="Q145" s="49"/>
      <c r="R145" s="49"/>
      <c r="S145" s="54" t="str">
        <f t="shared" si="18"/>
        <v/>
      </c>
      <c r="T145" s="51"/>
      <c r="U145" s="54" t="str">
        <f t="shared" si="19"/>
        <v/>
      </c>
      <c r="V145" s="46"/>
      <c r="W145" s="51"/>
      <c r="X145" s="55" t="str">
        <f t="shared" si="20"/>
        <v/>
      </c>
      <c r="Y145" s="55" t="str">
        <f t="shared" si="21"/>
        <v/>
      </c>
      <c r="Z145" s="46"/>
      <c r="AA145" s="54" t="str">
        <f t="shared" si="22"/>
        <v/>
      </c>
      <c r="AB145" s="56" t="str">
        <f t="shared" si="23"/>
        <v/>
      </c>
    </row>
    <row r="146" spans="2:28" x14ac:dyDescent="0.25">
      <c r="B146" s="35" t="s">
        <v>233</v>
      </c>
      <c r="C146" s="69"/>
      <c r="D146" s="36"/>
      <c r="E146" s="35"/>
      <c r="F146" s="36"/>
      <c r="G146" s="38"/>
      <c r="H146" s="38"/>
      <c r="I146" s="37"/>
      <c r="J146" s="39"/>
      <c r="K146" s="37"/>
      <c r="L146" s="39"/>
      <c r="M146" s="37"/>
      <c r="N146" s="38"/>
      <c r="O146" s="39"/>
      <c r="P146" s="39"/>
      <c r="Q146" s="39"/>
      <c r="R146" s="39"/>
      <c r="S146" s="57" t="str">
        <f t="shared" si="18"/>
        <v/>
      </c>
      <c r="T146" s="41"/>
      <c r="U146" s="57" t="str">
        <f t="shared" si="19"/>
        <v/>
      </c>
      <c r="V146" s="36"/>
      <c r="W146" s="41"/>
      <c r="X146" s="58" t="str">
        <f t="shared" si="20"/>
        <v/>
      </c>
      <c r="Y146" s="58" t="str">
        <f t="shared" si="21"/>
        <v/>
      </c>
      <c r="Z146" s="36"/>
      <c r="AA146" s="57" t="str">
        <f t="shared" si="22"/>
        <v/>
      </c>
      <c r="AB146" s="59" t="str">
        <f t="shared" si="23"/>
        <v/>
      </c>
    </row>
    <row r="147" spans="2:28" x14ac:dyDescent="0.25">
      <c r="B147" s="45" t="s">
        <v>234</v>
      </c>
      <c r="C147" s="70"/>
      <c r="D147" s="46"/>
      <c r="E147" s="45"/>
      <c r="F147" s="46"/>
      <c r="G147" s="48"/>
      <c r="H147" s="48"/>
      <c r="I147" s="47"/>
      <c r="J147" s="49"/>
      <c r="K147" s="45"/>
      <c r="L147" s="49"/>
      <c r="M147" s="47"/>
      <c r="N147" s="49"/>
      <c r="O147" s="49"/>
      <c r="P147" s="49"/>
      <c r="Q147" s="49"/>
      <c r="R147" s="49"/>
      <c r="S147" s="54" t="str">
        <f t="shared" si="18"/>
        <v/>
      </c>
      <c r="T147" s="51"/>
      <c r="U147" s="54" t="str">
        <f t="shared" si="19"/>
        <v/>
      </c>
      <c r="V147" s="46"/>
      <c r="W147" s="51"/>
      <c r="X147" s="55" t="str">
        <f t="shared" si="20"/>
        <v/>
      </c>
      <c r="Y147" s="55" t="str">
        <f t="shared" si="21"/>
        <v/>
      </c>
      <c r="Z147" s="46"/>
      <c r="AA147" s="54" t="str">
        <f t="shared" si="22"/>
        <v/>
      </c>
      <c r="AB147" s="56" t="str">
        <f t="shared" si="23"/>
        <v/>
      </c>
    </row>
    <row r="148" spans="2:28" x14ac:dyDescent="0.25">
      <c r="B148" s="35" t="s">
        <v>235</v>
      </c>
      <c r="C148" s="69"/>
      <c r="D148" s="36"/>
      <c r="E148" s="35"/>
      <c r="F148" s="36"/>
      <c r="G148" s="38"/>
      <c r="H148" s="38"/>
      <c r="I148" s="37"/>
      <c r="J148" s="39"/>
      <c r="K148" s="37"/>
      <c r="L148" s="39"/>
      <c r="M148" s="37"/>
      <c r="N148" s="38"/>
      <c r="O148" s="39"/>
      <c r="P148" s="39"/>
      <c r="Q148" s="39"/>
      <c r="R148" s="39"/>
      <c r="S148" s="57" t="str">
        <f t="shared" si="18"/>
        <v/>
      </c>
      <c r="T148" s="41"/>
      <c r="U148" s="57" t="str">
        <f t="shared" si="19"/>
        <v/>
      </c>
      <c r="V148" s="36"/>
      <c r="W148" s="41"/>
      <c r="X148" s="58" t="str">
        <f t="shared" si="20"/>
        <v/>
      </c>
      <c r="Y148" s="58" t="str">
        <f t="shared" si="21"/>
        <v/>
      </c>
      <c r="Z148" s="36"/>
      <c r="AA148" s="57" t="str">
        <f t="shared" si="22"/>
        <v/>
      </c>
      <c r="AB148" s="59" t="str">
        <f t="shared" si="23"/>
        <v/>
      </c>
    </row>
    <row r="149" spans="2:28" x14ac:dyDescent="0.25">
      <c r="B149" s="45" t="s">
        <v>236</v>
      </c>
      <c r="C149" s="70"/>
      <c r="D149" s="46"/>
      <c r="E149" s="45"/>
      <c r="F149" s="46"/>
      <c r="G149" s="48"/>
      <c r="H149" s="49"/>
      <c r="I149" s="47"/>
      <c r="J149" s="49"/>
      <c r="K149" s="47"/>
      <c r="L149" s="49"/>
      <c r="M149" s="47"/>
      <c r="N149" s="48"/>
      <c r="O149" s="49"/>
      <c r="P149" s="49"/>
      <c r="Q149" s="49"/>
      <c r="R149" s="49"/>
      <c r="S149" s="54" t="str">
        <f t="shared" si="18"/>
        <v/>
      </c>
      <c r="T149" s="51"/>
      <c r="U149" s="54" t="str">
        <f t="shared" si="19"/>
        <v/>
      </c>
      <c r="V149" s="46"/>
      <c r="W149" s="51"/>
      <c r="X149" s="55" t="str">
        <f t="shared" si="20"/>
        <v/>
      </c>
      <c r="Y149" s="55" t="str">
        <f t="shared" si="21"/>
        <v/>
      </c>
      <c r="Z149" s="46"/>
      <c r="AA149" s="54" t="str">
        <f t="shared" si="22"/>
        <v/>
      </c>
      <c r="AB149" s="56" t="str">
        <f t="shared" si="23"/>
        <v/>
      </c>
    </row>
    <row r="150" spans="2:28" x14ac:dyDescent="0.25">
      <c r="B150" s="35" t="s">
        <v>237</v>
      </c>
      <c r="C150" s="69"/>
      <c r="D150" s="36"/>
      <c r="E150" s="35"/>
      <c r="F150" s="36"/>
      <c r="G150" s="38"/>
      <c r="H150" s="38"/>
      <c r="I150" s="37"/>
      <c r="J150" s="39"/>
      <c r="K150" s="37"/>
      <c r="L150" s="39"/>
      <c r="M150" s="37"/>
      <c r="N150" s="38"/>
      <c r="O150" s="39"/>
      <c r="P150" s="39"/>
      <c r="Q150" s="49"/>
      <c r="R150" s="39"/>
      <c r="S150" s="57" t="str">
        <f t="shared" si="18"/>
        <v/>
      </c>
      <c r="T150" s="41"/>
      <c r="U150" s="57" t="str">
        <f t="shared" si="19"/>
        <v/>
      </c>
      <c r="V150" s="36"/>
      <c r="W150" s="41"/>
      <c r="X150" s="58" t="str">
        <f t="shared" si="20"/>
        <v/>
      </c>
      <c r="Y150" s="58" t="str">
        <f t="shared" si="21"/>
        <v/>
      </c>
      <c r="Z150" s="36"/>
      <c r="AA150" s="57" t="str">
        <f t="shared" si="22"/>
        <v/>
      </c>
      <c r="AB150" s="59" t="str">
        <f t="shared" si="23"/>
        <v/>
      </c>
    </row>
    <row r="151" spans="2:28" x14ac:dyDescent="0.25">
      <c r="B151" s="45" t="s">
        <v>238</v>
      </c>
      <c r="C151" s="70"/>
      <c r="D151" s="46"/>
      <c r="E151" s="45"/>
      <c r="F151" s="46"/>
      <c r="G151" s="48"/>
      <c r="H151" s="49"/>
      <c r="I151" s="47"/>
      <c r="J151" s="49"/>
      <c r="K151" s="47"/>
      <c r="L151" s="49"/>
      <c r="M151" s="47"/>
      <c r="N151" s="48"/>
      <c r="O151" s="49"/>
      <c r="P151" s="49"/>
      <c r="Q151" s="49"/>
      <c r="R151" s="49"/>
      <c r="S151" s="54" t="str">
        <f t="shared" si="18"/>
        <v/>
      </c>
      <c r="T151" s="51"/>
      <c r="U151" s="54" t="str">
        <f t="shared" si="19"/>
        <v/>
      </c>
      <c r="V151" s="46"/>
      <c r="W151" s="51"/>
      <c r="X151" s="55" t="str">
        <f t="shared" si="20"/>
        <v/>
      </c>
      <c r="Y151" s="55" t="str">
        <f t="shared" si="21"/>
        <v/>
      </c>
      <c r="Z151" s="46"/>
      <c r="AA151" s="54" t="str">
        <f t="shared" si="22"/>
        <v/>
      </c>
      <c r="AB151" s="56" t="str">
        <f t="shared" si="23"/>
        <v/>
      </c>
    </row>
    <row r="152" spans="2:28" x14ac:dyDescent="0.25">
      <c r="B152" s="35" t="s">
        <v>239</v>
      </c>
      <c r="C152" s="69"/>
      <c r="D152" s="36"/>
      <c r="E152" s="35"/>
      <c r="F152" s="36"/>
      <c r="G152" s="38"/>
      <c r="H152" s="38"/>
      <c r="I152" s="37"/>
      <c r="J152" s="39"/>
      <c r="K152" s="37"/>
      <c r="L152" s="39"/>
      <c r="M152" s="37"/>
      <c r="N152" s="38"/>
      <c r="O152" s="39"/>
      <c r="P152" s="39"/>
      <c r="Q152" s="39"/>
      <c r="R152" s="39"/>
      <c r="S152" s="57" t="str">
        <f t="shared" si="18"/>
        <v/>
      </c>
      <c r="T152" s="41"/>
      <c r="U152" s="57" t="str">
        <f t="shared" si="19"/>
        <v/>
      </c>
      <c r="V152" s="36"/>
      <c r="W152" s="41"/>
      <c r="X152" s="58" t="str">
        <f t="shared" si="20"/>
        <v/>
      </c>
      <c r="Y152" s="58" t="str">
        <f t="shared" si="21"/>
        <v/>
      </c>
      <c r="Z152" s="36"/>
      <c r="AA152" s="57" t="str">
        <f t="shared" si="22"/>
        <v/>
      </c>
      <c r="AB152" s="59" t="str">
        <f t="shared" si="23"/>
        <v/>
      </c>
    </row>
    <row r="153" spans="2:28" x14ac:dyDescent="0.25">
      <c r="B153" s="45" t="s">
        <v>240</v>
      </c>
      <c r="C153" s="70"/>
      <c r="D153" s="46"/>
      <c r="E153" s="45"/>
      <c r="F153" s="46"/>
      <c r="G153" s="48"/>
      <c r="H153" s="48"/>
      <c r="I153" s="47"/>
      <c r="J153" s="49"/>
      <c r="K153" s="45"/>
      <c r="L153" s="49"/>
      <c r="M153" s="47"/>
      <c r="N153" s="49"/>
      <c r="O153" s="49"/>
      <c r="P153" s="49"/>
      <c r="Q153" s="49"/>
      <c r="R153" s="49"/>
      <c r="S153" s="54" t="str">
        <f t="shared" si="18"/>
        <v/>
      </c>
      <c r="T153" s="51"/>
      <c r="U153" s="54" t="str">
        <f t="shared" si="19"/>
        <v/>
      </c>
      <c r="V153" s="46"/>
      <c r="W153" s="51"/>
      <c r="X153" s="55" t="str">
        <f t="shared" si="20"/>
        <v/>
      </c>
      <c r="Y153" s="55" t="str">
        <f t="shared" si="21"/>
        <v/>
      </c>
      <c r="Z153" s="46"/>
      <c r="AA153" s="54" t="str">
        <f t="shared" si="22"/>
        <v/>
      </c>
      <c r="AB153" s="56" t="str">
        <f t="shared" si="23"/>
        <v/>
      </c>
    </row>
    <row r="154" spans="2:28" x14ac:dyDescent="0.25">
      <c r="B154" s="35" t="s">
        <v>241</v>
      </c>
      <c r="C154" s="69"/>
      <c r="D154" s="36"/>
      <c r="E154" s="35"/>
      <c r="F154" s="36"/>
      <c r="G154" s="38"/>
      <c r="H154" s="38"/>
      <c r="I154" s="37"/>
      <c r="J154" s="39"/>
      <c r="K154" s="37"/>
      <c r="L154" s="39"/>
      <c r="M154" s="37"/>
      <c r="N154" s="38"/>
      <c r="O154" s="39"/>
      <c r="P154" s="39"/>
      <c r="Q154" s="39"/>
      <c r="R154" s="39"/>
      <c r="S154" s="57" t="str">
        <f t="shared" si="18"/>
        <v/>
      </c>
      <c r="T154" s="41"/>
      <c r="U154" s="57" t="str">
        <f t="shared" si="19"/>
        <v/>
      </c>
      <c r="V154" s="36"/>
      <c r="W154" s="41"/>
      <c r="X154" s="58" t="str">
        <f t="shared" si="20"/>
        <v/>
      </c>
      <c r="Y154" s="58" t="str">
        <f t="shared" si="21"/>
        <v/>
      </c>
      <c r="Z154" s="36"/>
      <c r="AA154" s="57" t="str">
        <f t="shared" si="22"/>
        <v/>
      </c>
      <c r="AB154" s="59" t="str">
        <f t="shared" si="23"/>
        <v/>
      </c>
    </row>
    <row r="155" spans="2:28" x14ac:dyDescent="0.25">
      <c r="B155" s="45" t="s">
        <v>242</v>
      </c>
      <c r="C155" s="70"/>
      <c r="D155" s="46"/>
      <c r="E155" s="45"/>
      <c r="F155" s="46"/>
      <c r="G155" s="48"/>
      <c r="H155" s="49"/>
      <c r="I155" s="47"/>
      <c r="J155" s="49"/>
      <c r="K155" s="47"/>
      <c r="L155" s="49"/>
      <c r="M155" s="47"/>
      <c r="N155" s="48"/>
      <c r="O155" s="49"/>
      <c r="P155" s="49"/>
      <c r="Q155" s="49"/>
      <c r="R155" s="49"/>
      <c r="S155" s="54" t="str">
        <f t="shared" si="18"/>
        <v/>
      </c>
      <c r="T155" s="51"/>
      <c r="U155" s="54" t="str">
        <f t="shared" si="19"/>
        <v/>
      </c>
      <c r="V155" s="46"/>
      <c r="W155" s="51"/>
      <c r="X155" s="55" t="str">
        <f t="shared" si="20"/>
        <v/>
      </c>
      <c r="Y155" s="55" t="str">
        <f t="shared" si="21"/>
        <v/>
      </c>
      <c r="Z155" s="46"/>
      <c r="AA155" s="54" t="str">
        <f t="shared" si="22"/>
        <v/>
      </c>
      <c r="AB155" s="56" t="str">
        <f t="shared" si="23"/>
        <v/>
      </c>
    </row>
    <row r="156" spans="2:28" x14ac:dyDescent="0.25">
      <c r="B156" s="35" t="s">
        <v>243</v>
      </c>
      <c r="C156" s="69"/>
      <c r="D156" s="36"/>
      <c r="E156" s="35"/>
      <c r="F156" s="36"/>
      <c r="G156" s="38"/>
      <c r="H156" s="38"/>
      <c r="I156" s="37"/>
      <c r="J156" s="39"/>
      <c r="K156" s="37"/>
      <c r="L156" s="39"/>
      <c r="M156" s="37"/>
      <c r="N156" s="38"/>
      <c r="O156" s="39"/>
      <c r="P156" s="39"/>
      <c r="Q156" s="49"/>
      <c r="R156" s="39"/>
      <c r="S156" s="57" t="str">
        <f t="shared" si="18"/>
        <v/>
      </c>
      <c r="T156" s="41"/>
      <c r="U156" s="57" t="str">
        <f t="shared" si="19"/>
        <v/>
      </c>
      <c r="V156" s="36"/>
      <c r="W156" s="41"/>
      <c r="X156" s="58" t="str">
        <f t="shared" si="20"/>
        <v/>
      </c>
      <c r="Y156" s="58" t="str">
        <f t="shared" si="21"/>
        <v/>
      </c>
      <c r="Z156" s="36"/>
      <c r="AA156" s="57" t="str">
        <f t="shared" si="22"/>
        <v/>
      </c>
      <c r="AB156" s="59" t="str">
        <f t="shared" si="23"/>
        <v/>
      </c>
    </row>
    <row r="157" spans="2:28" x14ac:dyDescent="0.25">
      <c r="B157" s="45" t="s">
        <v>244</v>
      </c>
      <c r="C157" s="70"/>
      <c r="D157" s="46"/>
      <c r="E157" s="45"/>
      <c r="F157" s="46"/>
      <c r="G157" s="48"/>
      <c r="H157" s="49"/>
      <c r="I157" s="47"/>
      <c r="J157" s="49"/>
      <c r="K157" s="47"/>
      <c r="L157" s="49"/>
      <c r="M157" s="47"/>
      <c r="N157" s="48"/>
      <c r="O157" s="49"/>
      <c r="P157" s="49"/>
      <c r="Q157" s="49"/>
      <c r="R157" s="49"/>
      <c r="S157" s="54" t="str">
        <f t="shared" si="18"/>
        <v/>
      </c>
      <c r="T157" s="51"/>
      <c r="U157" s="54" t="str">
        <f t="shared" si="19"/>
        <v/>
      </c>
      <c r="V157" s="46"/>
      <c r="W157" s="51"/>
      <c r="X157" s="55" t="str">
        <f t="shared" si="20"/>
        <v/>
      </c>
      <c r="Y157" s="55" t="str">
        <f t="shared" si="21"/>
        <v/>
      </c>
      <c r="Z157" s="46"/>
      <c r="AA157" s="54" t="str">
        <f t="shared" si="22"/>
        <v/>
      </c>
      <c r="AB157" s="56" t="str">
        <f t="shared" si="23"/>
        <v/>
      </c>
    </row>
    <row r="158" spans="2:28" x14ac:dyDescent="0.25">
      <c r="B158" s="35" t="s">
        <v>245</v>
      </c>
      <c r="C158" s="69"/>
      <c r="D158" s="36"/>
      <c r="E158" s="35"/>
      <c r="F158" s="36"/>
      <c r="G158" s="38"/>
      <c r="H158" s="38"/>
      <c r="I158" s="37"/>
      <c r="J158" s="39"/>
      <c r="K158" s="37"/>
      <c r="L158" s="39"/>
      <c r="M158" s="37"/>
      <c r="N158" s="38"/>
      <c r="O158" s="39"/>
      <c r="P158" s="39"/>
      <c r="Q158" s="39"/>
      <c r="R158" s="39"/>
      <c r="S158" s="57" t="str">
        <f t="shared" si="18"/>
        <v/>
      </c>
      <c r="T158" s="41"/>
      <c r="U158" s="57" t="str">
        <f t="shared" si="19"/>
        <v/>
      </c>
      <c r="V158" s="36"/>
      <c r="W158" s="41"/>
      <c r="X158" s="58" t="str">
        <f t="shared" si="20"/>
        <v/>
      </c>
      <c r="Y158" s="58" t="str">
        <f t="shared" si="21"/>
        <v/>
      </c>
      <c r="Z158" s="36"/>
      <c r="AA158" s="57" t="str">
        <f t="shared" si="22"/>
        <v/>
      </c>
      <c r="AB158" s="59" t="str">
        <f t="shared" si="23"/>
        <v/>
      </c>
    </row>
    <row r="159" spans="2:28" x14ac:dyDescent="0.25">
      <c r="B159" s="45" t="s">
        <v>246</v>
      </c>
      <c r="C159" s="70"/>
      <c r="D159" s="46"/>
      <c r="E159" s="45"/>
      <c r="F159" s="46"/>
      <c r="G159" s="48"/>
      <c r="H159" s="48"/>
      <c r="I159" s="47"/>
      <c r="J159" s="49"/>
      <c r="K159" s="45"/>
      <c r="L159" s="49"/>
      <c r="M159" s="47"/>
      <c r="N159" s="49"/>
      <c r="O159" s="49"/>
      <c r="P159" s="49"/>
      <c r="Q159" s="49"/>
      <c r="R159" s="49"/>
      <c r="S159" s="54" t="str">
        <f t="shared" si="18"/>
        <v/>
      </c>
      <c r="T159" s="51"/>
      <c r="U159" s="54" t="str">
        <f t="shared" si="19"/>
        <v/>
      </c>
      <c r="V159" s="46"/>
      <c r="W159" s="51"/>
      <c r="X159" s="55" t="str">
        <f t="shared" si="20"/>
        <v/>
      </c>
      <c r="Y159" s="55" t="str">
        <f t="shared" si="21"/>
        <v/>
      </c>
      <c r="Z159" s="46"/>
      <c r="AA159" s="54" t="str">
        <f t="shared" si="22"/>
        <v/>
      </c>
      <c r="AB159" s="56" t="str">
        <f t="shared" si="23"/>
        <v/>
      </c>
    </row>
    <row r="160" spans="2:28" x14ac:dyDescent="0.25">
      <c r="B160" s="35" t="s">
        <v>247</v>
      </c>
      <c r="C160" s="69"/>
      <c r="D160" s="36"/>
      <c r="E160" s="35"/>
      <c r="F160" s="36"/>
      <c r="G160" s="38"/>
      <c r="H160" s="38"/>
      <c r="I160" s="37"/>
      <c r="J160" s="39"/>
      <c r="K160" s="37"/>
      <c r="L160" s="39"/>
      <c r="M160" s="37"/>
      <c r="N160" s="38"/>
      <c r="O160" s="39"/>
      <c r="P160" s="39"/>
      <c r="Q160" s="39"/>
      <c r="R160" s="39"/>
      <c r="S160" s="57" t="str">
        <f t="shared" si="18"/>
        <v/>
      </c>
      <c r="T160" s="41"/>
      <c r="U160" s="57" t="str">
        <f t="shared" si="19"/>
        <v/>
      </c>
      <c r="V160" s="36"/>
      <c r="W160" s="41"/>
      <c r="X160" s="58" t="str">
        <f t="shared" si="20"/>
        <v/>
      </c>
      <c r="Y160" s="58" t="str">
        <f t="shared" si="21"/>
        <v/>
      </c>
      <c r="Z160" s="36"/>
      <c r="AA160" s="57" t="str">
        <f t="shared" si="22"/>
        <v/>
      </c>
      <c r="AB160" s="59" t="str">
        <f t="shared" si="23"/>
        <v/>
      </c>
    </row>
    <row r="161" spans="2:28" x14ac:dyDescent="0.25">
      <c r="B161" s="45" t="s">
        <v>248</v>
      </c>
      <c r="C161" s="70"/>
      <c r="D161" s="46"/>
      <c r="E161" s="45"/>
      <c r="F161" s="46"/>
      <c r="G161" s="48"/>
      <c r="H161" s="49"/>
      <c r="I161" s="47"/>
      <c r="J161" s="49"/>
      <c r="K161" s="47"/>
      <c r="L161" s="49"/>
      <c r="M161" s="47"/>
      <c r="N161" s="48"/>
      <c r="O161" s="49"/>
      <c r="P161" s="49"/>
      <c r="Q161" s="49"/>
      <c r="R161" s="49"/>
      <c r="S161" s="54" t="str">
        <f t="shared" si="18"/>
        <v/>
      </c>
      <c r="T161" s="51"/>
      <c r="U161" s="54" t="str">
        <f t="shared" si="19"/>
        <v/>
      </c>
      <c r="V161" s="46"/>
      <c r="W161" s="51"/>
      <c r="X161" s="55" t="str">
        <f t="shared" si="20"/>
        <v/>
      </c>
      <c r="Y161" s="55" t="str">
        <f t="shared" si="21"/>
        <v/>
      </c>
      <c r="Z161" s="46"/>
      <c r="AA161" s="54" t="str">
        <f t="shared" si="22"/>
        <v/>
      </c>
      <c r="AB161" s="56" t="str">
        <f t="shared" si="23"/>
        <v/>
      </c>
    </row>
    <row r="162" spans="2:28" x14ac:dyDescent="0.25">
      <c r="B162" s="35" t="s">
        <v>249</v>
      </c>
      <c r="C162" s="69"/>
      <c r="D162" s="36"/>
      <c r="E162" s="35"/>
      <c r="F162" s="36"/>
      <c r="G162" s="38"/>
      <c r="H162" s="38"/>
      <c r="I162" s="37"/>
      <c r="J162" s="39"/>
      <c r="K162" s="37"/>
      <c r="L162" s="39"/>
      <c r="M162" s="37"/>
      <c r="N162" s="38"/>
      <c r="O162" s="39"/>
      <c r="P162" s="39"/>
      <c r="Q162" s="49"/>
      <c r="R162" s="39"/>
      <c r="S162" s="57" t="str">
        <f t="shared" si="18"/>
        <v/>
      </c>
      <c r="T162" s="41"/>
      <c r="U162" s="57" t="str">
        <f t="shared" si="19"/>
        <v/>
      </c>
      <c r="V162" s="36"/>
      <c r="W162" s="41"/>
      <c r="X162" s="58" t="str">
        <f t="shared" si="20"/>
        <v/>
      </c>
      <c r="Y162" s="58" t="str">
        <f t="shared" si="21"/>
        <v/>
      </c>
      <c r="Z162" s="36"/>
      <c r="AA162" s="57" t="str">
        <f t="shared" si="22"/>
        <v/>
      </c>
      <c r="AB162" s="59" t="str">
        <f t="shared" si="23"/>
        <v/>
      </c>
    </row>
    <row r="163" spans="2:28" x14ac:dyDescent="0.25">
      <c r="B163" s="45" t="s">
        <v>250</v>
      </c>
      <c r="C163" s="70"/>
      <c r="D163" s="46"/>
      <c r="E163" s="45"/>
      <c r="F163" s="46"/>
      <c r="G163" s="48"/>
      <c r="H163" s="49"/>
      <c r="I163" s="47"/>
      <c r="J163" s="49"/>
      <c r="K163" s="47"/>
      <c r="L163" s="49"/>
      <c r="M163" s="47"/>
      <c r="N163" s="48"/>
      <c r="O163" s="49"/>
      <c r="P163" s="49"/>
      <c r="Q163" s="49"/>
      <c r="R163" s="49"/>
      <c r="S163" s="54" t="str">
        <f t="shared" si="18"/>
        <v/>
      </c>
      <c r="T163" s="51"/>
      <c r="U163" s="54" t="str">
        <f t="shared" si="19"/>
        <v/>
      </c>
      <c r="V163" s="46"/>
      <c r="W163" s="51"/>
      <c r="X163" s="55" t="str">
        <f t="shared" si="20"/>
        <v/>
      </c>
      <c r="Y163" s="55" t="str">
        <f t="shared" si="21"/>
        <v/>
      </c>
      <c r="Z163" s="46"/>
      <c r="AA163" s="54" t="str">
        <f t="shared" si="22"/>
        <v/>
      </c>
      <c r="AB163" s="56" t="str">
        <f t="shared" si="23"/>
        <v/>
      </c>
    </row>
    <row r="164" spans="2:28" x14ac:dyDescent="0.25">
      <c r="B164" s="35" t="s">
        <v>251</v>
      </c>
      <c r="C164" s="69"/>
      <c r="D164" s="36"/>
      <c r="E164" s="35"/>
      <c r="F164" s="36"/>
      <c r="G164" s="38"/>
      <c r="H164" s="38"/>
      <c r="I164" s="37"/>
      <c r="J164" s="39"/>
      <c r="K164" s="37"/>
      <c r="L164" s="39"/>
      <c r="M164" s="37"/>
      <c r="N164" s="38"/>
      <c r="O164" s="39"/>
      <c r="P164" s="39"/>
      <c r="Q164" s="39"/>
      <c r="R164" s="39"/>
      <c r="S164" s="57" t="str">
        <f t="shared" si="18"/>
        <v/>
      </c>
      <c r="T164" s="41"/>
      <c r="U164" s="57" t="str">
        <f t="shared" si="19"/>
        <v/>
      </c>
      <c r="V164" s="36"/>
      <c r="W164" s="41"/>
      <c r="X164" s="58" t="str">
        <f t="shared" si="20"/>
        <v/>
      </c>
      <c r="Y164" s="58" t="str">
        <f t="shared" si="21"/>
        <v/>
      </c>
      <c r="Z164" s="36"/>
      <c r="AA164" s="57" t="str">
        <f t="shared" si="22"/>
        <v/>
      </c>
      <c r="AB164" s="59" t="str">
        <f t="shared" si="23"/>
        <v/>
      </c>
    </row>
    <row r="165" spans="2:28" x14ac:dyDescent="0.25">
      <c r="B165" s="45" t="s">
        <v>252</v>
      </c>
      <c r="C165" s="70"/>
      <c r="D165" s="46"/>
      <c r="E165" s="45"/>
      <c r="F165" s="46"/>
      <c r="G165" s="48"/>
      <c r="H165" s="48"/>
      <c r="I165" s="47"/>
      <c r="J165" s="49"/>
      <c r="K165" s="45"/>
      <c r="L165" s="49"/>
      <c r="M165" s="47"/>
      <c r="N165" s="49"/>
      <c r="O165" s="49"/>
      <c r="P165" s="49"/>
      <c r="Q165" s="49"/>
      <c r="R165" s="49"/>
      <c r="S165" s="54" t="str">
        <f t="shared" si="18"/>
        <v/>
      </c>
      <c r="T165" s="51"/>
      <c r="U165" s="54" t="str">
        <f t="shared" si="19"/>
        <v/>
      </c>
      <c r="V165" s="46"/>
      <c r="W165" s="51"/>
      <c r="X165" s="55" t="str">
        <f t="shared" si="20"/>
        <v/>
      </c>
      <c r="Y165" s="55" t="str">
        <f t="shared" si="21"/>
        <v/>
      </c>
      <c r="Z165" s="46"/>
      <c r="AA165" s="54" t="str">
        <f t="shared" si="22"/>
        <v/>
      </c>
      <c r="AB165" s="56" t="str">
        <f t="shared" si="23"/>
        <v/>
      </c>
    </row>
    <row r="166" spans="2:28" x14ac:dyDescent="0.25">
      <c r="B166" s="35" t="s">
        <v>253</v>
      </c>
      <c r="C166" s="69"/>
      <c r="D166" s="36"/>
      <c r="E166" s="35"/>
      <c r="F166" s="36"/>
      <c r="G166" s="38"/>
      <c r="H166" s="38"/>
      <c r="I166" s="37"/>
      <c r="J166" s="39"/>
      <c r="K166" s="37"/>
      <c r="L166" s="39"/>
      <c r="M166" s="37"/>
      <c r="N166" s="38"/>
      <c r="O166" s="39"/>
      <c r="P166" s="39"/>
      <c r="Q166" s="39"/>
      <c r="R166" s="39"/>
      <c r="S166" s="57" t="str">
        <f t="shared" si="18"/>
        <v/>
      </c>
      <c r="T166" s="41"/>
      <c r="U166" s="57" t="str">
        <f t="shared" si="19"/>
        <v/>
      </c>
      <c r="V166" s="36"/>
      <c r="W166" s="41"/>
      <c r="X166" s="58" t="str">
        <f t="shared" si="20"/>
        <v/>
      </c>
      <c r="Y166" s="58" t="str">
        <f t="shared" si="21"/>
        <v/>
      </c>
      <c r="Z166" s="36"/>
      <c r="AA166" s="57" t="str">
        <f t="shared" si="22"/>
        <v/>
      </c>
      <c r="AB166" s="59" t="str">
        <f t="shared" si="23"/>
        <v/>
      </c>
    </row>
    <row r="167" spans="2:28" x14ac:dyDescent="0.25">
      <c r="B167" s="45" t="s">
        <v>254</v>
      </c>
      <c r="C167" s="70"/>
      <c r="D167" s="46"/>
      <c r="E167" s="45"/>
      <c r="F167" s="46"/>
      <c r="G167" s="48"/>
      <c r="H167" s="49"/>
      <c r="I167" s="47"/>
      <c r="J167" s="49"/>
      <c r="K167" s="47"/>
      <c r="L167" s="49"/>
      <c r="M167" s="47"/>
      <c r="N167" s="48"/>
      <c r="O167" s="49"/>
      <c r="P167" s="49"/>
      <c r="Q167" s="49"/>
      <c r="R167" s="49"/>
      <c r="S167" s="54" t="str">
        <f t="shared" si="18"/>
        <v/>
      </c>
      <c r="T167" s="51"/>
      <c r="U167" s="54" t="str">
        <f t="shared" si="19"/>
        <v/>
      </c>
      <c r="V167" s="46"/>
      <c r="W167" s="51"/>
      <c r="X167" s="55" t="str">
        <f t="shared" si="20"/>
        <v/>
      </c>
      <c r="Y167" s="55" t="str">
        <f t="shared" si="21"/>
        <v/>
      </c>
      <c r="Z167" s="46"/>
      <c r="AA167" s="54" t="str">
        <f t="shared" si="22"/>
        <v/>
      </c>
      <c r="AB167" s="56" t="str">
        <f t="shared" si="23"/>
        <v/>
      </c>
    </row>
    <row r="168" spans="2:28" x14ac:dyDescent="0.25">
      <c r="B168" s="35" t="s">
        <v>255</v>
      </c>
      <c r="C168" s="69"/>
      <c r="D168" s="36"/>
      <c r="E168" s="35"/>
      <c r="F168" s="36"/>
      <c r="G168" s="38"/>
      <c r="H168" s="38"/>
      <c r="I168" s="37"/>
      <c r="J168" s="39"/>
      <c r="K168" s="37"/>
      <c r="L168" s="39"/>
      <c r="M168" s="37"/>
      <c r="N168" s="38"/>
      <c r="O168" s="39"/>
      <c r="P168" s="39"/>
      <c r="Q168" s="49"/>
      <c r="R168" s="39"/>
      <c r="S168" s="57" t="str">
        <f t="shared" si="18"/>
        <v/>
      </c>
      <c r="T168" s="41"/>
      <c r="U168" s="57" t="str">
        <f t="shared" si="19"/>
        <v/>
      </c>
      <c r="V168" s="36"/>
      <c r="W168" s="41"/>
      <c r="X168" s="58" t="str">
        <f t="shared" si="20"/>
        <v/>
      </c>
      <c r="Y168" s="58" t="str">
        <f t="shared" si="21"/>
        <v/>
      </c>
      <c r="Z168" s="36"/>
      <c r="AA168" s="57" t="str">
        <f t="shared" si="22"/>
        <v/>
      </c>
      <c r="AB168" s="59" t="str">
        <f t="shared" si="23"/>
        <v/>
      </c>
    </row>
    <row r="169" spans="2:28" x14ac:dyDescent="0.25">
      <c r="B169" s="45" t="s">
        <v>256</v>
      </c>
      <c r="C169" s="70"/>
      <c r="D169" s="46"/>
      <c r="E169" s="45"/>
      <c r="F169" s="46"/>
      <c r="G169" s="48"/>
      <c r="H169" s="49"/>
      <c r="I169" s="47"/>
      <c r="J169" s="49"/>
      <c r="K169" s="47"/>
      <c r="L169" s="49"/>
      <c r="M169" s="47"/>
      <c r="N169" s="48"/>
      <c r="O169" s="49"/>
      <c r="P169" s="49"/>
      <c r="Q169" s="49"/>
      <c r="R169" s="49"/>
      <c r="S169" s="54" t="str">
        <f t="shared" si="18"/>
        <v/>
      </c>
      <c r="T169" s="51"/>
      <c r="U169" s="54" t="str">
        <f t="shared" si="19"/>
        <v/>
      </c>
      <c r="V169" s="46"/>
      <c r="W169" s="51"/>
      <c r="X169" s="55" t="str">
        <f t="shared" si="20"/>
        <v/>
      </c>
      <c r="Y169" s="55" t="str">
        <f t="shared" si="21"/>
        <v/>
      </c>
      <c r="Z169" s="46"/>
      <c r="AA169" s="54" t="str">
        <f t="shared" si="22"/>
        <v/>
      </c>
      <c r="AB169" s="56" t="str">
        <f t="shared" si="23"/>
        <v/>
      </c>
    </row>
    <row r="170" spans="2:28" x14ac:dyDescent="0.25">
      <c r="B170" s="35" t="s">
        <v>257</v>
      </c>
      <c r="C170" s="69"/>
      <c r="D170" s="36"/>
      <c r="E170" s="35"/>
      <c r="F170" s="36"/>
      <c r="G170" s="38"/>
      <c r="H170" s="38"/>
      <c r="I170" s="37"/>
      <c r="J170" s="39"/>
      <c r="K170" s="37"/>
      <c r="L170" s="39"/>
      <c r="M170" s="37"/>
      <c r="N170" s="38"/>
      <c r="O170" s="39"/>
      <c r="P170" s="39"/>
      <c r="Q170" s="39"/>
      <c r="R170" s="39"/>
      <c r="S170" s="57" t="str">
        <f t="shared" si="18"/>
        <v/>
      </c>
      <c r="T170" s="41"/>
      <c r="U170" s="57" t="str">
        <f t="shared" si="19"/>
        <v/>
      </c>
      <c r="V170" s="36"/>
      <c r="W170" s="41"/>
      <c r="X170" s="58" t="str">
        <f t="shared" si="20"/>
        <v/>
      </c>
      <c r="Y170" s="58" t="str">
        <f t="shared" si="21"/>
        <v/>
      </c>
      <c r="Z170" s="36"/>
      <c r="AA170" s="57" t="str">
        <f t="shared" si="22"/>
        <v/>
      </c>
      <c r="AB170" s="59" t="str">
        <f t="shared" si="23"/>
        <v/>
      </c>
    </row>
    <row r="171" spans="2:28" x14ac:dyDescent="0.25">
      <c r="B171" s="45" t="s">
        <v>258</v>
      </c>
      <c r="C171" s="70"/>
      <c r="D171" s="46"/>
      <c r="E171" s="45"/>
      <c r="F171" s="46"/>
      <c r="G171" s="48"/>
      <c r="H171" s="48"/>
      <c r="I171" s="47"/>
      <c r="J171" s="49"/>
      <c r="K171" s="45"/>
      <c r="L171" s="49"/>
      <c r="M171" s="47"/>
      <c r="N171" s="49"/>
      <c r="O171" s="49"/>
      <c r="P171" s="49"/>
      <c r="Q171" s="49"/>
      <c r="R171" s="49"/>
      <c r="S171" s="54" t="str">
        <f t="shared" si="18"/>
        <v/>
      </c>
      <c r="T171" s="51"/>
      <c r="U171" s="54" t="str">
        <f t="shared" si="19"/>
        <v/>
      </c>
      <c r="V171" s="46"/>
      <c r="W171" s="51"/>
      <c r="X171" s="55" t="str">
        <f t="shared" si="20"/>
        <v/>
      </c>
      <c r="Y171" s="55" t="str">
        <f t="shared" si="21"/>
        <v/>
      </c>
      <c r="Z171" s="46"/>
      <c r="AA171" s="54" t="str">
        <f t="shared" si="22"/>
        <v/>
      </c>
      <c r="AB171" s="56" t="str">
        <f t="shared" si="23"/>
        <v/>
      </c>
    </row>
    <row r="172" spans="2:28" x14ac:dyDescent="0.25">
      <c r="B172" s="35" t="s">
        <v>259</v>
      </c>
      <c r="C172" s="69"/>
      <c r="D172" s="36"/>
      <c r="E172" s="35"/>
      <c r="F172" s="36"/>
      <c r="G172" s="38"/>
      <c r="H172" s="38"/>
      <c r="I172" s="37"/>
      <c r="J172" s="39"/>
      <c r="K172" s="37"/>
      <c r="L172" s="39"/>
      <c r="M172" s="37"/>
      <c r="N172" s="38"/>
      <c r="O172" s="39"/>
      <c r="P172" s="39"/>
      <c r="Q172" s="39"/>
      <c r="R172" s="39"/>
      <c r="S172" s="57" t="str">
        <f t="shared" si="18"/>
        <v/>
      </c>
      <c r="T172" s="41"/>
      <c r="U172" s="57" t="str">
        <f t="shared" si="19"/>
        <v/>
      </c>
      <c r="V172" s="36"/>
      <c r="W172" s="41"/>
      <c r="X172" s="58" t="str">
        <f t="shared" si="20"/>
        <v/>
      </c>
      <c r="Y172" s="58" t="str">
        <f t="shared" si="21"/>
        <v/>
      </c>
      <c r="Z172" s="36"/>
      <c r="AA172" s="57" t="str">
        <f t="shared" si="22"/>
        <v/>
      </c>
      <c r="AB172" s="59" t="str">
        <f t="shared" si="23"/>
        <v/>
      </c>
    </row>
    <row r="173" spans="2:28" x14ac:dyDescent="0.25">
      <c r="B173" s="45" t="s">
        <v>260</v>
      </c>
      <c r="C173" s="70"/>
      <c r="D173" s="46"/>
      <c r="E173" s="45"/>
      <c r="F173" s="46"/>
      <c r="G173" s="48"/>
      <c r="H173" s="49"/>
      <c r="I173" s="47"/>
      <c r="J173" s="49"/>
      <c r="K173" s="47"/>
      <c r="L173" s="49"/>
      <c r="M173" s="47"/>
      <c r="N173" s="48"/>
      <c r="O173" s="49"/>
      <c r="P173" s="49"/>
      <c r="Q173" s="49"/>
      <c r="R173" s="49"/>
      <c r="S173" s="54" t="str">
        <f t="shared" si="18"/>
        <v/>
      </c>
      <c r="T173" s="51"/>
      <c r="U173" s="54" t="str">
        <f t="shared" si="19"/>
        <v/>
      </c>
      <c r="V173" s="46"/>
      <c r="W173" s="51"/>
      <c r="X173" s="55" t="str">
        <f t="shared" si="20"/>
        <v/>
      </c>
      <c r="Y173" s="55" t="str">
        <f t="shared" si="21"/>
        <v/>
      </c>
      <c r="Z173" s="46"/>
      <c r="AA173" s="54" t="str">
        <f t="shared" si="22"/>
        <v/>
      </c>
      <c r="AB173" s="56" t="str">
        <f t="shared" si="23"/>
        <v/>
      </c>
    </row>
    <row r="174" spans="2:28" x14ac:dyDescent="0.25">
      <c r="B174" s="35" t="s">
        <v>261</v>
      </c>
      <c r="C174" s="69"/>
      <c r="D174" s="36"/>
      <c r="E174" s="35"/>
      <c r="F174" s="36"/>
      <c r="G174" s="38"/>
      <c r="H174" s="38"/>
      <c r="I174" s="37"/>
      <c r="J174" s="39"/>
      <c r="K174" s="37"/>
      <c r="L174" s="39"/>
      <c r="M174" s="37"/>
      <c r="N174" s="38"/>
      <c r="O174" s="39"/>
      <c r="P174" s="39"/>
      <c r="Q174" s="49"/>
      <c r="R174" s="39"/>
      <c r="S174" s="57" t="str">
        <f t="shared" si="18"/>
        <v/>
      </c>
      <c r="T174" s="41"/>
      <c r="U174" s="57" t="str">
        <f t="shared" si="19"/>
        <v/>
      </c>
      <c r="V174" s="36"/>
      <c r="W174" s="41"/>
      <c r="X174" s="58" t="str">
        <f t="shared" si="20"/>
        <v/>
      </c>
      <c r="Y174" s="58" t="str">
        <f t="shared" si="21"/>
        <v/>
      </c>
      <c r="Z174" s="36"/>
      <c r="AA174" s="57" t="str">
        <f t="shared" si="22"/>
        <v/>
      </c>
      <c r="AB174" s="59" t="str">
        <f t="shared" si="23"/>
        <v/>
      </c>
    </row>
    <row r="175" spans="2:28" x14ac:dyDescent="0.25">
      <c r="B175" s="45" t="s">
        <v>262</v>
      </c>
      <c r="C175" s="70"/>
      <c r="D175" s="46"/>
      <c r="E175" s="45"/>
      <c r="F175" s="46"/>
      <c r="G175" s="48"/>
      <c r="H175" s="49"/>
      <c r="I175" s="47"/>
      <c r="J175" s="49"/>
      <c r="K175" s="47"/>
      <c r="L175" s="49"/>
      <c r="M175" s="47"/>
      <c r="N175" s="48"/>
      <c r="O175" s="49"/>
      <c r="P175" s="49"/>
      <c r="Q175" s="49"/>
      <c r="R175" s="49"/>
      <c r="S175" s="54" t="str">
        <f t="shared" si="18"/>
        <v/>
      </c>
      <c r="T175" s="51"/>
      <c r="U175" s="54" t="str">
        <f t="shared" si="19"/>
        <v/>
      </c>
      <c r="V175" s="46"/>
      <c r="W175" s="51"/>
      <c r="X175" s="55" t="str">
        <f t="shared" si="20"/>
        <v/>
      </c>
      <c r="Y175" s="55" t="str">
        <f t="shared" si="21"/>
        <v/>
      </c>
      <c r="Z175" s="46"/>
      <c r="AA175" s="54" t="str">
        <f t="shared" si="22"/>
        <v/>
      </c>
      <c r="AB175" s="56" t="str">
        <f t="shared" si="23"/>
        <v/>
      </c>
    </row>
    <row r="176" spans="2:28" x14ac:dyDescent="0.25">
      <c r="B176" s="35" t="s">
        <v>263</v>
      </c>
      <c r="C176" s="69"/>
      <c r="D176" s="36"/>
      <c r="E176" s="35"/>
      <c r="F176" s="36"/>
      <c r="G176" s="38"/>
      <c r="H176" s="38"/>
      <c r="I176" s="37"/>
      <c r="J176" s="39"/>
      <c r="K176" s="37"/>
      <c r="L176" s="39"/>
      <c r="M176" s="37"/>
      <c r="N176" s="38"/>
      <c r="O176" s="39"/>
      <c r="P176" s="39"/>
      <c r="Q176" s="39"/>
      <c r="R176" s="39"/>
      <c r="S176" s="57" t="str">
        <f t="shared" si="18"/>
        <v/>
      </c>
      <c r="T176" s="41"/>
      <c r="U176" s="57" t="str">
        <f t="shared" si="19"/>
        <v/>
      </c>
      <c r="V176" s="36"/>
      <c r="W176" s="41"/>
      <c r="X176" s="58" t="str">
        <f t="shared" si="20"/>
        <v/>
      </c>
      <c r="Y176" s="58" t="str">
        <f t="shared" si="21"/>
        <v/>
      </c>
      <c r="Z176" s="36"/>
      <c r="AA176" s="57" t="str">
        <f t="shared" si="22"/>
        <v/>
      </c>
      <c r="AB176" s="59" t="str">
        <f t="shared" si="23"/>
        <v/>
      </c>
    </row>
    <row r="177" spans="2:28" x14ac:dyDescent="0.25">
      <c r="B177" s="45" t="s">
        <v>264</v>
      </c>
      <c r="C177" s="70"/>
      <c r="D177" s="46"/>
      <c r="E177" s="45"/>
      <c r="F177" s="46"/>
      <c r="G177" s="48"/>
      <c r="H177" s="48"/>
      <c r="I177" s="47"/>
      <c r="J177" s="49"/>
      <c r="K177" s="45"/>
      <c r="L177" s="49"/>
      <c r="M177" s="47"/>
      <c r="N177" s="49"/>
      <c r="O177" s="49"/>
      <c r="P177" s="49"/>
      <c r="Q177" s="49"/>
      <c r="R177" s="49"/>
      <c r="S177" s="54" t="str">
        <f t="shared" si="18"/>
        <v/>
      </c>
      <c r="T177" s="51"/>
      <c r="U177" s="54" t="str">
        <f t="shared" si="19"/>
        <v/>
      </c>
      <c r="V177" s="46"/>
      <c r="W177" s="51"/>
      <c r="X177" s="55" t="str">
        <f t="shared" si="20"/>
        <v/>
      </c>
      <c r="Y177" s="55" t="str">
        <f t="shared" si="21"/>
        <v/>
      </c>
      <c r="Z177" s="46"/>
      <c r="AA177" s="54" t="str">
        <f t="shared" si="22"/>
        <v/>
      </c>
      <c r="AB177" s="56" t="str">
        <f t="shared" si="23"/>
        <v/>
      </c>
    </row>
    <row r="178" spans="2:28" x14ac:dyDescent="0.25">
      <c r="B178" s="35" t="s">
        <v>265</v>
      </c>
      <c r="C178" s="69"/>
      <c r="D178" s="36"/>
      <c r="E178" s="35"/>
      <c r="F178" s="36"/>
      <c r="G178" s="38"/>
      <c r="H178" s="38"/>
      <c r="I178" s="37"/>
      <c r="J178" s="39"/>
      <c r="K178" s="37"/>
      <c r="L178" s="39"/>
      <c r="M178" s="37"/>
      <c r="N178" s="38"/>
      <c r="O178" s="39"/>
      <c r="P178" s="39"/>
      <c r="Q178" s="39"/>
      <c r="R178" s="39"/>
      <c r="S178" s="57" t="str">
        <f t="shared" si="18"/>
        <v/>
      </c>
      <c r="T178" s="41"/>
      <c r="U178" s="57" t="str">
        <f t="shared" si="19"/>
        <v/>
      </c>
      <c r="V178" s="36"/>
      <c r="W178" s="41"/>
      <c r="X178" s="58" t="str">
        <f t="shared" si="20"/>
        <v/>
      </c>
      <c r="Y178" s="58" t="str">
        <f t="shared" si="21"/>
        <v/>
      </c>
      <c r="Z178" s="36"/>
      <c r="AA178" s="57" t="str">
        <f t="shared" si="22"/>
        <v/>
      </c>
      <c r="AB178" s="59" t="str">
        <f t="shared" si="23"/>
        <v/>
      </c>
    </row>
    <row r="179" spans="2:28" x14ac:dyDescent="0.25">
      <c r="B179" s="45" t="s">
        <v>266</v>
      </c>
      <c r="C179" s="70"/>
      <c r="D179" s="46"/>
      <c r="E179" s="45"/>
      <c r="F179" s="46"/>
      <c r="G179" s="48"/>
      <c r="H179" s="49"/>
      <c r="I179" s="47"/>
      <c r="J179" s="49"/>
      <c r="K179" s="47"/>
      <c r="L179" s="49"/>
      <c r="M179" s="47"/>
      <c r="N179" s="48"/>
      <c r="O179" s="49"/>
      <c r="P179" s="49"/>
      <c r="Q179" s="49"/>
      <c r="R179" s="49"/>
      <c r="S179" s="54" t="str">
        <f t="shared" si="18"/>
        <v/>
      </c>
      <c r="T179" s="51"/>
      <c r="U179" s="54" t="str">
        <f t="shared" si="19"/>
        <v/>
      </c>
      <c r="V179" s="46"/>
      <c r="W179" s="51"/>
      <c r="X179" s="55" t="str">
        <f t="shared" si="20"/>
        <v/>
      </c>
      <c r="Y179" s="55" t="str">
        <f t="shared" si="21"/>
        <v/>
      </c>
      <c r="Z179" s="46"/>
      <c r="AA179" s="54" t="str">
        <f t="shared" si="22"/>
        <v/>
      </c>
      <c r="AB179" s="56" t="str">
        <f t="shared" si="23"/>
        <v/>
      </c>
    </row>
    <row r="180" spans="2:28" x14ac:dyDescent="0.25">
      <c r="B180" s="35" t="s">
        <v>267</v>
      </c>
      <c r="C180" s="69"/>
      <c r="D180" s="36"/>
      <c r="E180" s="35"/>
      <c r="F180" s="36"/>
      <c r="G180" s="38"/>
      <c r="H180" s="38"/>
      <c r="I180" s="37"/>
      <c r="J180" s="39"/>
      <c r="K180" s="37"/>
      <c r="L180" s="39"/>
      <c r="M180" s="37"/>
      <c r="N180" s="38"/>
      <c r="O180" s="39"/>
      <c r="P180" s="39"/>
      <c r="Q180" s="49"/>
      <c r="R180" s="39"/>
      <c r="S180" s="57" t="str">
        <f t="shared" si="18"/>
        <v/>
      </c>
      <c r="T180" s="41"/>
      <c r="U180" s="57" t="str">
        <f t="shared" si="19"/>
        <v/>
      </c>
      <c r="V180" s="36"/>
      <c r="W180" s="41"/>
      <c r="X180" s="58" t="str">
        <f t="shared" si="20"/>
        <v/>
      </c>
      <c r="Y180" s="58" t="str">
        <f t="shared" si="21"/>
        <v/>
      </c>
      <c r="Z180" s="36"/>
      <c r="AA180" s="57" t="str">
        <f t="shared" si="22"/>
        <v/>
      </c>
      <c r="AB180" s="59" t="str">
        <f t="shared" si="23"/>
        <v/>
      </c>
    </row>
    <row r="181" spans="2:28" x14ac:dyDescent="0.25">
      <c r="B181" s="45" t="s">
        <v>268</v>
      </c>
      <c r="C181" s="70"/>
      <c r="D181" s="46"/>
      <c r="E181" s="45"/>
      <c r="F181" s="46"/>
      <c r="G181" s="48"/>
      <c r="H181" s="49"/>
      <c r="I181" s="47"/>
      <c r="J181" s="49"/>
      <c r="K181" s="47"/>
      <c r="L181" s="49"/>
      <c r="M181" s="47"/>
      <c r="N181" s="48"/>
      <c r="O181" s="49"/>
      <c r="P181" s="49"/>
      <c r="Q181" s="49"/>
      <c r="R181" s="49"/>
      <c r="S181" s="54" t="str">
        <f t="shared" si="18"/>
        <v/>
      </c>
      <c r="T181" s="51"/>
      <c r="U181" s="54" t="str">
        <f t="shared" si="19"/>
        <v/>
      </c>
      <c r="V181" s="46"/>
      <c r="W181" s="51"/>
      <c r="X181" s="55" t="str">
        <f t="shared" si="20"/>
        <v/>
      </c>
      <c r="Y181" s="55" t="str">
        <f t="shared" si="21"/>
        <v/>
      </c>
      <c r="Z181" s="46"/>
      <c r="AA181" s="54" t="str">
        <f t="shared" si="22"/>
        <v/>
      </c>
      <c r="AB181" s="56" t="str">
        <f t="shared" si="23"/>
        <v/>
      </c>
    </row>
    <row r="182" spans="2:28" x14ac:dyDescent="0.25">
      <c r="B182" s="35" t="s">
        <v>269</v>
      </c>
      <c r="C182" s="69"/>
      <c r="D182" s="36"/>
      <c r="E182" s="35"/>
      <c r="F182" s="36"/>
      <c r="G182" s="38"/>
      <c r="H182" s="38"/>
      <c r="I182" s="37"/>
      <c r="J182" s="39"/>
      <c r="K182" s="37"/>
      <c r="L182" s="39"/>
      <c r="M182" s="37"/>
      <c r="N182" s="38"/>
      <c r="O182" s="39"/>
      <c r="P182" s="39"/>
      <c r="Q182" s="39"/>
      <c r="R182" s="39"/>
      <c r="S182" s="57" t="str">
        <f t="shared" si="18"/>
        <v/>
      </c>
      <c r="T182" s="41"/>
      <c r="U182" s="57" t="str">
        <f t="shared" si="19"/>
        <v/>
      </c>
      <c r="V182" s="36"/>
      <c r="W182" s="41"/>
      <c r="X182" s="58" t="str">
        <f t="shared" si="20"/>
        <v/>
      </c>
      <c r="Y182" s="58" t="str">
        <f t="shared" si="21"/>
        <v/>
      </c>
      <c r="Z182" s="36"/>
      <c r="AA182" s="57" t="str">
        <f t="shared" si="22"/>
        <v/>
      </c>
      <c r="AB182" s="59" t="str">
        <f t="shared" si="23"/>
        <v/>
      </c>
    </row>
    <row r="183" spans="2:28" x14ac:dyDescent="0.25">
      <c r="B183" s="45" t="s">
        <v>270</v>
      </c>
      <c r="C183" s="70"/>
      <c r="D183" s="46"/>
      <c r="E183" s="45"/>
      <c r="F183" s="46"/>
      <c r="G183" s="48"/>
      <c r="H183" s="48"/>
      <c r="I183" s="47"/>
      <c r="J183" s="49"/>
      <c r="K183" s="45"/>
      <c r="L183" s="49"/>
      <c r="M183" s="47"/>
      <c r="N183" s="49"/>
      <c r="O183" s="49"/>
      <c r="P183" s="49"/>
      <c r="Q183" s="49"/>
      <c r="R183" s="49"/>
      <c r="S183" s="54" t="str">
        <f t="shared" si="18"/>
        <v/>
      </c>
      <c r="T183" s="51"/>
      <c r="U183" s="54" t="str">
        <f t="shared" si="19"/>
        <v/>
      </c>
      <c r="V183" s="46"/>
      <c r="W183" s="51"/>
      <c r="X183" s="55" t="str">
        <f t="shared" si="20"/>
        <v/>
      </c>
      <c r="Y183" s="55" t="str">
        <f t="shared" si="21"/>
        <v/>
      </c>
      <c r="Z183" s="46"/>
      <c r="AA183" s="54" t="str">
        <f t="shared" si="22"/>
        <v/>
      </c>
      <c r="AB183" s="56" t="str">
        <f t="shared" si="23"/>
        <v/>
      </c>
    </row>
    <row r="184" spans="2:28" x14ac:dyDescent="0.25">
      <c r="B184" s="35" t="s">
        <v>271</v>
      </c>
      <c r="C184" s="69"/>
      <c r="D184" s="36"/>
      <c r="E184" s="35"/>
      <c r="F184" s="36"/>
      <c r="G184" s="38"/>
      <c r="H184" s="38"/>
      <c r="I184" s="37"/>
      <c r="J184" s="39"/>
      <c r="K184" s="37"/>
      <c r="L184" s="39"/>
      <c r="M184" s="37"/>
      <c r="N184" s="38"/>
      <c r="O184" s="39"/>
      <c r="P184" s="39"/>
      <c r="Q184" s="39"/>
      <c r="R184" s="39"/>
      <c r="S184" s="57" t="str">
        <f t="shared" si="18"/>
        <v/>
      </c>
      <c r="T184" s="41"/>
      <c r="U184" s="57" t="str">
        <f t="shared" si="19"/>
        <v/>
      </c>
      <c r="V184" s="36"/>
      <c r="W184" s="41"/>
      <c r="X184" s="58" t="str">
        <f t="shared" si="20"/>
        <v/>
      </c>
      <c r="Y184" s="58" t="str">
        <f t="shared" si="21"/>
        <v/>
      </c>
      <c r="Z184" s="36"/>
      <c r="AA184" s="57" t="str">
        <f t="shared" si="22"/>
        <v/>
      </c>
      <c r="AB184" s="59" t="str">
        <f t="shared" si="23"/>
        <v/>
      </c>
    </row>
    <row r="185" spans="2:28" x14ac:dyDescent="0.25">
      <c r="B185" s="45" t="s">
        <v>272</v>
      </c>
      <c r="C185" s="70"/>
      <c r="D185" s="46"/>
      <c r="E185" s="45"/>
      <c r="F185" s="46"/>
      <c r="G185" s="48"/>
      <c r="H185" s="49"/>
      <c r="I185" s="47"/>
      <c r="J185" s="49"/>
      <c r="K185" s="47"/>
      <c r="L185" s="49"/>
      <c r="M185" s="47"/>
      <c r="N185" s="48"/>
      <c r="O185" s="49"/>
      <c r="P185" s="49"/>
      <c r="Q185" s="49"/>
      <c r="R185" s="49"/>
      <c r="S185" s="54" t="str">
        <f t="shared" si="18"/>
        <v/>
      </c>
      <c r="T185" s="51"/>
      <c r="U185" s="54" t="str">
        <f t="shared" si="19"/>
        <v/>
      </c>
      <c r="V185" s="46"/>
      <c r="W185" s="51"/>
      <c r="X185" s="55" t="str">
        <f t="shared" si="20"/>
        <v/>
      </c>
      <c r="Y185" s="55" t="str">
        <f t="shared" si="21"/>
        <v/>
      </c>
      <c r="Z185" s="46"/>
      <c r="AA185" s="54" t="str">
        <f t="shared" si="22"/>
        <v/>
      </c>
      <c r="AB185" s="56" t="str">
        <f t="shared" si="23"/>
        <v/>
      </c>
    </row>
    <row r="186" spans="2:28" x14ac:dyDescent="0.25">
      <c r="B186" s="35" t="s">
        <v>273</v>
      </c>
      <c r="C186" s="69"/>
      <c r="D186" s="36"/>
      <c r="E186" s="35"/>
      <c r="F186" s="36"/>
      <c r="G186" s="38"/>
      <c r="H186" s="38"/>
      <c r="I186" s="37"/>
      <c r="J186" s="39"/>
      <c r="K186" s="37"/>
      <c r="L186" s="39"/>
      <c r="M186" s="37"/>
      <c r="N186" s="38"/>
      <c r="O186" s="39"/>
      <c r="P186" s="39"/>
      <c r="Q186" s="49"/>
      <c r="R186" s="39"/>
      <c r="S186" s="57" t="str">
        <f t="shared" si="18"/>
        <v/>
      </c>
      <c r="T186" s="41"/>
      <c r="U186" s="57" t="str">
        <f t="shared" si="19"/>
        <v/>
      </c>
      <c r="V186" s="36"/>
      <c r="W186" s="41"/>
      <c r="X186" s="58" t="str">
        <f t="shared" si="20"/>
        <v/>
      </c>
      <c r="Y186" s="58" t="str">
        <f t="shared" si="21"/>
        <v/>
      </c>
      <c r="Z186" s="36"/>
      <c r="AA186" s="57" t="str">
        <f t="shared" si="22"/>
        <v/>
      </c>
      <c r="AB186" s="59" t="str">
        <f t="shared" si="23"/>
        <v/>
      </c>
    </row>
    <row r="187" spans="2:28" x14ac:dyDescent="0.25">
      <c r="B187" s="45" t="s">
        <v>274</v>
      </c>
      <c r="C187" s="70"/>
      <c r="D187" s="46"/>
      <c r="E187" s="45"/>
      <c r="F187" s="46"/>
      <c r="G187" s="48"/>
      <c r="H187" s="49"/>
      <c r="I187" s="47"/>
      <c r="J187" s="49"/>
      <c r="K187" s="47"/>
      <c r="L187" s="49"/>
      <c r="M187" s="47"/>
      <c r="N187" s="48"/>
      <c r="O187" s="49"/>
      <c r="P187" s="49"/>
      <c r="Q187" s="49"/>
      <c r="R187" s="49"/>
      <c r="S187" s="54" t="str">
        <f t="shared" si="18"/>
        <v/>
      </c>
      <c r="T187" s="51"/>
      <c r="U187" s="54" t="str">
        <f t="shared" si="19"/>
        <v/>
      </c>
      <c r="V187" s="46"/>
      <c r="W187" s="51"/>
      <c r="X187" s="55" t="str">
        <f t="shared" si="20"/>
        <v/>
      </c>
      <c r="Y187" s="55" t="str">
        <f t="shared" si="21"/>
        <v/>
      </c>
      <c r="Z187" s="46"/>
      <c r="AA187" s="54" t="str">
        <f t="shared" si="22"/>
        <v/>
      </c>
      <c r="AB187" s="56" t="str">
        <f t="shared" si="23"/>
        <v/>
      </c>
    </row>
    <row r="188" spans="2:28" x14ac:dyDescent="0.25">
      <c r="B188" s="35" t="s">
        <v>275</v>
      </c>
      <c r="C188" s="69"/>
      <c r="D188" s="36"/>
      <c r="E188" s="35"/>
      <c r="F188" s="36"/>
      <c r="G188" s="38"/>
      <c r="H188" s="38"/>
      <c r="I188" s="37"/>
      <c r="J188" s="39"/>
      <c r="K188" s="37"/>
      <c r="L188" s="39"/>
      <c r="M188" s="37"/>
      <c r="N188" s="38"/>
      <c r="O188" s="39"/>
      <c r="P188" s="39"/>
      <c r="Q188" s="39"/>
      <c r="R188" s="39"/>
      <c r="S188" s="57" t="str">
        <f t="shared" si="18"/>
        <v/>
      </c>
      <c r="T188" s="41"/>
      <c r="U188" s="57" t="str">
        <f t="shared" si="19"/>
        <v/>
      </c>
      <c r="V188" s="36"/>
      <c r="W188" s="41"/>
      <c r="X188" s="58" t="str">
        <f t="shared" si="20"/>
        <v/>
      </c>
      <c r="Y188" s="58" t="str">
        <f t="shared" si="21"/>
        <v/>
      </c>
      <c r="Z188" s="36"/>
      <c r="AA188" s="57" t="str">
        <f t="shared" si="22"/>
        <v/>
      </c>
      <c r="AB188" s="59" t="str">
        <f t="shared" si="23"/>
        <v/>
      </c>
    </row>
    <row r="189" spans="2:28" x14ac:dyDescent="0.25">
      <c r="B189" s="45" t="s">
        <v>276</v>
      </c>
      <c r="C189" s="70"/>
      <c r="D189" s="46"/>
      <c r="E189" s="45"/>
      <c r="F189" s="46"/>
      <c r="G189" s="48"/>
      <c r="H189" s="48"/>
      <c r="I189" s="47"/>
      <c r="J189" s="49"/>
      <c r="K189" s="45"/>
      <c r="L189" s="49"/>
      <c r="M189" s="47"/>
      <c r="N189" s="49"/>
      <c r="O189" s="49"/>
      <c r="P189" s="49"/>
      <c r="Q189" s="49"/>
      <c r="R189" s="49"/>
      <c r="S189" s="54" t="str">
        <f t="shared" si="18"/>
        <v/>
      </c>
      <c r="T189" s="51"/>
      <c r="U189" s="54" t="str">
        <f t="shared" si="19"/>
        <v/>
      </c>
      <c r="V189" s="46"/>
      <c r="W189" s="51"/>
      <c r="X189" s="55" t="str">
        <f t="shared" si="20"/>
        <v/>
      </c>
      <c r="Y189" s="55" t="str">
        <f t="shared" si="21"/>
        <v/>
      </c>
      <c r="Z189" s="46"/>
      <c r="AA189" s="54" t="str">
        <f t="shared" si="22"/>
        <v/>
      </c>
      <c r="AB189" s="56" t="str">
        <f t="shared" si="23"/>
        <v/>
      </c>
    </row>
    <row r="190" spans="2:28" x14ac:dyDescent="0.25">
      <c r="B190" s="35" t="s">
        <v>277</v>
      </c>
      <c r="C190" s="69"/>
      <c r="D190" s="36"/>
      <c r="E190" s="35"/>
      <c r="F190" s="36"/>
      <c r="G190" s="38"/>
      <c r="H190" s="38"/>
      <c r="I190" s="37"/>
      <c r="J190" s="39"/>
      <c r="K190" s="37"/>
      <c r="L190" s="39"/>
      <c r="M190" s="37"/>
      <c r="N190" s="38"/>
      <c r="O190" s="39"/>
      <c r="P190" s="39"/>
      <c r="Q190" s="39"/>
      <c r="R190" s="39"/>
      <c r="S190" s="57" t="str">
        <f t="shared" si="18"/>
        <v/>
      </c>
      <c r="T190" s="41"/>
      <c r="U190" s="57" t="str">
        <f t="shared" si="19"/>
        <v/>
      </c>
      <c r="V190" s="36"/>
      <c r="W190" s="41"/>
      <c r="X190" s="58" t="str">
        <f t="shared" si="20"/>
        <v/>
      </c>
      <c r="Y190" s="58" t="str">
        <f t="shared" si="21"/>
        <v/>
      </c>
      <c r="Z190" s="36"/>
      <c r="AA190" s="57" t="str">
        <f t="shared" si="22"/>
        <v/>
      </c>
      <c r="AB190" s="59" t="str">
        <f t="shared" si="23"/>
        <v/>
      </c>
    </row>
    <row r="191" spans="2:28" x14ac:dyDescent="0.25">
      <c r="B191" s="45" t="s">
        <v>278</v>
      </c>
      <c r="C191" s="70"/>
      <c r="D191" s="46"/>
      <c r="E191" s="45"/>
      <c r="F191" s="46"/>
      <c r="G191" s="48"/>
      <c r="H191" s="49"/>
      <c r="I191" s="47"/>
      <c r="J191" s="49"/>
      <c r="K191" s="47"/>
      <c r="L191" s="49"/>
      <c r="M191" s="47"/>
      <c r="N191" s="48"/>
      <c r="O191" s="49"/>
      <c r="P191" s="49"/>
      <c r="Q191" s="49"/>
      <c r="R191" s="49"/>
      <c r="S191" s="54" t="str">
        <f t="shared" si="18"/>
        <v/>
      </c>
      <c r="T191" s="51"/>
      <c r="U191" s="54" t="str">
        <f t="shared" si="19"/>
        <v/>
      </c>
      <c r="V191" s="46"/>
      <c r="W191" s="51"/>
      <c r="X191" s="55" t="str">
        <f t="shared" si="20"/>
        <v/>
      </c>
      <c r="Y191" s="55" t="str">
        <f t="shared" si="21"/>
        <v/>
      </c>
      <c r="Z191" s="46"/>
      <c r="AA191" s="54" t="str">
        <f t="shared" si="22"/>
        <v/>
      </c>
      <c r="AB191" s="56" t="str">
        <f t="shared" si="23"/>
        <v/>
      </c>
    </row>
    <row r="192" spans="2:28" x14ac:dyDescent="0.25">
      <c r="B192" s="35" t="s">
        <v>279</v>
      </c>
      <c r="C192" s="69"/>
      <c r="D192" s="36"/>
      <c r="E192" s="35"/>
      <c r="F192" s="36"/>
      <c r="G192" s="38"/>
      <c r="H192" s="38"/>
      <c r="I192" s="37"/>
      <c r="J192" s="39"/>
      <c r="K192" s="37"/>
      <c r="L192" s="39"/>
      <c r="M192" s="37"/>
      <c r="N192" s="38"/>
      <c r="O192" s="39"/>
      <c r="P192" s="39"/>
      <c r="Q192" s="49"/>
      <c r="R192" s="39"/>
      <c r="S192" s="57" t="str">
        <f t="shared" si="18"/>
        <v/>
      </c>
      <c r="T192" s="41"/>
      <c r="U192" s="57" t="str">
        <f t="shared" si="19"/>
        <v/>
      </c>
      <c r="V192" s="36"/>
      <c r="W192" s="41"/>
      <c r="X192" s="58" t="str">
        <f t="shared" si="20"/>
        <v/>
      </c>
      <c r="Y192" s="58" t="str">
        <f t="shared" si="21"/>
        <v/>
      </c>
      <c r="Z192" s="36"/>
      <c r="AA192" s="57" t="str">
        <f t="shared" si="22"/>
        <v/>
      </c>
      <c r="AB192" s="59" t="str">
        <f t="shared" si="23"/>
        <v/>
      </c>
    </row>
    <row r="193" spans="2:28" x14ac:dyDescent="0.25">
      <c r="B193" s="45" t="s">
        <v>280</v>
      </c>
      <c r="C193" s="70"/>
      <c r="D193" s="46"/>
      <c r="E193" s="45"/>
      <c r="F193" s="46"/>
      <c r="G193" s="48"/>
      <c r="H193" s="49"/>
      <c r="I193" s="47"/>
      <c r="J193" s="49"/>
      <c r="K193" s="47"/>
      <c r="L193" s="49"/>
      <c r="M193" s="47"/>
      <c r="N193" s="48"/>
      <c r="O193" s="49"/>
      <c r="P193" s="49"/>
      <c r="Q193" s="49"/>
      <c r="R193" s="49"/>
      <c r="S193" s="54" t="str">
        <f t="shared" si="18"/>
        <v/>
      </c>
      <c r="T193" s="51"/>
      <c r="U193" s="54" t="str">
        <f t="shared" si="19"/>
        <v/>
      </c>
      <c r="V193" s="46"/>
      <c r="W193" s="51"/>
      <c r="X193" s="55" t="str">
        <f t="shared" si="20"/>
        <v/>
      </c>
      <c r="Y193" s="55" t="str">
        <f t="shared" si="21"/>
        <v/>
      </c>
      <c r="Z193" s="46"/>
      <c r="AA193" s="54" t="str">
        <f t="shared" si="22"/>
        <v/>
      </c>
      <c r="AB193" s="56" t="str">
        <f t="shared" si="23"/>
        <v/>
      </c>
    </row>
    <row r="194" spans="2:28" x14ac:dyDescent="0.25">
      <c r="B194" s="35" t="s">
        <v>281</v>
      </c>
      <c r="C194" s="69"/>
      <c r="D194" s="36"/>
      <c r="E194" s="35"/>
      <c r="F194" s="36"/>
      <c r="G194" s="38"/>
      <c r="H194" s="38"/>
      <c r="I194" s="37"/>
      <c r="J194" s="39"/>
      <c r="K194" s="37"/>
      <c r="L194" s="39"/>
      <c r="M194" s="37"/>
      <c r="N194" s="38"/>
      <c r="O194" s="39"/>
      <c r="P194" s="39"/>
      <c r="Q194" s="39"/>
      <c r="R194" s="39"/>
      <c r="S194" s="57" t="str">
        <f t="shared" si="18"/>
        <v/>
      </c>
      <c r="T194" s="41"/>
      <c r="U194" s="57" t="str">
        <f t="shared" si="19"/>
        <v/>
      </c>
      <c r="V194" s="36"/>
      <c r="W194" s="41"/>
      <c r="X194" s="58" t="str">
        <f t="shared" si="20"/>
        <v/>
      </c>
      <c r="Y194" s="58" t="str">
        <f t="shared" si="21"/>
        <v/>
      </c>
      <c r="Z194" s="36"/>
      <c r="AA194" s="57" t="str">
        <f t="shared" si="22"/>
        <v/>
      </c>
      <c r="AB194" s="59" t="str">
        <f t="shared" si="23"/>
        <v/>
      </c>
    </row>
    <row r="195" spans="2:28" x14ac:dyDescent="0.25">
      <c r="B195" s="45" t="s">
        <v>282</v>
      </c>
      <c r="C195" s="70"/>
      <c r="D195" s="46"/>
      <c r="E195" s="45"/>
      <c r="F195" s="46"/>
      <c r="G195" s="48"/>
      <c r="H195" s="48"/>
      <c r="I195" s="47"/>
      <c r="J195" s="49"/>
      <c r="K195" s="45"/>
      <c r="L195" s="49"/>
      <c r="M195" s="47"/>
      <c r="N195" s="49"/>
      <c r="O195" s="49"/>
      <c r="P195" s="49"/>
      <c r="Q195" s="49"/>
      <c r="R195" s="49"/>
      <c r="S195" s="54" t="str">
        <f t="shared" si="18"/>
        <v/>
      </c>
      <c r="T195" s="51"/>
      <c r="U195" s="54" t="str">
        <f t="shared" si="19"/>
        <v/>
      </c>
      <c r="V195" s="46"/>
      <c r="W195" s="51"/>
      <c r="X195" s="55" t="str">
        <f t="shared" si="20"/>
        <v/>
      </c>
      <c r="Y195" s="55" t="str">
        <f t="shared" si="21"/>
        <v/>
      </c>
      <c r="Z195" s="46"/>
      <c r="AA195" s="54" t="str">
        <f t="shared" si="22"/>
        <v/>
      </c>
      <c r="AB195" s="56" t="str">
        <f t="shared" si="23"/>
        <v/>
      </c>
    </row>
    <row r="196" spans="2:28" x14ac:dyDescent="0.25">
      <c r="B196" s="35" t="s">
        <v>283</v>
      </c>
      <c r="C196" s="69"/>
      <c r="D196" s="36"/>
      <c r="E196" s="35"/>
      <c r="F196" s="36"/>
      <c r="G196" s="38"/>
      <c r="H196" s="38"/>
      <c r="I196" s="37"/>
      <c r="J196" s="39"/>
      <c r="K196" s="37"/>
      <c r="L196" s="39"/>
      <c r="M196" s="37"/>
      <c r="N196" s="38"/>
      <c r="O196" s="39"/>
      <c r="P196" s="39"/>
      <c r="Q196" s="39"/>
      <c r="R196" s="39"/>
      <c r="S196" s="57" t="str">
        <f t="shared" si="18"/>
        <v/>
      </c>
      <c r="T196" s="41"/>
      <c r="U196" s="57" t="str">
        <f t="shared" si="19"/>
        <v/>
      </c>
      <c r="V196" s="36"/>
      <c r="W196" s="41"/>
      <c r="X196" s="58" t="str">
        <f t="shared" si="20"/>
        <v/>
      </c>
      <c r="Y196" s="58" t="str">
        <f t="shared" si="21"/>
        <v/>
      </c>
      <c r="Z196" s="36"/>
      <c r="AA196" s="57" t="str">
        <f t="shared" si="22"/>
        <v/>
      </c>
      <c r="AB196" s="59" t="str">
        <f t="shared" si="23"/>
        <v/>
      </c>
    </row>
    <row r="197" spans="2:28" x14ac:dyDescent="0.25">
      <c r="B197" s="45" t="s">
        <v>284</v>
      </c>
      <c r="C197" s="70"/>
      <c r="D197" s="46"/>
      <c r="E197" s="45"/>
      <c r="F197" s="46"/>
      <c r="G197" s="48"/>
      <c r="H197" s="49"/>
      <c r="I197" s="47"/>
      <c r="J197" s="49"/>
      <c r="K197" s="47"/>
      <c r="L197" s="49"/>
      <c r="M197" s="47"/>
      <c r="N197" s="48"/>
      <c r="O197" s="49"/>
      <c r="P197" s="49"/>
      <c r="Q197" s="49"/>
      <c r="R197" s="49"/>
      <c r="S197" s="54" t="str">
        <f t="shared" si="18"/>
        <v/>
      </c>
      <c r="T197" s="51"/>
      <c r="U197" s="54" t="str">
        <f t="shared" si="19"/>
        <v/>
      </c>
      <c r="V197" s="46"/>
      <c r="W197" s="51"/>
      <c r="X197" s="55" t="str">
        <f t="shared" si="20"/>
        <v/>
      </c>
      <c r="Y197" s="55" t="str">
        <f t="shared" si="21"/>
        <v/>
      </c>
      <c r="Z197" s="46"/>
      <c r="AA197" s="54" t="str">
        <f t="shared" si="22"/>
        <v/>
      </c>
      <c r="AB197" s="56" t="str">
        <f t="shared" si="23"/>
        <v/>
      </c>
    </row>
    <row r="198" spans="2:28" x14ac:dyDescent="0.25">
      <c r="B198" s="35" t="s">
        <v>285</v>
      </c>
      <c r="C198" s="69"/>
      <c r="D198" s="36"/>
      <c r="E198" s="35"/>
      <c r="F198" s="36"/>
      <c r="G198" s="38"/>
      <c r="H198" s="38"/>
      <c r="I198" s="37"/>
      <c r="J198" s="39"/>
      <c r="K198" s="37"/>
      <c r="L198" s="39"/>
      <c r="M198" s="37"/>
      <c r="N198" s="38"/>
      <c r="O198" s="39"/>
      <c r="P198" s="39"/>
      <c r="Q198" s="49"/>
      <c r="R198" s="39"/>
      <c r="S198" s="57" t="str">
        <f t="shared" si="18"/>
        <v/>
      </c>
      <c r="T198" s="41"/>
      <c r="U198" s="57" t="str">
        <f t="shared" si="19"/>
        <v/>
      </c>
      <c r="V198" s="36"/>
      <c r="W198" s="41"/>
      <c r="X198" s="58" t="str">
        <f t="shared" si="20"/>
        <v/>
      </c>
      <c r="Y198" s="58" t="str">
        <f t="shared" si="21"/>
        <v/>
      </c>
      <c r="Z198" s="36"/>
      <c r="AA198" s="57" t="str">
        <f t="shared" si="22"/>
        <v/>
      </c>
      <c r="AB198" s="59" t="str">
        <f t="shared" si="23"/>
        <v/>
      </c>
    </row>
    <row r="199" spans="2:28" x14ac:dyDescent="0.25">
      <c r="B199" s="45" t="s">
        <v>286</v>
      </c>
      <c r="C199" s="70"/>
      <c r="D199" s="46"/>
      <c r="E199" s="45"/>
      <c r="F199" s="46"/>
      <c r="G199" s="48"/>
      <c r="H199" s="49"/>
      <c r="I199" s="47"/>
      <c r="J199" s="49"/>
      <c r="K199" s="47"/>
      <c r="L199" s="49"/>
      <c r="M199" s="47"/>
      <c r="N199" s="48"/>
      <c r="O199" s="49"/>
      <c r="P199" s="49"/>
      <c r="Q199" s="49"/>
      <c r="R199" s="49"/>
      <c r="S199" s="54" t="str">
        <f t="shared" si="18"/>
        <v/>
      </c>
      <c r="T199" s="51"/>
      <c r="U199" s="54" t="str">
        <f t="shared" si="19"/>
        <v/>
      </c>
      <c r="V199" s="46"/>
      <c r="W199" s="51"/>
      <c r="X199" s="55" t="str">
        <f t="shared" si="20"/>
        <v/>
      </c>
      <c r="Y199" s="55" t="str">
        <f t="shared" si="21"/>
        <v/>
      </c>
      <c r="Z199" s="46"/>
      <c r="AA199" s="54" t="str">
        <f t="shared" si="22"/>
        <v/>
      </c>
      <c r="AB199" s="56" t="str">
        <f t="shared" si="23"/>
        <v/>
      </c>
    </row>
    <row r="200" spans="2:28" x14ac:dyDescent="0.25">
      <c r="B200" s="35" t="s">
        <v>287</v>
      </c>
      <c r="C200" s="69"/>
      <c r="D200" s="36"/>
      <c r="E200" s="35"/>
      <c r="F200" s="36"/>
      <c r="G200" s="38"/>
      <c r="H200" s="38"/>
      <c r="I200" s="37"/>
      <c r="J200" s="39"/>
      <c r="K200" s="37"/>
      <c r="L200" s="39"/>
      <c r="M200" s="37"/>
      <c r="N200" s="38"/>
      <c r="O200" s="39"/>
      <c r="P200" s="39"/>
      <c r="Q200" s="39"/>
      <c r="R200" s="39"/>
      <c r="S200" s="57" t="str">
        <f t="shared" ref="S200:S223" si="24">IF(R200="","",IF(R200=1,300,IF(R200=2,370,IF(R200=3,630,IF(R200=4,830,IF(R200=5,370,IF(R200=6,430,IF(R200=7,530,IF(R200=8,370,IF(R200=9,700,IF(R200=10,870,IF(R200=11,370,IF(R200=12,370,IF(R200=13,370,IF(R200=13,370,IF(R200=14,370,IF(R200=15,370,IF(R200=16,300,IF(R200=17,300,IF(R200=18,170,IF(R200=19,330)))))))))))))))))))))</f>
        <v/>
      </c>
      <c r="T200" s="41"/>
      <c r="U200" s="57" t="str">
        <f t="shared" ref="U200:U223" si="25">IF(R200="","",IF(T200&gt;(5*S200),"ACIMA","OK"))</f>
        <v/>
      </c>
      <c r="V200" s="36"/>
      <c r="W200" s="41"/>
      <c r="X200" s="58" t="str">
        <f t="shared" ref="X200:X223" si="26">IF(W200="","",W200/T200)</f>
        <v/>
      </c>
      <c r="Y200" s="58" t="str">
        <f t="shared" ref="Y200:Y223" si="27">IF(X200="","",IF(X200&gt;$Y$5,"ACIMA","OK"))</f>
        <v/>
      </c>
      <c r="Z200" s="36"/>
      <c r="AA200" s="57" t="str">
        <f t="shared" ref="AA200:AA223" si="28">IF(R200="","",T200-W200)</f>
        <v/>
      </c>
      <c r="AB200" s="59" t="str">
        <f t="shared" ref="AB200:AB223" si="29">IF(R200="","",IF(AND(R200&gt;0,Z200=""),AA200,T200-(W200+AA200)))</f>
        <v/>
      </c>
    </row>
    <row r="201" spans="2:28" x14ac:dyDescent="0.25">
      <c r="B201" s="45" t="s">
        <v>288</v>
      </c>
      <c r="C201" s="70"/>
      <c r="D201" s="46"/>
      <c r="E201" s="45"/>
      <c r="F201" s="46"/>
      <c r="G201" s="48"/>
      <c r="H201" s="48"/>
      <c r="I201" s="47"/>
      <c r="J201" s="49"/>
      <c r="K201" s="45"/>
      <c r="L201" s="49"/>
      <c r="M201" s="47"/>
      <c r="N201" s="49"/>
      <c r="O201" s="49"/>
      <c r="P201" s="49"/>
      <c r="Q201" s="49"/>
      <c r="R201" s="49"/>
      <c r="S201" s="54" t="str">
        <f t="shared" si="24"/>
        <v/>
      </c>
      <c r="T201" s="51"/>
      <c r="U201" s="54" t="str">
        <f t="shared" si="25"/>
        <v/>
      </c>
      <c r="V201" s="46"/>
      <c r="W201" s="51"/>
      <c r="X201" s="55" t="str">
        <f t="shared" si="26"/>
        <v/>
      </c>
      <c r="Y201" s="55" t="str">
        <f t="shared" si="27"/>
        <v/>
      </c>
      <c r="Z201" s="46"/>
      <c r="AA201" s="54" t="str">
        <f t="shared" si="28"/>
        <v/>
      </c>
      <c r="AB201" s="56" t="str">
        <f t="shared" si="29"/>
        <v/>
      </c>
    </row>
    <row r="202" spans="2:28" x14ac:dyDescent="0.25">
      <c r="B202" s="35" t="s">
        <v>289</v>
      </c>
      <c r="C202" s="69"/>
      <c r="D202" s="36"/>
      <c r="E202" s="35"/>
      <c r="F202" s="36"/>
      <c r="G202" s="38"/>
      <c r="H202" s="38"/>
      <c r="I202" s="37"/>
      <c r="J202" s="39"/>
      <c r="K202" s="37"/>
      <c r="L202" s="39"/>
      <c r="M202" s="37"/>
      <c r="N202" s="38"/>
      <c r="O202" s="39"/>
      <c r="P202" s="39"/>
      <c r="Q202" s="39"/>
      <c r="R202" s="39"/>
      <c r="S202" s="57" t="str">
        <f t="shared" si="24"/>
        <v/>
      </c>
      <c r="T202" s="41"/>
      <c r="U202" s="57" t="str">
        <f t="shared" si="25"/>
        <v/>
      </c>
      <c r="V202" s="36"/>
      <c r="W202" s="41"/>
      <c r="X202" s="58" t="str">
        <f t="shared" si="26"/>
        <v/>
      </c>
      <c r="Y202" s="58" t="str">
        <f t="shared" si="27"/>
        <v/>
      </c>
      <c r="Z202" s="36"/>
      <c r="AA202" s="57" t="str">
        <f t="shared" si="28"/>
        <v/>
      </c>
      <c r="AB202" s="59" t="str">
        <f t="shared" si="29"/>
        <v/>
      </c>
    </row>
    <row r="203" spans="2:28" x14ac:dyDescent="0.25">
      <c r="B203" s="45" t="s">
        <v>290</v>
      </c>
      <c r="C203" s="70"/>
      <c r="D203" s="46"/>
      <c r="E203" s="45"/>
      <c r="F203" s="46"/>
      <c r="G203" s="48"/>
      <c r="H203" s="49"/>
      <c r="I203" s="47"/>
      <c r="J203" s="49"/>
      <c r="K203" s="47"/>
      <c r="L203" s="49"/>
      <c r="M203" s="47"/>
      <c r="N203" s="48"/>
      <c r="O203" s="49"/>
      <c r="P203" s="49"/>
      <c r="Q203" s="49"/>
      <c r="R203" s="49"/>
      <c r="S203" s="54" t="str">
        <f t="shared" si="24"/>
        <v/>
      </c>
      <c r="T203" s="51"/>
      <c r="U203" s="54" t="str">
        <f t="shared" si="25"/>
        <v/>
      </c>
      <c r="V203" s="46"/>
      <c r="W203" s="51"/>
      <c r="X203" s="55" t="str">
        <f t="shared" si="26"/>
        <v/>
      </c>
      <c r="Y203" s="55" t="str">
        <f t="shared" si="27"/>
        <v/>
      </c>
      <c r="Z203" s="46"/>
      <c r="AA203" s="54" t="str">
        <f t="shared" si="28"/>
        <v/>
      </c>
      <c r="AB203" s="56" t="str">
        <f t="shared" si="29"/>
        <v/>
      </c>
    </row>
    <row r="204" spans="2:28" x14ac:dyDescent="0.25">
      <c r="B204" s="35" t="s">
        <v>291</v>
      </c>
      <c r="C204" s="69"/>
      <c r="D204" s="36"/>
      <c r="E204" s="35"/>
      <c r="F204" s="36"/>
      <c r="G204" s="38"/>
      <c r="H204" s="38"/>
      <c r="I204" s="37"/>
      <c r="J204" s="39"/>
      <c r="K204" s="37"/>
      <c r="L204" s="39"/>
      <c r="M204" s="37"/>
      <c r="N204" s="38"/>
      <c r="O204" s="39"/>
      <c r="P204" s="39"/>
      <c r="Q204" s="49"/>
      <c r="R204" s="39"/>
      <c r="S204" s="57" t="str">
        <f t="shared" si="24"/>
        <v/>
      </c>
      <c r="T204" s="41"/>
      <c r="U204" s="57" t="str">
        <f t="shared" si="25"/>
        <v/>
      </c>
      <c r="V204" s="36"/>
      <c r="W204" s="41"/>
      <c r="X204" s="58" t="str">
        <f t="shared" si="26"/>
        <v/>
      </c>
      <c r="Y204" s="58" t="str">
        <f t="shared" si="27"/>
        <v/>
      </c>
      <c r="Z204" s="36"/>
      <c r="AA204" s="57" t="str">
        <f t="shared" si="28"/>
        <v/>
      </c>
      <c r="AB204" s="59" t="str">
        <f t="shared" si="29"/>
        <v/>
      </c>
    </row>
    <row r="205" spans="2:28" x14ac:dyDescent="0.25">
      <c r="B205" s="45" t="s">
        <v>292</v>
      </c>
      <c r="C205" s="70"/>
      <c r="D205" s="46"/>
      <c r="E205" s="45"/>
      <c r="F205" s="46"/>
      <c r="G205" s="48"/>
      <c r="H205" s="49"/>
      <c r="I205" s="47"/>
      <c r="J205" s="49"/>
      <c r="K205" s="47"/>
      <c r="L205" s="49"/>
      <c r="M205" s="47"/>
      <c r="N205" s="48"/>
      <c r="O205" s="49"/>
      <c r="P205" s="49"/>
      <c r="Q205" s="49"/>
      <c r="R205" s="49"/>
      <c r="S205" s="54" t="str">
        <f t="shared" si="24"/>
        <v/>
      </c>
      <c r="T205" s="51"/>
      <c r="U205" s="54" t="str">
        <f t="shared" si="25"/>
        <v/>
      </c>
      <c r="V205" s="46"/>
      <c r="W205" s="51"/>
      <c r="X205" s="55" t="str">
        <f t="shared" si="26"/>
        <v/>
      </c>
      <c r="Y205" s="55" t="str">
        <f t="shared" si="27"/>
        <v/>
      </c>
      <c r="Z205" s="46"/>
      <c r="AA205" s="54" t="str">
        <f t="shared" si="28"/>
        <v/>
      </c>
      <c r="AB205" s="56" t="str">
        <f t="shared" si="29"/>
        <v/>
      </c>
    </row>
    <row r="206" spans="2:28" x14ac:dyDescent="0.25">
      <c r="B206" s="35" t="s">
        <v>293</v>
      </c>
      <c r="C206" s="69"/>
      <c r="D206" s="36"/>
      <c r="E206" s="35"/>
      <c r="F206" s="36"/>
      <c r="G206" s="38"/>
      <c r="H206" s="38"/>
      <c r="I206" s="37"/>
      <c r="J206" s="39"/>
      <c r="K206" s="37"/>
      <c r="L206" s="39"/>
      <c r="M206" s="37"/>
      <c r="N206" s="38"/>
      <c r="O206" s="39"/>
      <c r="P206" s="39"/>
      <c r="Q206" s="39"/>
      <c r="R206" s="39"/>
      <c r="S206" s="57" t="str">
        <f t="shared" si="24"/>
        <v/>
      </c>
      <c r="T206" s="41"/>
      <c r="U206" s="57" t="str">
        <f t="shared" si="25"/>
        <v/>
      </c>
      <c r="V206" s="36"/>
      <c r="W206" s="41"/>
      <c r="X206" s="58" t="str">
        <f t="shared" si="26"/>
        <v/>
      </c>
      <c r="Y206" s="58" t="str">
        <f t="shared" si="27"/>
        <v/>
      </c>
      <c r="Z206" s="36"/>
      <c r="AA206" s="57" t="str">
        <f t="shared" si="28"/>
        <v/>
      </c>
      <c r="AB206" s="59" t="str">
        <f t="shared" si="29"/>
        <v/>
      </c>
    </row>
    <row r="207" spans="2:28" x14ac:dyDescent="0.25">
      <c r="B207" s="45" t="s">
        <v>294</v>
      </c>
      <c r="C207" s="70"/>
      <c r="D207" s="46"/>
      <c r="E207" s="45"/>
      <c r="F207" s="46"/>
      <c r="G207" s="48"/>
      <c r="H207" s="48"/>
      <c r="I207" s="47"/>
      <c r="J207" s="49"/>
      <c r="K207" s="45"/>
      <c r="L207" s="49"/>
      <c r="M207" s="47"/>
      <c r="N207" s="49"/>
      <c r="O207" s="49"/>
      <c r="P207" s="49"/>
      <c r="Q207" s="49"/>
      <c r="R207" s="49"/>
      <c r="S207" s="54" t="str">
        <f t="shared" si="24"/>
        <v/>
      </c>
      <c r="T207" s="51"/>
      <c r="U207" s="54" t="str">
        <f t="shared" si="25"/>
        <v/>
      </c>
      <c r="V207" s="46"/>
      <c r="W207" s="51"/>
      <c r="X207" s="55" t="str">
        <f t="shared" si="26"/>
        <v/>
      </c>
      <c r="Y207" s="55" t="str">
        <f t="shared" si="27"/>
        <v/>
      </c>
      <c r="Z207" s="46"/>
      <c r="AA207" s="54" t="str">
        <f t="shared" si="28"/>
        <v/>
      </c>
      <c r="AB207" s="56" t="str">
        <f t="shared" si="29"/>
        <v/>
      </c>
    </row>
    <row r="208" spans="2:28" x14ac:dyDescent="0.25">
      <c r="B208" s="35" t="s">
        <v>295</v>
      </c>
      <c r="C208" s="69"/>
      <c r="D208" s="36"/>
      <c r="E208" s="35"/>
      <c r="F208" s="36"/>
      <c r="G208" s="38"/>
      <c r="H208" s="38"/>
      <c r="I208" s="37"/>
      <c r="J208" s="39"/>
      <c r="K208" s="37"/>
      <c r="L208" s="39"/>
      <c r="M208" s="37"/>
      <c r="N208" s="38"/>
      <c r="O208" s="39"/>
      <c r="P208" s="39"/>
      <c r="Q208" s="39"/>
      <c r="R208" s="39"/>
      <c r="S208" s="57" t="str">
        <f t="shared" si="24"/>
        <v/>
      </c>
      <c r="T208" s="41"/>
      <c r="U208" s="57" t="str">
        <f t="shared" si="25"/>
        <v/>
      </c>
      <c r="V208" s="36"/>
      <c r="W208" s="41"/>
      <c r="X208" s="58" t="str">
        <f t="shared" si="26"/>
        <v/>
      </c>
      <c r="Y208" s="58" t="str">
        <f t="shared" si="27"/>
        <v/>
      </c>
      <c r="Z208" s="36"/>
      <c r="AA208" s="57" t="str">
        <f t="shared" si="28"/>
        <v/>
      </c>
      <c r="AB208" s="59" t="str">
        <f t="shared" si="29"/>
        <v/>
      </c>
    </row>
    <row r="209" spans="2:28" x14ac:dyDescent="0.25">
      <c r="B209" s="45" t="s">
        <v>296</v>
      </c>
      <c r="C209" s="70"/>
      <c r="D209" s="46"/>
      <c r="E209" s="45"/>
      <c r="F209" s="46"/>
      <c r="G209" s="48"/>
      <c r="H209" s="49"/>
      <c r="I209" s="47"/>
      <c r="J209" s="49"/>
      <c r="K209" s="47"/>
      <c r="L209" s="49"/>
      <c r="M209" s="47"/>
      <c r="N209" s="48"/>
      <c r="O209" s="49"/>
      <c r="P209" s="49"/>
      <c r="Q209" s="49"/>
      <c r="R209" s="49"/>
      <c r="S209" s="54" t="str">
        <f t="shared" si="24"/>
        <v/>
      </c>
      <c r="T209" s="51"/>
      <c r="U209" s="54" t="str">
        <f t="shared" si="25"/>
        <v/>
      </c>
      <c r="V209" s="46"/>
      <c r="W209" s="51"/>
      <c r="X209" s="55" t="str">
        <f t="shared" si="26"/>
        <v/>
      </c>
      <c r="Y209" s="55" t="str">
        <f t="shared" si="27"/>
        <v/>
      </c>
      <c r="Z209" s="46"/>
      <c r="AA209" s="54" t="str">
        <f t="shared" si="28"/>
        <v/>
      </c>
      <c r="AB209" s="56" t="str">
        <f t="shared" si="29"/>
        <v/>
      </c>
    </row>
    <row r="210" spans="2:28" x14ac:dyDescent="0.25">
      <c r="B210" s="35" t="s">
        <v>297</v>
      </c>
      <c r="C210" s="69"/>
      <c r="D210" s="36"/>
      <c r="E210" s="35"/>
      <c r="F210" s="36"/>
      <c r="G210" s="38"/>
      <c r="H210" s="38"/>
      <c r="I210" s="37"/>
      <c r="J210" s="39"/>
      <c r="K210" s="37"/>
      <c r="L210" s="39"/>
      <c r="M210" s="37"/>
      <c r="N210" s="38"/>
      <c r="O210" s="39"/>
      <c r="P210" s="39"/>
      <c r="Q210" s="49"/>
      <c r="R210" s="39"/>
      <c r="S210" s="57" t="str">
        <f t="shared" si="24"/>
        <v/>
      </c>
      <c r="T210" s="41"/>
      <c r="U210" s="57" t="str">
        <f t="shared" si="25"/>
        <v/>
      </c>
      <c r="V210" s="36"/>
      <c r="W210" s="41"/>
      <c r="X210" s="58" t="str">
        <f t="shared" si="26"/>
        <v/>
      </c>
      <c r="Y210" s="58" t="str">
        <f t="shared" si="27"/>
        <v/>
      </c>
      <c r="Z210" s="36"/>
      <c r="AA210" s="57" t="str">
        <f t="shared" si="28"/>
        <v/>
      </c>
      <c r="AB210" s="59" t="str">
        <f t="shared" si="29"/>
        <v/>
      </c>
    </row>
    <row r="211" spans="2:28" x14ac:dyDescent="0.25">
      <c r="B211" s="45" t="s">
        <v>298</v>
      </c>
      <c r="C211" s="70"/>
      <c r="D211" s="46"/>
      <c r="E211" s="45"/>
      <c r="F211" s="46"/>
      <c r="G211" s="48"/>
      <c r="H211" s="49"/>
      <c r="I211" s="47"/>
      <c r="J211" s="49"/>
      <c r="K211" s="47"/>
      <c r="L211" s="49"/>
      <c r="M211" s="47"/>
      <c r="N211" s="48"/>
      <c r="O211" s="49"/>
      <c r="P211" s="49"/>
      <c r="Q211" s="49"/>
      <c r="R211" s="49"/>
      <c r="S211" s="54" t="str">
        <f t="shared" si="24"/>
        <v/>
      </c>
      <c r="T211" s="51"/>
      <c r="U211" s="54" t="str">
        <f t="shared" si="25"/>
        <v/>
      </c>
      <c r="V211" s="46"/>
      <c r="W211" s="51"/>
      <c r="X211" s="55" t="str">
        <f t="shared" si="26"/>
        <v/>
      </c>
      <c r="Y211" s="55" t="str">
        <f t="shared" si="27"/>
        <v/>
      </c>
      <c r="Z211" s="46"/>
      <c r="AA211" s="54" t="str">
        <f t="shared" si="28"/>
        <v/>
      </c>
      <c r="AB211" s="56" t="str">
        <f t="shared" si="29"/>
        <v/>
      </c>
    </row>
    <row r="212" spans="2:28" x14ac:dyDescent="0.25">
      <c r="B212" s="35" t="s">
        <v>299</v>
      </c>
      <c r="C212" s="69"/>
      <c r="D212" s="36"/>
      <c r="E212" s="35"/>
      <c r="F212" s="36"/>
      <c r="G212" s="38"/>
      <c r="H212" s="38"/>
      <c r="I212" s="37"/>
      <c r="J212" s="39"/>
      <c r="K212" s="37"/>
      <c r="L212" s="39"/>
      <c r="M212" s="37"/>
      <c r="N212" s="38"/>
      <c r="O212" s="39"/>
      <c r="P212" s="39"/>
      <c r="Q212" s="39"/>
      <c r="R212" s="39"/>
      <c r="S212" s="57" t="str">
        <f t="shared" si="24"/>
        <v/>
      </c>
      <c r="T212" s="41"/>
      <c r="U212" s="57" t="str">
        <f t="shared" si="25"/>
        <v/>
      </c>
      <c r="V212" s="36"/>
      <c r="W212" s="41"/>
      <c r="X212" s="58" t="str">
        <f t="shared" si="26"/>
        <v/>
      </c>
      <c r="Y212" s="58" t="str">
        <f t="shared" si="27"/>
        <v/>
      </c>
      <c r="Z212" s="36"/>
      <c r="AA212" s="57" t="str">
        <f t="shared" si="28"/>
        <v/>
      </c>
      <c r="AB212" s="59" t="str">
        <f t="shared" si="29"/>
        <v/>
      </c>
    </row>
    <row r="213" spans="2:28" ht="39" customHeight="1" x14ac:dyDescent="0.25">
      <c r="B213" s="45" t="s">
        <v>300</v>
      </c>
      <c r="C213" s="70"/>
      <c r="D213" s="46"/>
      <c r="E213" s="45"/>
      <c r="F213" s="46"/>
      <c r="G213" s="48"/>
      <c r="H213" s="48"/>
      <c r="I213" s="47"/>
      <c r="J213" s="49"/>
      <c r="K213" s="45"/>
      <c r="L213" s="49"/>
      <c r="M213" s="47"/>
      <c r="N213" s="49"/>
      <c r="O213" s="49"/>
      <c r="P213" s="49"/>
      <c r="Q213" s="49"/>
      <c r="R213" s="49"/>
      <c r="S213" s="54" t="str">
        <f t="shared" si="24"/>
        <v/>
      </c>
      <c r="T213" s="51"/>
      <c r="U213" s="54" t="str">
        <f t="shared" si="25"/>
        <v/>
      </c>
      <c r="V213" s="46"/>
      <c r="W213" s="51"/>
      <c r="X213" s="55" t="str">
        <f t="shared" si="26"/>
        <v/>
      </c>
      <c r="Y213" s="55" t="str">
        <f t="shared" si="27"/>
        <v/>
      </c>
      <c r="Z213" s="46"/>
      <c r="AA213" s="54" t="str">
        <f t="shared" si="28"/>
        <v/>
      </c>
      <c r="AB213" s="56" t="str">
        <f t="shared" si="29"/>
        <v/>
      </c>
    </row>
    <row r="214" spans="2:28" ht="34.5" customHeight="1" x14ac:dyDescent="0.25">
      <c r="B214" s="35" t="s">
        <v>301</v>
      </c>
      <c r="C214" s="69"/>
      <c r="D214" s="36"/>
      <c r="E214" s="35"/>
      <c r="F214" s="36"/>
      <c r="G214" s="38"/>
      <c r="H214" s="38"/>
      <c r="I214" s="37"/>
      <c r="J214" s="39"/>
      <c r="K214" s="37"/>
      <c r="L214" s="39"/>
      <c r="M214" s="37"/>
      <c r="N214" s="38"/>
      <c r="O214" s="39"/>
      <c r="P214" s="39"/>
      <c r="Q214" s="39"/>
      <c r="R214" s="39"/>
      <c r="S214" s="57" t="str">
        <f t="shared" si="24"/>
        <v/>
      </c>
      <c r="T214" s="41"/>
      <c r="U214" s="57" t="str">
        <f t="shared" si="25"/>
        <v/>
      </c>
      <c r="V214" s="36"/>
      <c r="W214" s="41"/>
      <c r="X214" s="58" t="str">
        <f t="shared" si="26"/>
        <v/>
      </c>
      <c r="Y214" s="58" t="str">
        <f t="shared" si="27"/>
        <v/>
      </c>
      <c r="Z214" s="36"/>
      <c r="AA214" s="57" t="str">
        <f t="shared" si="28"/>
        <v/>
      </c>
      <c r="AB214" s="59" t="str">
        <f t="shared" si="29"/>
        <v/>
      </c>
    </row>
    <row r="215" spans="2:28" ht="33.75" customHeight="1" x14ac:dyDescent="0.25">
      <c r="B215" s="45" t="s">
        <v>302</v>
      </c>
      <c r="C215" s="70"/>
      <c r="D215" s="46"/>
      <c r="E215" s="45"/>
      <c r="F215" s="46"/>
      <c r="G215" s="48"/>
      <c r="H215" s="49"/>
      <c r="I215" s="47"/>
      <c r="J215" s="49"/>
      <c r="K215" s="47"/>
      <c r="L215" s="49"/>
      <c r="M215" s="47"/>
      <c r="N215" s="48"/>
      <c r="O215" s="49"/>
      <c r="P215" s="49"/>
      <c r="Q215" s="49"/>
      <c r="R215" s="49"/>
      <c r="S215" s="54" t="str">
        <f t="shared" si="24"/>
        <v/>
      </c>
      <c r="T215" s="51"/>
      <c r="U215" s="54" t="str">
        <f t="shared" si="25"/>
        <v/>
      </c>
      <c r="V215" s="46"/>
      <c r="W215" s="51"/>
      <c r="X215" s="55" t="str">
        <f t="shared" si="26"/>
        <v/>
      </c>
      <c r="Y215" s="55" t="str">
        <f t="shared" si="27"/>
        <v/>
      </c>
      <c r="Z215" s="46"/>
      <c r="AA215" s="54" t="str">
        <f t="shared" si="28"/>
        <v/>
      </c>
      <c r="AB215" s="56" t="str">
        <f t="shared" si="29"/>
        <v/>
      </c>
    </row>
    <row r="216" spans="2:28" ht="47.25" customHeight="1" x14ac:dyDescent="0.25">
      <c r="B216" s="35" t="s">
        <v>303</v>
      </c>
      <c r="C216" s="69"/>
      <c r="D216" s="36"/>
      <c r="E216" s="35"/>
      <c r="F216" s="36"/>
      <c r="G216" s="38"/>
      <c r="H216" s="38"/>
      <c r="I216" s="37"/>
      <c r="J216" s="39"/>
      <c r="K216" s="37"/>
      <c r="L216" s="39"/>
      <c r="M216" s="37"/>
      <c r="N216" s="38"/>
      <c r="O216" s="39"/>
      <c r="P216" s="39"/>
      <c r="Q216" s="49"/>
      <c r="R216" s="39"/>
      <c r="S216" s="57" t="str">
        <f t="shared" si="24"/>
        <v/>
      </c>
      <c r="T216" s="41"/>
      <c r="U216" s="57" t="str">
        <f t="shared" si="25"/>
        <v/>
      </c>
      <c r="V216" s="36"/>
      <c r="W216" s="41"/>
      <c r="X216" s="58" t="str">
        <f t="shared" si="26"/>
        <v/>
      </c>
      <c r="Y216" s="58" t="str">
        <f t="shared" si="27"/>
        <v/>
      </c>
      <c r="Z216" s="36"/>
      <c r="AA216" s="57" t="str">
        <f t="shared" si="28"/>
        <v/>
      </c>
      <c r="AB216" s="59" t="str">
        <f t="shared" si="29"/>
        <v/>
      </c>
    </row>
    <row r="217" spans="2:28" ht="43.5" customHeight="1" x14ac:dyDescent="0.25">
      <c r="B217" s="45" t="s">
        <v>304</v>
      </c>
      <c r="C217" s="70"/>
      <c r="D217" s="46"/>
      <c r="E217" s="45"/>
      <c r="F217" s="46"/>
      <c r="G217" s="48"/>
      <c r="H217" s="49"/>
      <c r="I217" s="47"/>
      <c r="J217" s="49"/>
      <c r="K217" s="47"/>
      <c r="L217" s="49"/>
      <c r="M217" s="47"/>
      <c r="N217" s="48"/>
      <c r="O217" s="49"/>
      <c r="P217" s="49"/>
      <c r="Q217" s="49"/>
      <c r="R217" s="49"/>
      <c r="S217" s="54" t="str">
        <f t="shared" si="24"/>
        <v/>
      </c>
      <c r="T217" s="51"/>
      <c r="U217" s="54" t="str">
        <f t="shared" si="25"/>
        <v/>
      </c>
      <c r="V217" s="46"/>
      <c r="W217" s="51"/>
      <c r="X217" s="55" t="str">
        <f t="shared" si="26"/>
        <v/>
      </c>
      <c r="Y217" s="55" t="str">
        <f t="shared" si="27"/>
        <v/>
      </c>
      <c r="Z217" s="46"/>
      <c r="AA217" s="54" t="str">
        <f t="shared" si="28"/>
        <v/>
      </c>
      <c r="AB217" s="56" t="str">
        <f t="shared" si="29"/>
        <v/>
      </c>
    </row>
    <row r="218" spans="2:28" ht="51.75" customHeight="1" x14ac:dyDescent="0.25">
      <c r="B218" s="35" t="s">
        <v>305</v>
      </c>
      <c r="C218" s="69"/>
      <c r="D218" s="36"/>
      <c r="E218" s="35"/>
      <c r="F218" s="36"/>
      <c r="G218" s="38"/>
      <c r="H218" s="38"/>
      <c r="I218" s="37"/>
      <c r="J218" s="39"/>
      <c r="K218" s="37"/>
      <c r="L218" s="39"/>
      <c r="M218" s="37"/>
      <c r="N218" s="38"/>
      <c r="O218" s="39"/>
      <c r="P218" s="39"/>
      <c r="Q218" s="39"/>
      <c r="R218" s="39"/>
      <c r="S218" s="57" t="str">
        <f t="shared" si="24"/>
        <v/>
      </c>
      <c r="T218" s="41"/>
      <c r="U218" s="57" t="str">
        <f t="shared" si="25"/>
        <v/>
      </c>
      <c r="V218" s="36"/>
      <c r="W218" s="41"/>
      <c r="X218" s="58" t="str">
        <f t="shared" si="26"/>
        <v/>
      </c>
      <c r="Y218" s="58" t="str">
        <f t="shared" si="27"/>
        <v/>
      </c>
      <c r="Z218" s="36"/>
      <c r="AA218" s="57" t="str">
        <f t="shared" si="28"/>
        <v/>
      </c>
      <c r="AB218" s="59" t="str">
        <f t="shared" si="29"/>
        <v/>
      </c>
    </row>
    <row r="219" spans="2:28" ht="72" customHeight="1" x14ac:dyDescent="0.25">
      <c r="B219" s="45" t="s">
        <v>306</v>
      </c>
      <c r="C219" s="70"/>
      <c r="D219" s="46"/>
      <c r="E219" s="45"/>
      <c r="F219" s="46"/>
      <c r="G219" s="48"/>
      <c r="H219" s="48"/>
      <c r="I219" s="47"/>
      <c r="J219" s="49"/>
      <c r="K219" s="45"/>
      <c r="L219" s="49"/>
      <c r="M219" s="47"/>
      <c r="N219" s="49"/>
      <c r="O219" s="49"/>
      <c r="P219" s="49"/>
      <c r="Q219" s="49"/>
      <c r="R219" s="49"/>
      <c r="S219" s="54" t="str">
        <f t="shared" si="24"/>
        <v/>
      </c>
      <c r="T219" s="51"/>
      <c r="U219" s="54" t="str">
        <f t="shared" si="25"/>
        <v/>
      </c>
      <c r="V219" s="46"/>
      <c r="W219" s="51"/>
      <c r="X219" s="55" t="str">
        <f t="shared" si="26"/>
        <v/>
      </c>
      <c r="Y219" s="55" t="str">
        <f t="shared" si="27"/>
        <v/>
      </c>
      <c r="Z219" s="46"/>
      <c r="AA219" s="54" t="str">
        <f t="shared" si="28"/>
        <v/>
      </c>
      <c r="AB219" s="56" t="str">
        <f t="shared" si="29"/>
        <v/>
      </c>
    </row>
    <row r="220" spans="2:28" ht="43.5" customHeight="1" x14ac:dyDescent="0.25">
      <c r="B220" s="35" t="s">
        <v>307</v>
      </c>
      <c r="C220" s="69"/>
      <c r="D220" s="36"/>
      <c r="E220" s="35"/>
      <c r="F220" s="36"/>
      <c r="G220" s="38"/>
      <c r="H220" s="38"/>
      <c r="I220" s="37"/>
      <c r="J220" s="39"/>
      <c r="K220" s="37"/>
      <c r="L220" s="39"/>
      <c r="M220" s="37"/>
      <c r="N220" s="38"/>
      <c r="O220" s="39"/>
      <c r="P220" s="39"/>
      <c r="Q220" s="39"/>
      <c r="R220" s="39"/>
      <c r="S220" s="57" t="str">
        <f t="shared" si="24"/>
        <v/>
      </c>
      <c r="T220" s="41"/>
      <c r="U220" s="57" t="str">
        <f t="shared" si="25"/>
        <v/>
      </c>
      <c r="V220" s="36"/>
      <c r="W220" s="41"/>
      <c r="X220" s="58" t="str">
        <f t="shared" si="26"/>
        <v/>
      </c>
      <c r="Y220" s="58" t="str">
        <f t="shared" si="27"/>
        <v/>
      </c>
      <c r="Z220" s="36"/>
      <c r="AA220" s="57" t="str">
        <f t="shared" si="28"/>
        <v/>
      </c>
      <c r="AB220" s="59" t="str">
        <f t="shared" si="29"/>
        <v/>
      </c>
    </row>
    <row r="221" spans="2:28" ht="42.75" customHeight="1" x14ac:dyDescent="0.25">
      <c r="B221" s="45" t="s">
        <v>308</v>
      </c>
      <c r="C221" s="70"/>
      <c r="D221" s="46"/>
      <c r="E221" s="45"/>
      <c r="F221" s="46"/>
      <c r="G221" s="48"/>
      <c r="H221" s="49"/>
      <c r="I221" s="47"/>
      <c r="J221" s="49"/>
      <c r="K221" s="47"/>
      <c r="L221" s="49"/>
      <c r="M221" s="47"/>
      <c r="N221" s="48"/>
      <c r="O221" s="49"/>
      <c r="P221" s="49"/>
      <c r="Q221" s="49"/>
      <c r="R221" s="49"/>
      <c r="S221" s="54" t="str">
        <f t="shared" si="24"/>
        <v/>
      </c>
      <c r="T221" s="51"/>
      <c r="U221" s="54" t="str">
        <f t="shared" si="25"/>
        <v/>
      </c>
      <c r="V221" s="46"/>
      <c r="W221" s="51"/>
      <c r="X221" s="55" t="str">
        <f t="shared" si="26"/>
        <v/>
      </c>
      <c r="Y221" s="55" t="str">
        <f t="shared" si="27"/>
        <v/>
      </c>
      <c r="Z221" s="46"/>
      <c r="AA221" s="54" t="str">
        <f t="shared" si="28"/>
        <v/>
      </c>
      <c r="AB221" s="56" t="str">
        <f t="shared" si="29"/>
        <v/>
      </c>
    </row>
    <row r="222" spans="2:28" ht="45" customHeight="1" x14ac:dyDescent="0.25">
      <c r="B222" s="35" t="s">
        <v>309</v>
      </c>
      <c r="C222" s="69"/>
      <c r="D222" s="36"/>
      <c r="E222" s="35"/>
      <c r="F222" s="36"/>
      <c r="G222" s="38"/>
      <c r="H222" s="38"/>
      <c r="I222" s="37"/>
      <c r="J222" s="39"/>
      <c r="K222" s="37"/>
      <c r="L222" s="39"/>
      <c r="M222" s="37"/>
      <c r="N222" s="38"/>
      <c r="O222" s="39"/>
      <c r="P222" s="39"/>
      <c r="Q222" s="49"/>
      <c r="R222" s="39"/>
      <c r="S222" s="57" t="str">
        <f t="shared" si="24"/>
        <v/>
      </c>
      <c r="T222" s="41"/>
      <c r="U222" s="57" t="str">
        <f t="shared" si="25"/>
        <v/>
      </c>
      <c r="V222" s="36"/>
      <c r="W222" s="41"/>
      <c r="X222" s="58" t="str">
        <f t="shared" si="26"/>
        <v/>
      </c>
      <c r="Y222" s="58" t="str">
        <f t="shared" si="27"/>
        <v/>
      </c>
      <c r="Z222" s="36"/>
      <c r="AA222" s="57" t="str">
        <f t="shared" si="28"/>
        <v/>
      </c>
      <c r="AB222" s="59" t="str">
        <f t="shared" si="29"/>
        <v/>
      </c>
    </row>
    <row r="223" spans="2:28" ht="38.25" customHeight="1" x14ac:dyDescent="0.25">
      <c r="B223" s="45" t="s">
        <v>310</v>
      </c>
      <c r="C223" s="70"/>
      <c r="D223" s="46"/>
      <c r="E223" s="45"/>
      <c r="F223" s="46"/>
      <c r="G223" s="48"/>
      <c r="H223" s="49"/>
      <c r="I223" s="47"/>
      <c r="J223" s="49"/>
      <c r="K223" s="47"/>
      <c r="L223" s="49"/>
      <c r="M223" s="47"/>
      <c r="N223" s="48"/>
      <c r="O223" s="49"/>
      <c r="P223" s="49"/>
      <c r="Q223" s="49"/>
      <c r="R223" s="49"/>
      <c r="S223" s="54" t="str">
        <f t="shared" si="24"/>
        <v/>
      </c>
      <c r="T223" s="51"/>
      <c r="U223" s="54" t="str">
        <f t="shared" si="25"/>
        <v/>
      </c>
      <c r="V223" s="46"/>
      <c r="W223" s="51"/>
      <c r="X223" s="55" t="str">
        <f t="shared" si="26"/>
        <v/>
      </c>
      <c r="Y223" s="55" t="str">
        <f t="shared" si="27"/>
        <v/>
      </c>
      <c r="Z223" s="46"/>
      <c r="AA223" s="54" t="str">
        <f t="shared" si="28"/>
        <v/>
      </c>
      <c r="AB223" s="56" t="str">
        <f t="shared" si="29"/>
        <v/>
      </c>
    </row>
    <row r="224" spans="2:28" ht="21" x14ac:dyDescent="0.35">
      <c r="B224" s="166" t="s">
        <v>311</v>
      </c>
      <c r="C224" s="166"/>
      <c r="D224" s="166"/>
      <c r="E224" s="166"/>
      <c r="F224" s="166"/>
      <c r="G224" s="166"/>
      <c r="H224" s="166"/>
      <c r="I224" s="176"/>
      <c r="J224" s="166"/>
      <c r="K224" s="176"/>
      <c r="L224" s="166"/>
      <c r="M224" s="176"/>
      <c r="N224" s="166"/>
      <c r="O224" s="166"/>
      <c r="P224" s="166"/>
      <c r="Q224" s="166"/>
      <c r="R224" s="166"/>
      <c r="S224" s="166"/>
      <c r="T224" s="60">
        <f>SUM(T8:T223)</f>
        <v>370</v>
      </c>
      <c r="U224" s="61"/>
      <c r="V224" s="61"/>
      <c r="W224" s="60">
        <f>SUM(W8:W223)</f>
        <v>0</v>
      </c>
      <c r="X224" s="61"/>
      <c r="Y224" s="61"/>
      <c r="Z224" s="61"/>
      <c r="AA224" s="60">
        <f>SUM(AA8:AA223)</f>
        <v>370</v>
      </c>
      <c r="AB224" s="60">
        <f>SUM(AB8:AB223)</f>
        <v>0</v>
      </c>
    </row>
  </sheetData>
  <mergeCells count="33">
    <mergeCell ref="B2:AB2"/>
    <mergeCell ref="B4:B7"/>
    <mergeCell ref="C4:C7"/>
    <mergeCell ref="D4:D6"/>
    <mergeCell ref="E4:E7"/>
    <mergeCell ref="F4:F7"/>
    <mergeCell ref="G4:G7"/>
    <mergeCell ref="H4:H7"/>
    <mergeCell ref="I4:J5"/>
    <mergeCell ref="K4:L5"/>
    <mergeCell ref="M4:Q5"/>
    <mergeCell ref="R4:R7"/>
    <mergeCell ref="S4:S5"/>
    <mergeCell ref="T4:U4"/>
    <mergeCell ref="V4:Y4"/>
    <mergeCell ref="Y6:Y7"/>
    <mergeCell ref="Z6:Z7"/>
    <mergeCell ref="AA6:AA7"/>
    <mergeCell ref="AB6:AB7"/>
    <mergeCell ref="Z4:AB4"/>
    <mergeCell ref="X6:X7"/>
    <mergeCell ref="B224:S224"/>
    <mergeCell ref="V5:V7"/>
    <mergeCell ref="W5:X5"/>
    <mergeCell ref="I6:I7"/>
    <mergeCell ref="K6:K7"/>
    <mergeCell ref="M6:M7"/>
    <mergeCell ref="N6:N7"/>
    <mergeCell ref="O6:P6"/>
    <mergeCell ref="S6:S7"/>
    <mergeCell ref="T6:T7"/>
    <mergeCell ref="U6:U7"/>
    <mergeCell ref="W6:W7"/>
  </mergeCells>
  <phoneticPr fontId="11" type="noConversion"/>
  <conditionalFormatting sqref="E8:E223">
    <cfRule type="duplicateValues" dxfId="350" priority="2"/>
  </conditionalFormatting>
  <conditionalFormatting sqref="G8:G26">
    <cfRule type="duplicateValues" dxfId="349" priority="3"/>
  </conditionalFormatting>
  <conditionalFormatting sqref="G8:G223">
    <cfRule type="duplicateValues" dxfId="348" priority="5"/>
  </conditionalFormatting>
  <conditionalFormatting sqref="I8:I223">
    <cfRule type="duplicateValues" dxfId="347" priority="4"/>
  </conditionalFormatting>
  <conditionalFormatting sqref="K8:K12">
    <cfRule type="duplicateValues" dxfId="346" priority="6"/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"/>
  <dimension ref="A1:W889"/>
  <sheetViews>
    <sheetView tabSelected="1" topLeftCell="A831" zoomScale="122" zoomScaleNormal="115" workbookViewId="0">
      <selection activeCell="B836" sqref="B836"/>
    </sheetView>
  </sheetViews>
  <sheetFormatPr defaultRowHeight="15" x14ac:dyDescent="0.25"/>
  <cols>
    <col min="1" max="1" width="19.28515625" customWidth="1"/>
    <col min="2" max="2" width="22.5703125" customWidth="1"/>
    <col min="3" max="3" width="19.28515625" customWidth="1"/>
    <col min="4" max="5" width="19.28515625" style="92" customWidth="1"/>
    <col min="6" max="6" width="21.42578125" customWidth="1"/>
    <col min="7" max="14" width="19.28515625" customWidth="1"/>
    <col min="15" max="15" width="36.28515625" customWidth="1"/>
    <col min="16" max="16" width="19.28515625" customWidth="1"/>
    <col min="17" max="17" width="19.28515625" style="67" customWidth="1"/>
    <col min="18" max="21" width="19.28515625" customWidth="1"/>
    <col min="22" max="22" width="14.42578125" bestFit="1" customWidth="1"/>
    <col min="23" max="23" width="33.140625" bestFit="1" customWidth="1"/>
  </cols>
  <sheetData>
    <row r="1" spans="1:23" ht="57.75" x14ac:dyDescent="0.85">
      <c r="A1" s="124"/>
      <c r="B1" s="125"/>
      <c r="C1" s="125"/>
      <c r="D1" s="126"/>
      <c r="E1" s="126"/>
      <c r="F1" s="125"/>
      <c r="G1" s="125"/>
      <c r="H1" s="125"/>
      <c r="I1" s="127" t="s">
        <v>1312</v>
      </c>
      <c r="J1" s="127"/>
      <c r="K1" s="125"/>
      <c r="L1" s="125"/>
      <c r="M1" s="125"/>
      <c r="N1" s="125"/>
      <c r="O1" s="125"/>
      <c r="P1" s="125"/>
      <c r="Q1" s="140"/>
      <c r="R1" s="125"/>
      <c r="S1" s="125"/>
      <c r="T1" s="125"/>
      <c r="U1" s="125"/>
      <c r="V1" s="125"/>
      <c r="W1" s="128"/>
    </row>
    <row r="3" spans="1:23" ht="24.75" x14ac:dyDescent="0.25">
      <c r="A3" s="88" t="s">
        <v>55</v>
      </c>
      <c r="B3" s="88" t="s">
        <v>56</v>
      </c>
      <c r="C3" s="96" t="s">
        <v>58</v>
      </c>
      <c r="D3" s="88" t="s">
        <v>59</v>
      </c>
      <c r="E3" s="88" t="s">
        <v>1063</v>
      </c>
      <c r="F3" s="88" t="s">
        <v>60</v>
      </c>
      <c r="G3" s="88" t="s">
        <v>62</v>
      </c>
      <c r="H3" s="93" t="s">
        <v>63</v>
      </c>
      <c r="I3" s="94" t="s">
        <v>974</v>
      </c>
      <c r="J3" s="94" t="s">
        <v>975</v>
      </c>
      <c r="K3" s="94" t="s">
        <v>83</v>
      </c>
      <c r="L3" s="94" t="s">
        <v>976</v>
      </c>
      <c r="M3" s="97" t="s">
        <v>65</v>
      </c>
      <c r="N3" s="88" t="s">
        <v>66</v>
      </c>
      <c r="O3" s="95" t="s">
        <v>67</v>
      </c>
      <c r="P3" s="95" t="s">
        <v>1061</v>
      </c>
      <c r="Q3" s="141" t="s">
        <v>1060</v>
      </c>
      <c r="R3" s="95" t="s">
        <v>78</v>
      </c>
      <c r="S3" s="95" t="s">
        <v>80</v>
      </c>
      <c r="T3" s="95" t="s">
        <v>1062</v>
      </c>
      <c r="U3" s="95" t="s">
        <v>1430</v>
      </c>
      <c r="V3" s="95" t="s">
        <v>81</v>
      </c>
      <c r="W3" s="95" t="s">
        <v>82</v>
      </c>
    </row>
    <row r="4" spans="1:23" ht="25.5" x14ac:dyDescent="0.25">
      <c r="A4" s="35" t="s">
        <v>85</v>
      </c>
      <c r="B4" s="69">
        <v>44126</v>
      </c>
      <c r="C4" s="35" t="s">
        <v>410</v>
      </c>
      <c r="D4" s="73" t="s">
        <v>868</v>
      </c>
      <c r="E4" s="73" t="s">
        <v>1070</v>
      </c>
      <c r="F4" s="38" t="s">
        <v>411</v>
      </c>
      <c r="G4" s="37" t="s">
        <v>412</v>
      </c>
      <c r="H4" s="37" t="s">
        <v>314</v>
      </c>
      <c r="I4" s="37" t="s">
        <v>413</v>
      </c>
      <c r="J4" s="38" t="s">
        <v>414</v>
      </c>
      <c r="K4" s="39" t="s">
        <v>31</v>
      </c>
      <c r="L4" s="39" t="s">
        <v>29</v>
      </c>
      <c r="M4" s="39">
        <v>15</v>
      </c>
      <c r="N4" s="40">
        <f t="shared" ref="N4:N14" si="0">IF(M4="","",IF(M4=1,300,IF(M4=2,370,IF(M4=3,630,IF(M4=4,830,IF(M4=5,370,IF(M4=6,430,IF(M4=7,530,IF(M4=8,370,IF(M4=9,700,IF(M4=10,870,IF(M4=11,370,IF(M4=12,370,IF(M4=13,370,IF(M4=13,370,IF(M4=14,370,IF(M4=15,370,IF(M4=16,300,IF(M4=17,300,IF(M4=18,170,IF(M4=19,330)))))))))))))))))))))</f>
        <v>370</v>
      </c>
      <c r="O4" s="41">
        <v>370</v>
      </c>
      <c r="P4" s="42" t="str">
        <f t="shared" ref="P4:P14" si="1">IF(M4="","",IF(O4&gt;(5*N4),"ACIMA","OK"))</f>
        <v>OK</v>
      </c>
      <c r="Q4" s="69"/>
      <c r="R4" s="41"/>
      <c r="S4" s="42" t="str">
        <f>IF(R4="","",R4/O4)</f>
        <v/>
      </c>
      <c r="T4" s="42" t="str">
        <f t="shared" ref="T4:T22" si="2">IF(S4="","",IF(S4&gt;$Z$5,"ACIMA","OK"))</f>
        <v/>
      </c>
      <c r="U4" s="36">
        <v>44144</v>
      </c>
      <c r="V4" s="40">
        <f t="shared" ref="V4:V67" si="3">IF(M4="","",O4-R4)</f>
        <v>370</v>
      </c>
      <c r="W4" s="43">
        <f t="shared" ref="W4:W67" si="4">IF(M4="","",IF(AND(M4&gt;0,U4=""),V4,O4-(R4+V4)))</f>
        <v>0</v>
      </c>
    </row>
    <row r="5" spans="1:23" ht="38.25" x14ac:dyDescent="0.25">
      <c r="A5" s="45" t="s">
        <v>88</v>
      </c>
      <c r="B5" s="70">
        <v>44265</v>
      </c>
      <c r="C5" s="45" t="s">
        <v>417</v>
      </c>
      <c r="D5" s="72" t="s">
        <v>501</v>
      </c>
      <c r="E5" s="72" t="s">
        <v>1072</v>
      </c>
      <c r="F5" s="48" t="s">
        <v>420</v>
      </c>
      <c r="G5" s="47" t="s">
        <v>421</v>
      </c>
      <c r="H5" s="47" t="s">
        <v>422</v>
      </c>
      <c r="I5" s="47" t="s">
        <v>320</v>
      </c>
      <c r="J5" s="48" t="s">
        <v>317</v>
      </c>
      <c r="K5" s="48" t="s">
        <v>432</v>
      </c>
      <c r="L5" s="48" t="s">
        <v>447</v>
      </c>
      <c r="M5" s="49">
        <v>1</v>
      </c>
      <c r="N5" s="50">
        <f t="shared" si="0"/>
        <v>300</v>
      </c>
      <c r="O5" s="51">
        <v>300</v>
      </c>
      <c r="P5" s="50" t="str">
        <f t="shared" si="1"/>
        <v>OK</v>
      </c>
      <c r="Q5" s="70"/>
      <c r="R5" s="51"/>
      <c r="S5" s="52" t="str">
        <f t="shared" ref="S5:S68" si="5">IF(R5="","",R5/O5)</f>
        <v/>
      </c>
      <c r="T5" s="52" t="str">
        <f t="shared" si="2"/>
        <v/>
      </c>
      <c r="U5" s="46">
        <v>44268</v>
      </c>
      <c r="V5" s="50">
        <f t="shared" si="3"/>
        <v>300</v>
      </c>
      <c r="W5" s="53">
        <f t="shared" si="4"/>
        <v>0</v>
      </c>
    </row>
    <row r="6" spans="1:23" ht="25.5" x14ac:dyDescent="0.25">
      <c r="A6" s="35" t="s">
        <v>92</v>
      </c>
      <c r="B6" s="69">
        <v>44264</v>
      </c>
      <c r="C6" s="35" t="s">
        <v>424</v>
      </c>
      <c r="D6" s="37" t="s">
        <v>501</v>
      </c>
      <c r="E6" s="37" t="s">
        <v>1072</v>
      </c>
      <c r="F6" s="38" t="s">
        <v>426</v>
      </c>
      <c r="G6" s="38" t="s">
        <v>427</v>
      </c>
      <c r="H6" s="38" t="s">
        <v>428</v>
      </c>
      <c r="I6" s="38" t="s">
        <v>1153</v>
      </c>
      <c r="J6" s="38" t="s">
        <v>430</v>
      </c>
      <c r="K6" s="38" t="s">
        <v>431</v>
      </c>
      <c r="L6" s="38" t="s">
        <v>29</v>
      </c>
      <c r="M6" s="39">
        <v>2</v>
      </c>
      <c r="N6" s="40">
        <f t="shared" si="0"/>
        <v>370</v>
      </c>
      <c r="O6" s="41">
        <v>370</v>
      </c>
      <c r="P6" s="42" t="str">
        <f t="shared" si="1"/>
        <v>OK</v>
      </c>
      <c r="Q6" s="69"/>
      <c r="R6" s="41"/>
      <c r="S6" s="42" t="str">
        <f t="shared" si="5"/>
        <v/>
      </c>
      <c r="T6" s="42" t="str">
        <f t="shared" si="2"/>
        <v/>
      </c>
      <c r="U6" s="36">
        <v>44267</v>
      </c>
      <c r="V6" s="40">
        <f t="shared" si="3"/>
        <v>370</v>
      </c>
      <c r="W6" s="43">
        <f t="shared" si="4"/>
        <v>0</v>
      </c>
    </row>
    <row r="7" spans="1:23" ht="25.5" x14ac:dyDescent="0.25">
      <c r="A7" s="45" t="s">
        <v>94</v>
      </c>
      <c r="B7" s="70">
        <v>44272</v>
      </c>
      <c r="C7" s="45" t="s">
        <v>433</v>
      </c>
      <c r="D7" s="47" t="s">
        <v>506</v>
      </c>
      <c r="E7" s="47" t="s">
        <v>1065</v>
      </c>
      <c r="F7" s="48" t="s">
        <v>435</v>
      </c>
      <c r="G7" s="48" t="s">
        <v>436</v>
      </c>
      <c r="H7" s="48" t="s">
        <v>437</v>
      </c>
      <c r="I7" s="48" t="s">
        <v>509</v>
      </c>
      <c r="J7" s="48" t="s">
        <v>439</v>
      </c>
      <c r="K7" s="48" t="s">
        <v>31</v>
      </c>
      <c r="L7" s="48" t="s">
        <v>29</v>
      </c>
      <c r="M7" s="49">
        <v>15</v>
      </c>
      <c r="N7" s="50">
        <f t="shared" si="0"/>
        <v>370</v>
      </c>
      <c r="O7" s="51">
        <v>370</v>
      </c>
      <c r="P7" s="50" t="str">
        <f t="shared" si="1"/>
        <v>OK</v>
      </c>
      <c r="Q7" s="70"/>
      <c r="R7" s="51"/>
      <c r="S7" s="52"/>
      <c r="T7" s="52" t="str">
        <f t="shared" si="2"/>
        <v/>
      </c>
      <c r="U7" s="46">
        <v>44273</v>
      </c>
      <c r="V7" s="50">
        <f t="shared" si="3"/>
        <v>370</v>
      </c>
      <c r="W7" s="53">
        <f t="shared" si="4"/>
        <v>0</v>
      </c>
    </row>
    <row r="8" spans="1:23" ht="38.25" x14ac:dyDescent="0.25">
      <c r="A8" s="35" t="s">
        <v>96</v>
      </c>
      <c r="B8" s="69">
        <v>44265</v>
      </c>
      <c r="C8" s="35" t="s">
        <v>440</v>
      </c>
      <c r="D8" s="37" t="s">
        <v>1075</v>
      </c>
      <c r="E8" s="37" t="s">
        <v>441</v>
      </c>
      <c r="F8" s="38" t="s">
        <v>442</v>
      </c>
      <c r="G8" s="38" t="s">
        <v>443</v>
      </c>
      <c r="H8" s="38" t="s">
        <v>444</v>
      </c>
      <c r="I8" s="38" t="s">
        <v>445</v>
      </c>
      <c r="J8" s="38" t="s">
        <v>446</v>
      </c>
      <c r="K8" s="38" t="s">
        <v>39</v>
      </c>
      <c r="L8" s="38" t="s">
        <v>40</v>
      </c>
      <c r="M8" s="39">
        <v>17</v>
      </c>
      <c r="N8" s="40">
        <f t="shared" si="0"/>
        <v>300</v>
      </c>
      <c r="O8" s="41">
        <v>300</v>
      </c>
      <c r="P8" s="42" t="str">
        <f t="shared" si="1"/>
        <v>OK</v>
      </c>
      <c r="Q8" s="69"/>
      <c r="R8" s="41"/>
      <c r="S8" s="42" t="str">
        <f t="shared" si="5"/>
        <v/>
      </c>
      <c r="T8" s="42" t="str">
        <f t="shared" si="2"/>
        <v/>
      </c>
      <c r="U8" s="36">
        <v>44274</v>
      </c>
      <c r="V8" s="40">
        <f t="shared" si="3"/>
        <v>300</v>
      </c>
      <c r="W8" s="43">
        <f t="shared" si="4"/>
        <v>0</v>
      </c>
    </row>
    <row r="9" spans="1:23" ht="25.5" x14ac:dyDescent="0.25">
      <c r="A9" s="45" t="s">
        <v>97</v>
      </c>
      <c r="B9" s="70">
        <v>44265</v>
      </c>
      <c r="C9" s="45" t="s">
        <v>448</v>
      </c>
      <c r="D9" s="72" t="s">
        <v>1075</v>
      </c>
      <c r="E9" s="72" t="s">
        <v>441</v>
      </c>
      <c r="F9" s="48" t="s">
        <v>449</v>
      </c>
      <c r="G9" s="48" t="s">
        <v>450</v>
      </c>
      <c r="H9" s="48" t="s">
        <v>451</v>
      </c>
      <c r="I9" s="48" t="s">
        <v>452</v>
      </c>
      <c r="J9" s="48" t="s">
        <v>453</v>
      </c>
      <c r="K9" s="49" t="s">
        <v>39</v>
      </c>
      <c r="L9" s="49" t="s">
        <v>40</v>
      </c>
      <c r="M9" s="49">
        <v>17</v>
      </c>
      <c r="N9" s="50">
        <f t="shared" si="0"/>
        <v>300</v>
      </c>
      <c r="O9" s="51">
        <v>300</v>
      </c>
      <c r="P9" s="50" t="str">
        <f t="shared" si="1"/>
        <v>OK</v>
      </c>
      <c r="Q9" s="70"/>
      <c r="R9" s="51"/>
      <c r="S9" s="52" t="str">
        <f t="shared" si="5"/>
        <v/>
      </c>
      <c r="T9" s="52" t="str">
        <f t="shared" si="2"/>
        <v/>
      </c>
      <c r="U9" s="46">
        <v>44274</v>
      </c>
      <c r="V9" s="50">
        <f t="shared" si="3"/>
        <v>300</v>
      </c>
      <c r="W9" s="53">
        <f t="shared" si="4"/>
        <v>0</v>
      </c>
    </row>
    <row r="10" spans="1:23" ht="25.5" x14ac:dyDescent="0.25">
      <c r="A10" s="35" t="s">
        <v>99</v>
      </c>
      <c r="B10" s="69">
        <v>44265</v>
      </c>
      <c r="C10" s="35" t="s">
        <v>454</v>
      </c>
      <c r="D10" s="73" t="s">
        <v>1075</v>
      </c>
      <c r="E10" s="73" t="s">
        <v>441</v>
      </c>
      <c r="F10" s="38" t="s">
        <v>449</v>
      </c>
      <c r="G10" s="38" t="s">
        <v>450</v>
      </c>
      <c r="H10" s="38" t="s">
        <v>451</v>
      </c>
      <c r="I10" s="38" t="s">
        <v>489</v>
      </c>
      <c r="J10" s="38" t="s">
        <v>456</v>
      </c>
      <c r="K10" s="38" t="s">
        <v>37</v>
      </c>
      <c r="L10" s="39" t="s">
        <v>40</v>
      </c>
      <c r="M10" s="39">
        <v>16</v>
      </c>
      <c r="N10" s="40">
        <f t="shared" si="0"/>
        <v>300</v>
      </c>
      <c r="O10" s="41">
        <v>300</v>
      </c>
      <c r="P10" s="42" t="str">
        <f t="shared" si="1"/>
        <v>OK</v>
      </c>
      <c r="Q10" s="69"/>
      <c r="R10" s="41"/>
      <c r="S10" s="42" t="str">
        <f t="shared" si="5"/>
        <v/>
      </c>
      <c r="T10" s="42" t="str">
        <f t="shared" si="2"/>
        <v/>
      </c>
      <c r="U10" s="36">
        <v>44274</v>
      </c>
      <c r="V10" s="40">
        <f t="shared" si="3"/>
        <v>300</v>
      </c>
      <c r="W10" s="43">
        <f t="shared" si="4"/>
        <v>0</v>
      </c>
    </row>
    <row r="11" spans="1:23" ht="25.5" x14ac:dyDescent="0.25">
      <c r="A11" s="45" t="s">
        <v>101</v>
      </c>
      <c r="B11" s="70">
        <v>44265</v>
      </c>
      <c r="C11" s="45" t="s">
        <v>457</v>
      </c>
      <c r="D11" s="72" t="s">
        <v>1075</v>
      </c>
      <c r="E11" s="72" t="s">
        <v>441</v>
      </c>
      <c r="F11" s="48" t="s">
        <v>458</v>
      </c>
      <c r="G11" s="48" t="s">
        <v>459</v>
      </c>
      <c r="H11" s="48" t="s">
        <v>460</v>
      </c>
      <c r="I11" s="48" t="s">
        <v>489</v>
      </c>
      <c r="J11" s="49" t="s">
        <v>456</v>
      </c>
      <c r="K11" s="48" t="s">
        <v>37</v>
      </c>
      <c r="L11" s="49" t="s">
        <v>40</v>
      </c>
      <c r="M11" s="49">
        <v>17</v>
      </c>
      <c r="N11" s="50">
        <f t="shared" si="0"/>
        <v>300</v>
      </c>
      <c r="O11" s="51">
        <v>300</v>
      </c>
      <c r="P11" s="50" t="str">
        <f t="shared" si="1"/>
        <v>OK</v>
      </c>
      <c r="Q11" s="70"/>
      <c r="R11" s="51"/>
      <c r="S11" s="52" t="str">
        <f t="shared" si="5"/>
        <v/>
      </c>
      <c r="T11" s="52" t="str">
        <f t="shared" si="2"/>
        <v/>
      </c>
      <c r="U11" s="46">
        <v>44274</v>
      </c>
      <c r="V11" s="50">
        <f t="shared" si="3"/>
        <v>300</v>
      </c>
      <c r="W11" s="53">
        <f t="shared" si="4"/>
        <v>0</v>
      </c>
    </row>
    <row r="12" spans="1:23" ht="63.75" x14ac:dyDescent="0.25">
      <c r="A12" s="35" t="s">
        <v>102</v>
      </c>
      <c r="B12" s="69">
        <v>44271</v>
      </c>
      <c r="C12" s="35" t="s">
        <v>461</v>
      </c>
      <c r="D12" s="73" t="s">
        <v>466</v>
      </c>
      <c r="E12" s="73" t="s">
        <v>1070</v>
      </c>
      <c r="F12" s="38" t="s">
        <v>463</v>
      </c>
      <c r="G12" s="38" t="s">
        <v>464</v>
      </c>
      <c r="H12" s="38" t="s">
        <v>465</v>
      </c>
      <c r="I12" s="38" t="s">
        <v>320</v>
      </c>
      <c r="J12" s="38" t="s">
        <v>317</v>
      </c>
      <c r="K12" s="71" t="s">
        <v>16</v>
      </c>
      <c r="L12" s="7" t="s">
        <v>27</v>
      </c>
      <c r="M12" s="39">
        <v>11</v>
      </c>
      <c r="N12" s="40">
        <f t="shared" si="0"/>
        <v>370</v>
      </c>
      <c r="O12" s="41">
        <v>370</v>
      </c>
      <c r="P12" s="42" t="str">
        <f t="shared" si="1"/>
        <v>OK</v>
      </c>
      <c r="Q12" s="69"/>
      <c r="R12" s="41"/>
      <c r="S12" s="42" t="str">
        <f t="shared" si="5"/>
        <v/>
      </c>
      <c r="T12" s="42" t="str">
        <f t="shared" si="2"/>
        <v/>
      </c>
      <c r="U12" s="36">
        <v>44274</v>
      </c>
      <c r="V12" s="40">
        <f t="shared" si="3"/>
        <v>370</v>
      </c>
      <c r="W12" s="43">
        <f t="shared" si="4"/>
        <v>0</v>
      </c>
    </row>
    <row r="13" spans="1:23" ht="25.5" x14ac:dyDescent="0.25">
      <c r="A13" s="45" t="s">
        <v>103</v>
      </c>
      <c r="B13" s="70">
        <v>44270</v>
      </c>
      <c r="C13" s="45" t="s">
        <v>481</v>
      </c>
      <c r="D13" s="72" t="s">
        <v>466</v>
      </c>
      <c r="E13" s="72" t="s">
        <v>1070</v>
      </c>
      <c r="F13" s="48" t="s">
        <v>467</v>
      </c>
      <c r="G13" s="48" t="s">
        <v>468</v>
      </c>
      <c r="H13" s="48" t="s">
        <v>469</v>
      </c>
      <c r="I13" s="48" t="s">
        <v>335</v>
      </c>
      <c r="J13" s="48" t="s">
        <v>317</v>
      </c>
      <c r="K13" s="48" t="s">
        <v>16</v>
      </c>
      <c r="L13" s="49" t="s">
        <v>27</v>
      </c>
      <c r="M13" s="49">
        <v>11</v>
      </c>
      <c r="N13" s="50">
        <f t="shared" si="0"/>
        <v>370</v>
      </c>
      <c r="O13" s="51">
        <v>370</v>
      </c>
      <c r="P13" s="50" t="str">
        <f t="shared" si="1"/>
        <v>OK</v>
      </c>
      <c r="Q13" s="70"/>
      <c r="R13" s="51"/>
      <c r="S13" s="52" t="str">
        <f t="shared" si="5"/>
        <v/>
      </c>
      <c r="T13" s="52" t="str">
        <f t="shared" si="2"/>
        <v/>
      </c>
      <c r="U13" s="46">
        <v>44276</v>
      </c>
      <c r="V13" s="50">
        <f t="shared" si="3"/>
        <v>370</v>
      </c>
      <c r="W13" s="53">
        <f t="shared" si="4"/>
        <v>0</v>
      </c>
    </row>
    <row r="14" spans="1:23" ht="63.75" x14ac:dyDescent="0.25">
      <c r="A14" s="35" t="s">
        <v>104</v>
      </c>
      <c r="B14" s="69">
        <v>44270</v>
      </c>
      <c r="C14" s="35" t="s">
        <v>482</v>
      </c>
      <c r="D14" s="73" t="s">
        <v>466</v>
      </c>
      <c r="E14" s="73" t="s">
        <v>1070</v>
      </c>
      <c r="F14" s="38" t="s">
        <v>470</v>
      </c>
      <c r="G14" s="38" t="s">
        <v>471</v>
      </c>
      <c r="H14" s="38" t="s">
        <v>314</v>
      </c>
      <c r="I14" s="38" t="s">
        <v>320</v>
      </c>
      <c r="J14" s="38" t="s">
        <v>317</v>
      </c>
      <c r="K14" s="38" t="s">
        <v>16</v>
      </c>
      <c r="L14" s="7" t="s">
        <v>27</v>
      </c>
      <c r="M14" s="39">
        <v>11</v>
      </c>
      <c r="N14" s="40">
        <f t="shared" si="0"/>
        <v>370</v>
      </c>
      <c r="O14" s="41">
        <v>370</v>
      </c>
      <c r="P14" s="42" t="str">
        <f t="shared" si="1"/>
        <v>OK</v>
      </c>
      <c r="Q14" s="69"/>
      <c r="R14" s="41"/>
      <c r="S14" s="42" t="str">
        <f t="shared" si="5"/>
        <v/>
      </c>
      <c r="T14" s="42" t="str">
        <f t="shared" si="2"/>
        <v/>
      </c>
      <c r="U14" s="36">
        <v>44276</v>
      </c>
      <c r="V14" s="40">
        <f t="shared" si="3"/>
        <v>370</v>
      </c>
      <c r="W14" s="43">
        <f t="shared" si="4"/>
        <v>0</v>
      </c>
    </row>
    <row r="15" spans="1:23" ht="51" x14ac:dyDescent="0.25">
      <c r="A15" s="45" t="s">
        <v>105</v>
      </c>
      <c r="B15" s="70">
        <v>44380</v>
      </c>
      <c r="C15" s="45" t="s">
        <v>485</v>
      </c>
      <c r="D15" s="72" t="s">
        <v>989</v>
      </c>
      <c r="E15" s="72" t="s">
        <v>1064</v>
      </c>
      <c r="F15" s="48" t="s">
        <v>475</v>
      </c>
      <c r="G15" s="48" t="s">
        <v>476</v>
      </c>
      <c r="H15" s="48" t="s">
        <v>477</v>
      </c>
      <c r="I15" s="48" t="s">
        <v>478</v>
      </c>
      <c r="J15" s="48" t="s">
        <v>479</v>
      </c>
      <c r="K15" s="49" t="s">
        <v>432</v>
      </c>
      <c r="L15" s="49" t="s">
        <v>480</v>
      </c>
      <c r="M15" s="49">
        <v>2</v>
      </c>
      <c r="N15" s="50">
        <f>IF(M15="","",IF(M15=1,300,IF(M15=2,370,IF(M15=3,630,IF(M15=4,830,IF(M15=5,370,IF(M15=6,430,IF(M15=7,530,IF(M15=8,370,IF(M15=9,700,IF(M15=10,870,IF(M15=11,370,IF(M15=12,370,IF(M15=13,370,IF(M15=13,370,IF(M15=14,370,IF(M15=15,370,IF(M15=16,300,IF(M15=17,300,IF(M15=18,170,IF(M15=19,330)))))))))))))))))))))</f>
        <v>370</v>
      </c>
      <c r="O15" s="51">
        <v>370</v>
      </c>
      <c r="P15" s="50" t="str">
        <f>IF(M15="","",IF(O15&gt;(5*N15),"ACIMA","OK"))</f>
        <v>OK</v>
      </c>
      <c r="Q15" s="70"/>
      <c r="R15" s="51"/>
      <c r="S15" s="52" t="str">
        <f t="shared" si="5"/>
        <v/>
      </c>
      <c r="T15" s="52" t="str">
        <f t="shared" si="2"/>
        <v/>
      </c>
      <c r="U15" s="46">
        <v>44276</v>
      </c>
      <c r="V15" s="50">
        <f t="shared" si="3"/>
        <v>370</v>
      </c>
      <c r="W15" s="53">
        <f t="shared" si="4"/>
        <v>0</v>
      </c>
    </row>
    <row r="16" spans="1:23" ht="63.75" x14ac:dyDescent="0.25">
      <c r="A16" s="35" t="s">
        <v>106</v>
      </c>
      <c r="B16" s="69">
        <v>44271</v>
      </c>
      <c r="C16" s="35" t="s">
        <v>486</v>
      </c>
      <c r="D16" s="73" t="s">
        <v>466</v>
      </c>
      <c r="E16" s="73" t="s">
        <v>1070</v>
      </c>
      <c r="F16" s="38" t="s">
        <v>473</v>
      </c>
      <c r="G16" s="38" t="s">
        <v>474</v>
      </c>
      <c r="H16" s="38" t="s">
        <v>314</v>
      </c>
      <c r="I16" s="38" t="s">
        <v>320</v>
      </c>
      <c r="J16" s="38" t="s">
        <v>472</v>
      </c>
      <c r="K16" s="38" t="s">
        <v>16</v>
      </c>
      <c r="L16" s="7" t="s">
        <v>27</v>
      </c>
      <c r="M16" s="39">
        <v>11</v>
      </c>
      <c r="N16" s="40">
        <f>IF(M16="","",IF(M16=1,300,IF(M16=2,370,IF(M16=3,630,IF(M16=4,830,IF(M16=5,370,IF(M16=6,430,IF(M16=7,530,IF(M16=8,370,IF(M16=9,700,IF(M16=10,870,IF(M16=11,370,IF(M16=12,370,IF(M16=13,370,IF(M16=13,370,IF(M16=14,370,IF(M16=15,370,IF(M16=16,300,IF(M16=17,300,IF(M16=18,170,IF(M16=19,330)))))))))))))))))))))</f>
        <v>370</v>
      </c>
      <c r="O16" s="41">
        <v>370</v>
      </c>
      <c r="P16" s="42" t="str">
        <f>IF(M16="","",IF(O16&gt;(5*N16),"ACIMA","OK"))</f>
        <v>OK</v>
      </c>
      <c r="Q16" s="69"/>
      <c r="R16" s="41"/>
      <c r="S16" s="42" t="str">
        <f t="shared" si="5"/>
        <v/>
      </c>
      <c r="T16" s="42" t="str">
        <f t="shared" si="2"/>
        <v/>
      </c>
      <c r="U16" s="36">
        <v>44276</v>
      </c>
      <c r="V16" s="40">
        <f t="shared" si="3"/>
        <v>370</v>
      </c>
      <c r="W16" s="43">
        <f t="shared" si="4"/>
        <v>0</v>
      </c>
    </row>
    <row r="17" spans="1:23" ht="51" x14ac:dyDescent="0.25">
      <c r="A17" s="45" t="s">
        <v>107</v>
      </c>
      <c r="B17" s="70">
        <v>44265</v>
      </c>
      <c r="C17" s="45" t="s">
        <v>483</v>
      </c>
      <c r="D17" s="72" t="s">
        <v>1075</v>
      </c>
      <c r="E17" s="72" t="s">
        <v>441</v>
      </c>
      <c r="F17" s="48" t="s">
        <v>484</v>
      </c>
      <c r="G17" s="48" t="s">
        <v>487</v>
      </c>
      <c r="H17" s="48" t="s">
        <v>488</v>
      </c>
      <c r="I17" s="48" t="s">
        <v>489</v>
      </c>
      <c r="J17" s="49" t="s">
        <v>456</v>
      </c>
      <c r="K17" s="49" t="s">
        <v>37</v>
      </c>
      <c r="L17" s="49" t="s">
        <v>40</v>
      </c>
      <c r="M17" s="49">
        <v>16</v>
      </c>
      <c r="N17" s="50">
        <f t="shared" ref="N17:N80" si="6">IF(M17="","",IF(M17=1,300,IF(M17=2,370,IF(M17=3,630,IF(M17=4,830,IF(M17=5,370,IF(M17=6,430,IF(M17=7,530,IF(M17=8,370,IF(M17=9,700,IF(M17=10,870,IF(M17=11,370,IF(M17=12,370,IF(M17=13,370,IF(M17=13,370,IF(M17=14,370,IF(M17=15,370,IF(M17=16,300,IF(M17=17,300,IF(M17=18,170,IF(M17=19,330)))))))))))))))))))))</f>
        <v>300</v>
      </c>
      <c r="O17" s="51">
        <v>300</v>
      </c>
      <c r="P17" s="50" t="str">
        <f t="shared" ref="P17:P22" si="7">IF(M17="","",IF(O17&gt;(5*N17),"ACIMA","OK"))</f>
        <v>OK</v>
      </c>
      <c r="Q17" s="70"/>
      <c r="R17" s="51"/>
      <c r="S17" s="52" t="str">
        <f t="shared" si="5"/>
        <v/>
      </c>
      <c r="T17" s="52" t="str">
        <f t="shared" si="2"/>
        <v/>
      </c>
      <c r="U17" s="46">
        <v>44276</v>
      </c>
      <c r="V17" s="50">
        <f t="shared" si="3"/>
        <v>300</v>
      </c>
      <c r="W17" s="53">
        <f t="shared" si="4"/>
        <v>0</v>
      </c>
    </row>
    <row r="18" spans="1:23" ht="51" x14ac:dyDescent="0.25">
      <c r="A18" s="35" t="s">
        <v>108</v>
      </c>
      <c r="B18" s="69">
        <v>44265</v>
      </c>
      <c r="C18" s="35" t="s">
        <v>490</v>
      </c>
      <c r="D18" s="73" t="s">
        <v>1075</v>
      </c>
      <c r="E18" s="73" t="s">
        <v>441</v>
      </c>
      <c r="F18" s="38" t="s">
        <v>484</v>
      </c>
      <c r="G18" s="38" t="s">
        <v>487</v>
      </c>
      <c r="H18" s="38" t="s">
        <v>488</v>
      </c>
      <c r="I18" s="38" t="s">
        <v>452</v>
      </c>
      <c r="J18" s="38" t="s">
        <v>453</v>
      </c>
      <c r="K18" s="39" t="s">
        <v>39</v>
      </c>
      <c r="L18" s="39" t="s">
        <v>40</v>
      </c>
      <c r="M18" s="39">
        <v>17</v>
      </c>
      <c r="N18" s="40">
        <f t="shared" si="6"/>
        <v>300</v>
      </c>
      <c r="O18" s="41">
        <v>300</v>
      </c>
      <c r="P18" s="42" t="str">
        <f t="shared" si="7"/>
        <v>OK</v>
      </c>
      <c r="Q18" s="69"/>
      <c r="R18" s="41"/>
      <c r="S18" s="42" t="str">
        <f t="shared" si="5"/>
        <v/>
      </c>
      <c r="T18" s="42" t="str">
        <f t="shared" si="2"/>
        <v/>
      </c>
      <c r="U18" s="36">
        <v>44276</v>
      </c>
      <c r="V18" s="40">
        <f t="shared" si="3"/>
        <v>300</v>
      </c>
      <c r="W18" s="43">
        <f t="shared" si="4"/>
        <v>0</v>
      </c>
    </row>
    <row r="19" spans="1:23" ht="38.25" x14ac:dyDescent="0.25">
      <c r="A19" s="45" t="s">
        <v>109</v>
      </c>
      <c r="B19" s="70">
        <v>44138</v>
      </c>
      <c r="C19" s="45" t="s">
        <v>491</v>
      </c>
      <c r="D19" s="72" t="s">
        <v>1076</v>
      </c>
      <c r="E19" s="72" t="s">
        <v>492</v>
      </c>
      <c r="F19" s="48" t="s">
        <v>493</v>
      </c>
      <c r="G19" s="48" t="s">
        <v>494</v>
      </c>
      <c r="H19" s="48" t="s">
        <v>495</v>
      </c>
      <c r="I19" s="48" t="s">
        <v>496</v>
      </c>
      <c r="J19" s="48" t="s">
        <v>497</v>
      </c>
      <c r="K19" s="48" t="s">
        <v>16</v>
      </c>
      <c r="L19" s="48" t="s">
        <v>498</v>
      </c>
      <c r="M19" s="49">
        <v>1</v>
      </c>
      <c r="N19" s="50">
        <f t="shared" si="6"/>
        <v>300</v>
      </c>
      <c r="O19" s="51">
        <v>300</v>
      </c>
      <c r="P19" s="50" t="str">
        <f t="shared" si="7"/>
        <v>OK</v>
      </c>
      <c r="Q19" s="70"/>
      <c r="R19" s="51"/>
      <c r="S19" s="52" t="str">
        <f t="shared" si="5"/>
        <v/>
      </c>
      <c r="T19" s="52" t="str">
        <f t="shared" si="2"/>
        <v/>
      </c>
      <c r="U19" s="46">
        <v>44273</v>
      </c>
      <c r="V19" s="50">
        <f t="shared" si="3"/>
        <v>300</v>
      </c>
      <c r="W19" s="53">
        <f t="shared" si="4"/>
        <v>0</v>
      </c>
    </row>
    <row r="20" spans="1:23" ht="25.5" x14ac:dyDescent="0.25">
      <c r="A20" s="35" t="s">
        <v>110</v>
      </c>
      <c r="B20" s="69">
        <v>44265</v>
      </c>
      <c r="C20" s="35" t="s">
        <v>499</v>
      </c>
      <c r="D20" s="73" t="s">
        <v>1075</v>
      </c>
      <c r="E20" s="73" t="s">
        <v>441</v>
      </c>
      <c r="F20" s="38" t="s">
        <v>458</v>
      </c>
      <c r="G20" s="38" t="s">
        <v>459</v>
      </c>
      <c r="H20" s="38" t="s">
        <v>460</v>
      </c>
      <c r="I20" s="38" t="s">
        <v>445</v>
      </c>
      <c r="J20" s="38" t="s">
        <v>446</v>
      </c>
      <c r="K20" s="39" t="s">
        <v>39</v>
      </c>
      <c r="L20" s="39" t="s">
        <v>40</v>
      </c>
      <c r="M20" s="39">
        <v>17</v>
      </c>
      <c r="N20" s="40">
        <f t="shared" si="6"/>
        <v>300</v>
      </c>
      <c r="O20" s="41">
        <v>300</v>
      </c>
      <c r="P20" s="42" t="str">
        <f t="shared" si="7"/>
        <v>OK</v>
      </c>
      <c r="Q20" s="69"/>
      <c r="R20" s="41"/>
      <c r="S20" s="42" t="str">
        <f t="shared" si="5"/>
        <v/>
      </c>
      <c r="T20" s="42" t="str">
        <f t="shared" si="2"/>
        <v/>
      </c>
      <c r="U20" s="36">
        <v>44276</v>
      </c>
      <c r="V20" s="40">
        <f t="shared" si="3"/>
        <v>300</v>
      </c>
      <c r="W20" s="43">
        <f t="shared" si="4"/>
        <v>0</v>
      </c>
    </row>
    <row r="21" spans="1:23" ht="25.5" x14ac:dyDescent="0.25">
      <c r="A21" s="45" t="s">
        <v>111</v>
      </c>
      <c r="B21" s="70">
        <v>44277</v>
      </c>
      <c r="C21" s="45" t="s">
        <v>500</v>
      </c>
      <c r="D21" s="72" t="s">
        <v>501</v>
      </c>
      <c r="E21" s="72" t="s">
        <v>1072</v>
      </c>
      <c r="F21" s="48" t="s">
        <v>502</v>
      </c>
      <c r="G21" s="48" t="s">
        <v>503</v>
      </c>
      <c r="H21" s="48" t="s">
        <v>504</v>
      </c>
      <c r="I21" s="48" t="s">
        <v>320</v>
      </c>
      <c r="J21" s="48" t="s">
        <v>317</v>
      </c>
      <c r="K21" s="49" t="s">
        <v>432</v>
      </c>
      <c r="L21" s="49" t="s">
        <v>480</v>
      </c>
      <c r="M21" s="49">
        <v>1</v>
      </c>
      <c r="N21" s="50">
        <f t="shared" si="6"/>
        <v>300</v>
      </c>
      <c r="O21" s="51">
        <v>300</v>
      </c>
      <c r="P21" s="50" t="str">
        <f t="shared" si="7"/>
        <v>OK</v>
      </c>
      <c r="Q21" s="70"/>
      <c r="R21" s="51"/>
      <c r="S21" s="52" t="str">
        <f t="shared" si="5"/>
        <v/>
      </c>
      <c r="T21" s="52" t="str">
        <f t="shared" si="2"/>
        <v/>
      </c>
      <c r="U21" s="46">
        <v>44276</v>
      </c>
      <c r="V21" s="50">
        <f t="shared" si="3"/>
        <v>300</v>
      </c>
      <c r="W21" s="53">
        <f t="shared" si="4"/>
        <v>0</v>
      </c>
    </row>
    <row r="22" spans="1:23" ht="25.5" x14ac:dyDescent="0.25">
      <c r="A22" s="35" t="s">
        <v>112</v>
      </c>
      <c r="B22" s="69">
        <v>44277</v>
      </c>
      <c r="C22" s="35" t="s">
        <v>505</v>
      </c>
      <c r="D22" s="73" t="s">
        <v>506</v>
      </c>
      <c r="E22" s="73" t="s">
        <v>1065</v>
      </c>
      <c r="F22" s="38" t="s">
        <v>507</v>
      </c>
      <c r="G22" s="38" t="s">
        <v>508</v>
      </c>
      <c r="H22" s="38" t="s">
        <v>437</v>
      </c>
      <c r="I22" s="38" t="s">
        <v>509</v>
      </c>
      <c r="J22" s="38" t="s">
        <v>510</v>
      </c>
      <c r="K22" s="38" t="s">
        <v>31</v>
      </c>
      <c r="L22" s="39" t="s">
        <v>29</v>
      </c>
      <c r="M22" s="39">
        <v>15</v>
      </c>
      <c r="N22" s="40">
        <f t="shared" si="6"/>
        <v>370</v>
      </c>
      <c r="O22" s="41">
        <v>370</v>
      </c>
      <c r="P22" s="42" t="str">
        <f t="shared" si="7"/>
        <v>OK</v>
      </c>
      <c r="Q22" s="69"/>
      <c r="R22" s="41"/>
      <c r="S22" s="42" t="str">
        <f t="shared" si="5"/>
        <v/>
      </c>
      <c r="T22" s="42" t="str">
        <f t="shared" si="2"/>
        <v/>
      </c>
      <c r="U22" s="36">
        <v>44278</v>
      </c>
      <c r="V22" s="40">
        <f t="shared" si="3"/>
        <v>370</v>
      </c>
      <c r="W22" s="43">
        <f t="shared" si="4"/>
        <v>0</v>
      </c>
    </row>
    <row r="23" spans="1:23" ht="25.5" x14ac:dyDescent="0.25">
      <c r="A23" s="45" t="s">
        <v>113</v>
      </c>
      <c r="B23" s="70">
        <v>44277</v>
      </c>
      <c r="C23" s="45" t="s">
        <v>511</v>
      </c>
      <c r="D23" s="72" t="s">
        <v>506</v>
      </c>
      <c r="E23" s="72" t="s">
        <v>1065</v>
      </c>
      <c r="F23" s="48" t="s">
        <v>512</v>
      </c>
      <c r="G23" s="48" t="s">
        <v>513</v>
      </c>
      <c r="H23" s="49" t="s">
        <v>437</v>
      </c>
      <c r="I23" s="48" t="s">
        <v>509</v>
      </c>
      <c r="J23" s="49" t="s">
        <v>510</v>
      </c>
      <c r="K23" s="48" t="s">
        <v>31</v>
      </c>
      <c r="L23" s="49" t="s">
        <v>29</v>
      </c>
      <c r="M23" s="49">
        <v>15</v>
      </c>
      <c r="N23" s="50">
        <f t="shared" si="6"/>
        <v>370</v>
      </c>
      <c r="O23" s="51">
        <v>370</v>
      </c>
      <c r="P23" s="50" t="str">
        <f>IF(M23="","",IF(O23&gt;(5*N23),"ACIMA","OK"))</f>
        <v>OK</v>
      </c>
      <c r="Q23" s="70"/>
      <c r="R23" s="51"/>
      <c r="S23" s="52" t="str">
        <f t="shared" si="5"/>
        <v/>
      </c>
      <c r="T23" s="52" t="str">
        <f>IF(S23="","",IF(S23&gt;$Z$5,"ACIMA","OK"))</f>
        <v/>
      </c>
      <c r="U23" s="46">
        <v>44278</v>
      </c>
      <c r="V23" s="50">
        <f t="shared" si="3"/>
        <v>370</v>
      </c>
      <c r="W23" s="53">
        <f t="shared" si="4"/>
        <v>0</v>
      </c>
    </row>
    <row r="24" spans="1:23" ht="25.5" x14ac:dyDescent="0.25">
      <c r="A24" s="35" t="s">
        <v>114</v>
      </c>
      <c r="B24" s="69">
        <v>44277</v>
      </c>
      <c r="C24" s="35" t="s">
        <v>514</v>
      </c>
      <c r="D24" s="73" t="s">
        <v>506</v>
      </c>
      <c r="E24" s="73" t="s">
        <v>1065</v>
      </c>
      <c r="F24" s="38" t="s">
        <v>515</v>
      </c>
      <c r="G24" s="38" t="s">
        <v>516</v>
      </c>
      <c r="H24" s="38" t="s">
        <v>437</v>
      </c>
      <c r="I24" s="38" t="s">
        <v>509</v>
      </c>
      <c r="J24" s="38" t="s">
        <v>517</v>
      </c>
      <c r="K24" s="38" t="s">
        <v>31</v>
      </c>
      <c r="L24" s="39" t="s">
        <v>29</v>
      </c>
      <c r="M24" s="39">
        <v>15</v>
      </c>
      <c r="N24" s="40">
        <f t="shared" si="6"/>
        <v>370</v>
      </c>
      <c r="O24" s="41">
        <v>370</v>
      </c>
      <c r="P24" s="42" t="str">
        <f>IF(M24="","",IF(O24&gt;(5*N24),"ACIMA","OK"))</f>
        <v>OK</v>
      </c>
      <c r="Q24" s="69"/>
      <c r="R24" s="41"/>
      <c r="S24" s="42" t="str">
        <f t="shared" si="5"/>
        <v/>
      </c>
      <c r="T24" s="42" t="str">
        <f>IF(S24="","",IF(S24&gt;$Z$5,"ACIMA","OK"))</f>
        <v/>
      </c>
      <c r="U24" s="36">
        <v>44278</v>
      </c>
      <c r="V24" s="40">
        <f t="shared" si="3"/>
        <v>370</v>
      </c>
      <c r="W24" s="43">
        <f t="shared" si="4"/>
        <v>0</v>
      </c>
    </row>
    <row r="25" spans="1:23" ht="25.5" x14ac:dyDescent="0.25">
      <c r="A25" s="45" t="s">
        <v>115</v>
      </c>
      <c r="B25" s="70">
        <v>44277</v>
      </c>
      <c r="C25" s="45" t="s">
        <v>518</v>
      </c>
      <c r="D25" s="72" t="s">
        <v>506</v>
      </c>
      <c r="E25" s="72" t="s">
        <v>1065</v>
      </c>
      <c r="F25" s="48" t="s">
        <v>519</v>
      </c>
      <c r="G25" s="48" t="s">
        <v>520</v>
      </c>
      <c r="H25" s="48" t="s">
        <v>437</v>
      </c>
      <c r="I25" s="48" t="s">
        <v>509</v>
      </c>
      <c r="J25" s="48" t="s">
        <v>517</v>
      </c>
      <c r="K25" s="48" t="s">
        <v>31</v>
      </c>
      <c r="L25" s="49" t="s">
        <v>29</v>
      </c>
      <c r="M25" s="49">
        <v>15</v>
      </c>
      <c r="N25" s="50">
        <f t="shared" si="6"/>
        <v>370</v>
      </c>
      <c r="O25" s="51">
        <v>370</v>
      </c>
      <c r="P25" s="50" t="str">
        <f>IF(M25="","",IF(O25&gt;(5*N25),"ACIMA","OK"))</f>
        <v>OK</v>
      </c>
      <c r="Q25" s="70"/>
      <c r="R25" s="51"/>
      <c r="S25" s="52" t="str">
        <f t="shared" si="5"/>
        <v/>
      </c>
      <c r="T25" s="52" t="str">
        <f>IF(S25="","",IF(S25&gt;$Z$5,"ACIMA","OK"))</f>
        <v/>
      </c>
      <c r="U25" s="46">
        <v>44278</v>
      </c>
      <c r="V25" s="50">
        <f t="shared" si="3"/>
        <v>370</v>
      </c>
      <c r="W25" s="53">
        <f t="shared" si="4"/>
        <v>0</v>
      </c>
    </row>
    <row r="26" spans="1:23" ht="25.5" x14ac:dyDescent="0.25">
      <c r="A26" s="35" t="s">
        <v>116</v>
      </c>
      <c r="B26" s="69">
        <v>44277</v>
      </c>
      <c r="C26" s="35" t="s">
        <v>521</v>
      </c>
      <c r="D26" s="73" t="s">
        <v>506</v>
      </c>
      <c r="E26" s="73" t="s">
        <v>1065</v>
      </c>
      <c r="F26" s="38" t="s">
        <v>522</v>
      </c>
      <c r="G26" s="38" t="s">
        <v>523</v>
      </c>
      <c r="H26" s="38" t="s">
        <v>437</v>
      </c>
      <c r="I26" s="38" t="s">
        <v>509</v>
      </c>
      <c r="J26" s="38" t="s">
        <v>517</v>
      </c>
      <c r="K26" s="38" t="s">
        <v>31</v>
      </c>
      <c r="L26" s="39" t="s">
        <v>29</v>
      </c>
      <c r="M26" s="39">
        <v>15</v>
      </c>
      <c r="N26" s="40">
        <f t="shared" si="6"/>
        <v>370</v>
      </c>
      <c r="O26" s="41">
        <v>370</v>
      </c>
      <c r="P26" s="42" t="str">
        <f t="shared" ref="P26:P89" si="8">IF(M26="","",IF(O26&gt;(5*N26),"ACIMA","OK"))</f>
        <v>OK</v>
      </c>
      <c r="Q26" s="69"/>
      <c r="R26" s="41"/>
      <c r="S26" s="42" t="str">
        <f t="shared" si="5"/>
        <v/>
      </c>
      <c r="T26" s="42" t="str">
        <f t="shared" ref="T26:T89" si="9">IF(S26="","",IF(S26&gt;$Z$5,"ACIMA","OK"))</f>
        <v/>
      </c>
      <c r="U26" s="36">
        <v>44278</v>
      </c>
      <c r="V26" s="40">
        <f t="shared" si="3"/>
        <v>370</v>
      </c>
      <c r="W26" s="43">
        <f t="shared" si="4"/>
        <v>0</v>
      </c>
    </row>
    <row r="27" spans="1:23" ht="25.5" x14ac:dyDescent="0.25">
      <c r="A27" s="45" t="s">
        <v>117</v>
      </c>
      <c r="B27" s="70">
        <v>44278</v>
      </c>
      <c r="C27" s="45" t="s">
        <v>524</v>
      </c>
      <c r="D27" s="72" t="s">
        <v>526</v>
      </c>
      <c r="E27" s="72" t="s">
        <v>1066</v>
      </c>
      <c r="F27" s="48" t="s">
        <v>525</v>
      </c>
      <c r="G27" s="48" t="s">
        <v>527</v>
      </c>
      <c r="H27" s="48" t="s">
        <v>528</v>
      </c>
      <c r="I27" s="48" t="s">
        <v>982</v>
      </c>
      <c r="J27" s="48" t="s">
        <v>530</v>
      </c>
      <c r="K27" s="48" t="s">
        <v>16</v>
      </c>
      <c r="L27" s="48" t="s">
        <v>25</v>
      </c>
      <c r="M27" s="49">
        <v>10</v>
      </c>
      <c r="N27" s="50">
        <f t="shared" si="6"/>
        <v>870</v>
      </c>
      <c r="O27" s="51">
        <v>870</v>
      </c>
      <c r="P27" s="50" t="str">
        <f t="shared" si="8"/>
        <v>OK</v>
      </c>
      <c r="Q27" s="70"/>
      <c r="R27" s="51"/>
      <c r="S27" s="52" t="str">
        <f t="shared" si="5"/>
        <v/>
      </c>
      <c r="T27" s="52" t="str">
        <f t="shared" si="9"/>
        <v/>
      </c>
      <c r="U27" s="46">
        <v>44284</v>
      </c>
      <c r="V27" s="50">
        <f t="shared" si="3"/>
        <v>870</v>
      </c>
      <c r="W27" s="53">
        <f t="shared" si="4"/>
        <v>0</v>
      </c>
    </row>
    <row r="28" spans="1:23" ht="89.25" x14ac:dyDescent="0.25">
      <c r="A28" s="35" t="s">
        <v>118</v>
      </c>
      <c r="B28" s="69">
        <v>44281</v>
      </c>
      <c r="C28" s="35" t="s">
        <v>531</v>
      </c>
      <c r="D28" s="73" t="s">
        <v>989</v>
      </c>
      <c r="E28" s="73" t="s">
        <v>1064</v>
      </c>
      <c r="F28" s="38" t="s">
        <v>532</v>
      </c>
      <c r="G28" s="38" t="s">
        <v>533</v>
      </c>
      <c r="H28" s="38" t="s">
        <v>534</v>
      </c>
      <c r="I28" s="38" t="s">
        <v>389</v>
      </c>
      <c r="J28" s="38" t="s">
        <v>385</v>
      </c>
      <c r="K28" s="38" t="s">
        <v>16</v>
      </c>
      <c r="L28" s="38" t="s">
        <v>21</v>
      </c>
      <c r="M28" s="39">
        <v>8</v>
      </c>
      <c r="N28" s="40">
        <f t="shared" si="6"/>
        <v>370</v>
      </c>
      <c r="O28" s="41">
        <v>370</v>
      </c>
      <c r="P28" s="42" t="str">
        <f t="shared" si="8"/>
        <v>OK</v>
      </c>
      <c r="Q28" s="69"/>
      <c r="R28" s="41"/>
      <c r="S28" s="42" t="str">
        <f t="shared" si="5"/>
        <v/>
      </c>
      <c r="T28" s="42" t="str">
        <f t="shared" si="9"/>
        <v/>
      </c>
      <c r="U28" s="36">
        <v>44284</v>
      </c>
      <c r="V28" s="40">
        <f t="shared" si="3"/>
        <v>370</v>
      </c>
      <c r="W28" s="43">
        <f t="shared" si="4"/>
        <v>0</v>
      </c>
    </row>
    <row r="29" spans="1:23" ht="38.25" x14ac:dyDescent="0.25">
      <c r="A29" s="45" t="s">
        <v>119</v>
      </c>
      <c r="B29" s="70">
        <v>44294</v>
      </c>
      <c r="C29" s="45" t="s">
        <v>535</v>
      </c>
      <c r="D29" s="72" t="s">
        <v>526</v>
      </c>
      <c r="E29" s="72" t="s">
        <v>1066</v>
      </c>
      <c r="F29" s="48" t="s">
        <v>536</v>
      </c>
      <c r="G29" s="48" t="s">
        <v>537</v>
      </c>
      <c r="H29" s="48" t="s">
        <v>538</v>
      </c>
      <c r="I29" s="48" t="s">
        <v>982</v>
      </c>
      <c r="J29" s="48" t="s">
        <v>530</v>
      </c>
      <c r="K29" s="48" t="s">
        <v>16</v>
      </c>
      <c r="L29" s="48" t="s">
        <v>25</v>
      </c>
      <c r="M29" s="49">
        <v>10</v>
      </c>
      <c r="N29" s="50">
        <f t="shared" si="6"/>
        <v>870</v>
      </c>
      <c r="O29" s="51">
        <v>870</v>
      </c>
      <c r="P29" s="50" t="str">
        <f t="shared" si="8"/>
        <v>OK</v>
      </c>
      <c r="Q29" s="70"/>
      <c r="R29" s="51"/>
      <c r="S29" s="52" t="str">
        <f t="shared" si="5"/>
        <v/>
      </c>
      <c r="T29" s="52" t="str">
        <f t="shared" si="9"/>
        <v/>
      </c>
      <c r="U29" s="46">
        <v>44295</v>
      </c>
      <c r="V29" s="50">
        <f t="shared" si="3"/>
        <v>870</v>
      </c>
      <c r="W29" s="53">
        <f t="shared" si="4"/>
        <v>0</v>
      </c>
    </row>
    <row r="30" spans="1:23" ht="25.5" x14ac:dyDescent="0.25">
      <c r="A30" s="35" t="s">
        <v>120</v>
      </c>
      <c r="B30" s="69">
        <v>44524</v>
      </c>
      <c r="C30" s="35" t="s">
        <v>540</v>
      </c>
      <c r="D30" s="73" t="s">
        <v>541</v>
      </c>
      <c r="E30" s="73" t="s">
        <v>1070</v>
      </c>
      <c r="F30" s="38" t="s">
        <v>542</v>
      </c>
      <c r="G30" s="38" t="s">
        <v>543</v>
      </c>
      <c r="H30" s="38" t="s">
        <v>544</v>
      </c>
      <c r="I30" s="38" t="s">
        <v>545</v>
      </c>
      <c r="J30" s="38" t="s">
        <v>546</v>
      </c>
      <c r="K30" s="38" t="s">
        <v>16</v>
      </c>
      <c r="L30" s="38" t="s">
        <v>25</v>
      </c>
      <c r="M30" s="39">
        <v>10</v>
      </c>
      <c r="N30" s="40">
        <f t="shared" si="6"/>
        <v>870</v>
      </c>
      <c r="O30" s="41">
        <v>1500</v>
      </c>
      <c r="P30" s="42" t="str">
        <f t="shared" si="8"/>
        <v>OK</v>
      </c>
      <c r="Q30" s="69"/>
      <c r="R30" s="41"/>
      <c r="S30" s="42" t="str">
        <f t="shared" si="5"/>
        <v/>
      </c>
      <c r="T30" s="42" t="str">
        <f t="shared" si="9"/>
        <v/>
      </c>
      <c r="U30" s="36">
        <v>44295</v>
      </c>
      <c r="V30" s="40">
        <f t="shared" si="3"/>
        <v>1500</v>
      </c>
      <c r="W30" s="43">
        <f t="shared" si="4"/>
        <v>0</v>
      </c>
    </row>
    <row r="31" spans="1:23" ht="25.5" x14ac:dyDescent="0.25">
      <c r="A31" s="45" t="s">
        <v>121</v>
      </c>
      <c r="B31" s="70">
        <v>44228</v>
      </c>
      <c r="C31" s="45" t="s">
        <v>547</v>
      </c>
      <c r="D31" s="72" t="s">
        <v>990</v>
      </c>
      <c r="E31" s="72" t="s">
        <v>1064</v>
      </c>
      <c r="F31" s="48" t="s">
        <v>549</v>
      </c>
      <c r="G31" s="48" t="s">
        <v>550</v>
      </c>
      <c r="H31" s="48" t="s">
        <v>551</v>
      </c>
      <c r="I31" s="48" t="s">
        <v>667</v>
      </c>
      <c r="J31" s="48" t="s">
        <v>552</v>
      </c>
      <c r="K31" s="48" t="s">
        <v>39</v>
      </c>
      <c r="L31" s="49" t="s">
        <v>40</v>
      </c>
      <c r="M31" s="49">
        <v>17</v>
      </c>
      <c r="N31" s="50">
        <f t="shared" si="6"/>
        <v>300</v>
      </c>
      <c r="O31" s="51">
        <v>450</v>
      </c>
      <c r="P31" s="50" t="str">
        <f t="shared" si="8"/>
        <v>OK</v>
      </c>
      <c r="Q31" s="70"/>
      <c r="R31" s="51"/>
      <c r="S31" s="52" t="str">
        <f t="shared" si="5"/>
        <v/>
      </c>
      <c r="T31" s="52" t="str">
        <f t="shared" si="9"/>
        <v/>
      </c>
      <c r="U31" s="46">
        <v>44239</v>
      </c>
      <c r="V31" s="50">
        <f t="shared" si="3"/>
        <v>450</v>
      </c>
      <c r="W31" s="53">
        <f t="shared" si="4"/>
        <v>0</v>
      </c>
    </row>
    <row r="32" spans="1:23" ht="51" x14ac:dyDescent="0.25">
      <c r="A32" s="35" t="s">
        <v>122</v>
      </c>
      <c r="B32" s="69">
        <v>44225</v>
      </c>
      <c r="C32" s="35" t="s">
        <v>553</v>
      </c>
      <c r="D32" s="73" t="s">
        <v>991</v>
      </c>
      <c r="E32" s="73" t="s">
        <v>1064</v>
      </c>
      <c r="F32" s="38" t="s">
        <v>555</v>
      </c>
      <c r="G32" s="38" t="s">
        <v>556</v>
      </c>
      <c r="H32" s="38" t="s">
        <v>557</v>
      </c>
      <c r="I32" s="38" t="s">
        <v>558</v>
      </c>
      <c r="J32" s="38" t="s">
        <v>559</v>
      </c>
      <c r="K32" s="38" t="s">
        <v>16</v>
      </c>
      <c r="L32" s="38" t="s">
        <v>17</v>
      </c>
      <c r="M32" s="38">
        <v>6</v>
      </c>
      <c r="N32" s="40">
        <f t="shared" si="6"/>
        <v>430</v>
      </c>
      <c r="O32" s="41">
        <v>1850</v>
      </c>
      <c r="P32" s="42" t="str">
        <f t="shared" si="8"/>
        <v>OK</v>
      </c>
      <c r="Q32" s="69"/>
      <c r="R32" s="41"/>
      <c r="S32" s="42" t="str">
        <f t="shared" si="5"/>
        <v/>
      </c>
      <c r="T32" s="42" t="str">
        <f t="shared" si="9"/>
        <v/>
      </c>
      <c r="U32" s="36">
        <v>44295</v>
      </c>
      <c r="V32" s="40">
        <f t="shared" si="3"/>
        <v>1850</v>
      </c>
      <c r="W32" s="43">
        <f t="shared" si="4"/>
        <v>0</v>
      </c>
    </row>
    <row r="33" spans="1:23" ht="25.5" x14ac:dyDescent="0.25">
      <c r="A33" s="45" t="s">
        <v>123</v>
      </c>
      <c r="B33" s="70">
        <v>44238</v>
      </c>
      <c r="C33" s="45" t="s">
        <v>560</v>
      </c>
      <c r="D33" s="72" t="s">
        <v>992</v>
      </c>
      <c r="E33" s="72" t="s">
        <v>1064</v>
      </c>
      <c r="F33" s="48" t="s">
        <v>562</v>
      </c>
      <c r="G33" s="48" t="s">
        <v>563</v>
      </c>
      <c r="H33" s="48" t="s">
        <v>564</v>
      </c>
      <c r="I33" s="48" t="s">
        <v>352</v>
      </c>
      <c r="J33" s="48" t="s">
        <v>566</v>
      </c>
      <c r="K33" s="49" t="s">
        <v>39</v>
      </c>
      <c r="L33" s="49" t="s">
        <v>40</v>
      </c>
      <c r="M33" s="49">
        <v>17</v>
      </c>
      <c r="N33" s="50">
        <f t="shared" si="6"/>
        <v>300</v>
      </c>
      <c r="O33" s="51">
        <v>300</v>
      </c>
      <c r="P33" s="50" t="str">
        <f t="shared" si="8"/>
        <v>OK</v>
      </c>
      <c r="Q33" s="70"/>
      <c r="R33" s="51"/>
      <c r="S33" s="52" t="str">
        <f t="shared" si="5"/>
        <v/>
      </c>
      <c r="T33" s="52" t="str">
        <f t="shared" si="9"/>
        <v/>
      </c>
      <c r="U33" s="46">
        <v>44299</v>
      </c>
      <c r="V33" s="50">
        <f t="shared" si="3"/>
        <v>300</v>
      </c>
      <c r="W33" s="53">
        <f t="shared" si="4"/>
        <v>0</v>
      </c>
    </row>
    <row r="34" spans="1:23" ht="38.25" x14ac:dyDescent="0.25">
      <c r="A34" s="35" t="s">
        <v>124</v>
      </c>
      <c r="B34" s="69">
        <v>43510</v>
      </c>
      <c r="C34" s="35" t="s">
        <v>567</v>
      </c>
      <c r="D34" s="107" t="s">
        <v>568</v>
      </c>
      <c r="E34" s="107" t="s">
        <v>1074</v>
      </c>
      <c r="F34" s="38" t="s">
        <v>569</v>
      </c>
      <c r="G34" s="38" t="s">
        <v>570</v>
      </c>
      <c r="H34" s="38" t="s">
        <v>571</v>
      </c>
      <c r="I34" s="38" t="s">
        <v>572</v>
      </c>
      <c r="J34" s="38" t="s">
        <v>573</v>
      </c>
      <c r="K34" s="38" t="s">
        <v>31</v>
      </c>
      <c r="L34" s="39" t="s">
        <v>29</v>
      </c>
      <c r="M34" s="39">
        <v>15</v>
      </c>
      <c r="N34" s="40">
        <f t="shared" si="6"/>
        <v>370</v>
      </c>
      <c r="O34" s="41">
        <v>200</v>
      </c>
      <c r="P34" s="42" t="str">
        <f t="shared" si="8"/>
        <v>OK</v>
      </c>
      <c r="Q34" s="69"/>
      <c r="R34" s="41"/>
      <c r="S34" s="42" t="str">
        <f t="shared" si="5"/>
        <v/>
      </c>
      <c r="T34" s="42" t="str">
        <f t="shared" si="9"/>
        <v/>
      </c>
      <c r="U34" s="36">
        <v>44301</v>
      </c>
      <c r="V34" s="40">
        <f t="shared" si="3"/>
        <v>200</v>
      </c>
      <c r="W34" s="43">
        <f t="shared" si="4"/>
        <v>0</v>
      </c>
    </row>
    <row r="35" spans="1:23" ht="25.5" x14ac:dyDescent="0.25">
      <c r="A35" s="45" t="s">
        <v>125</v>
      </c>
      <c r="B35" s="70">
        <v>44301</v>
      </c>
      <c r="C35" s="45" t="s">
        <v>574</v>
      </c>
      <c r="D35" s="72" t="s">
        <v>575</v>
      </c>
      <c r="E35" s="72" t="s">
        <v>1069</v>
      </c>
      <c r="F35" s="48" t="s">
        <v>576</v>
      </c>
      <c r="G35" s="48" t="s">
        <v>577</v>
      </c>
      <c r="H35" s="48" t="s">
        <v>578</v>
      </c>
      <c r="I35" s="48" t="s">
        <v>579</v>
      </c>
      <c r="J35" s="49" t="s">
        <v>580</v>
      </c>
      <c r="K35" s="48" t="s">
        <v>39</v>
      </c>
      <c r="L35" s="49" t="s">
        <v>40</v>
      </c>
      <c r="M35" s="49">
        <v>17</v>
      </c>
      <c r="N35" s="50">
        <f t="shared" si="6"/>
        <v>300</v>
      </c>
      <c r="O35" s="51">
        <v>300</v>
      </c>
      <c r="P35" s="50" t="str">
        <f t="shared" si="8"/>
        <v>OK</v>
      </c>
      <c r="Q35" s="70"/>
      <c r="R35" s="51"/>
      <c r="S35" s="52" t="str">
        <f t="shared" si="5"/>
        <v/>
      </c>
      <c r="T35" s="52" t="str">
        <f t="shared" si="9"/>
        <v/>
      </c>
      <c r="U35" s="46">
        <v>44302</v>
      </c>
      <c r="V35" s="50">
        <f t="shared" si="3"/>
        <v>300</v>
      </c>
      <c r="W35" s="53">
        <f t="shared" si="4"/>
        <v>0</v>
      </c>
    </row>
    <row r="36" spans="1:23" ht="25.5" x14ac:dyDescent="0.25">
      <c r="A36" s="35" t="s">
        <v>127</v>
      </c>
      <c r="B36" s="69">
        <v>44306</v>
      </c>
      <c r="C36" s="35" t="s">
        <v>581</v>
      </c>
      <c r="D36" s="73" t="s">
        <v>993</v>
      </c>
      <c r="E36" s="73" t="s">
        <v>1080</v>
      </c>
      <c r="F36" s="38" t="s">
        <v>584</v>
      </c>
      <c r="G36" s="38" t="s">
        <v>583</v>
      </c>
      <c r="H36" s="38" t="s">
        <v>585</v>
      </c>
      <c r="I36" s="38" t="s">
        <v>586</v>
      </c>
      <c r="J36" s="38" t="s">
        <v>587</v>
      </c>
      <c r="K36" s="38" t="s">
        <v>5</v>
      </c>
      <c r="L36" s="39" t="s">
        <v>14</v>
      </c>
      <c r="M36" s="39">
        <v>5</v>
      </c>
      <c r="N36" s="40">
        <f t="shared" si="6"/>
        <v>370</v>
      </c>
      <c r="O36" s="41">
        <v>200</v>
      </c>
      <c r="P36" s="42" t="str">
        <f t="shared" si="8"/>
        <v>OK</v>
      </c>
      <c r="Q36" s="69"/>
      <c r="R36" s="41"/>
      <c r="S36" s="42" t="str">
        <f t="shared" si="5"/>
        <v/>
      </c>
      <c r="T36" s="42" t="str">
        <f t="shared" si="9"/>
        <v/>
      </c>
      <c r="U36" s="36">
        <v>44306</v>
      </c>
      <c r="V36" s="40">
        <f t="shared" si="3"/>
        <v>200</v>
      </c>
      <c r="W36" s="43">
        <f t="shared" si="4"/>
        <v>0</v>
      </c>
    </row>
    <row r="37" spans="1:23" ht="38.25" x14ac:dyDescent="0.25">
      <c r="A37" s="45" t="s">
        <v>128</v>
      </c>
      <c r="B37" s="70">
        <v>44308</v>
      </c>
      <c r="C37" s="45" t="s">
        <v>588</v>
      </c>
      <c r="D37" s="72" t="s">
        <v>994</v>
      </c>
      <c r="E37" s="72" t="s">
        <v>1064</v>
      </c>
      <c r="F37" s="48" t="s">
        <v>589</v>
      </c>
      <c r="G37" s="48" t="s">
        <v>590</v>
      </c>
      <c r="H37" s="48" t="s">
        <v>591</v>
      </c>
      <c r="I37" s="48" t="s">
        <v>592</v>
      </c>
      <c r="J37" s="48" t="s">
        <v>593</v>
      </c>
      <c r="K37" s="48" t="s">
        <v>16</v>
      </c>
      <c r="L37" s="48" t="s">
        <v>594</v>
      </c>
      <c r="M37" s="49">
        <v>9</v>
      </c>
      <c r="N37" s="50">
        <f t="shared" si="6"/>
        <v>700</v>
      </c>
      <c r="O37" s="51">
        <v>700</v>
      </c>
      <c r="P37" s="50" t="str">
        <f t="shared" si="8"/>
        <v>OK</v>
      </c>
      <c r="Q37" s="70"/>
      <c r="R37" s="51"/>
      <c r="S37" s="52" t="str">
        <f t="shared" si="5"/>
        <v/>
      </c>
      <c r="T37" s="52" t="str">
        <f t="shared" si="9"/>
        <v/>
      </c>
      <c r="U37" s="46">
        <v>44308</v>
      </c>
      <c r="V37" s="50">
        <f t="shared" si="3"/>
        <v>700</v>
      </c>
      <c r="W37" s="53">
        <f t="shared" si="4"/>
        <v>0</v>
      </c>
    </row>
    <row r="38" spans="1:23" ht="63.75" x14ac:dyDescent="0.25">
      <c r="A38" s="35" t="s">
        <v>129</v>
      </c>
      <c r="B38" s="69">
        <v>44308</v>
      </c>
      <c r="C38" s="35" t="s">
        <v>595</v>
      </c>
      <c r="D38" s="73" t="s">
        <v>994</v>
      </c>
      <c r="E38" s="73" t="s">
        <v>1064</v>
      </c>
      <c r="F38" s="38" t="s">
        <v>596</v>
      </c>
      <c r="G38" s="38" t="s">
        <v>597</v>
      </c>
      <c r="H38" s="38" t="s">
        <v>598</v>
      </c>
      <c r="I38" s="38" t="s">
        <v>599</v>
      </c>
      <c r="J38" s="38" t="s">
        <v>600</v>
      </c>
      <c r="K38" s="38" t="s">
        <v>16</v>
      </c>
      <c r="L38" s="39" t="s">
        <v>29</v>
      </c>
      <c r="M38" s="39">
        <v>12</v>
      </c>
      <c r="N38" s="40">
        <f t="shared" si="6"/>
        <v>370</v>
      </c>
      <c r="O38" s="41">
        <v>300</v>
      </c>
      <c r="P38" s="42" t="str">
        <f t="shared" si="8"/>
        <v>OK</v>
      </c>
      <c r="Q38" s="69"/>
      <c r="R38" s="41"/>
      <c r="S38" s="42" t="str">
        <f t="shared" si="5"/>
        <v/>
      </c>
      <c r="T38" s="42" t="str">
        <f t="shared" si="9"/>
        <v/>
      </c>
      <c r="U38" s="36">
        <v>44308</v>
      </c>
      <c r="V38" s="40">
        <f t="shared" si="3"/>
        <v>300</v>
      </c>
      <c r="W38" s="43">
        <f t="shared" si="4"/>
        <v>0</v>
      </c>
    </row>
    <row r="39" spans="1:23" ht="38.25" x14ac:dyDescent="0.25">
      <c r="A39" s="45" t="s">
        <v>130</v>
      </c>
      <c r="B39" s="70">
        <v>43636</v>
      </c>
      <c r="C39" s="45" t="s">
        <v>601</v>
      </c>
      <c r="D39" s="72" t="s">
        <v>575</v>
      </c>
      <c r="E39" s="72" t="s">
        <v>1069</v>
      </c>
      <c r="F39" s="48" t="s">
        <v>602</v>
      </c>
      <c r="G39" s="48" t="s">
        <v>603</v>
      </c>
      <c r="H39" s="48" t="s">
        <v>604</v>
      </c>
      <c r="I39" s="48" t="s">
        <v>605</v>
      </c>
      <c r="J39" s="48" t="s">
        <v>606</v>
      </c>
      <c r="K39" s="48" t="s">
        <v>31</v>
      </c>
      <c r="L39" s="48" t="s">
        <v>32</v>
      </c>
      <c r="M39" s="49">
        <v>13</v>
      </c>
      <c r="N39" s="50">
        <f t="shared" si="6"/>
        <v>370</v>
      </c>
      <c r="O39" s="51">
        <v>300</v>
      </c>
      <c r="P39" s="50" t="str">
        <f t="shared" si="8"/>
        <v>OK</v>
      </c>
      <c r="Q39" s="70"/>
      <c r="R39" s="51"/>
      <c r="S39" s="52" t="str">
        <f t="shared" si="5"/>
        <v/>
      </c>
      <c r="T39" s="52" t="str">
        <f t="shared" si="9"/>
        <v/>
      </c>
      <c r="U39" s="46">
        <v>44315</v>
      </c>
      <c r="V39" s="50">
        <f t="shared" si="3"/>
        <v>300</v>
      </c>
      <c r="W39" s="53">
        <f t="shared" si="4"/>
        <v>0</v>
      </c>
    </row>
    <row r="40" spans="1:23" ht="51" x14ac:dyDescent="0.25">
      <c r="A40" s="35" t="s">
        <v>131</v>
      </c>
      <c r="B40" s="69">
        <v>43796</v>
      </c>
      <c r="C40" s="35" t="s">
        <v>607</v>
      </c>
      <c r="D40" s="73" t="s">
        <v>989</v>
      </c>
      <c r="E40" s="73" t="s">
        <v>1064</v>
      </c>
      <c r="F40" s="38" t="s">
        <v>609</v>
      </c>
      <c r="G40" s="38" t="s">
        <v>610</v>
      </c>
      <c r="H40" s="38" t="s">
        <v>611</v>
      </c>
      <c r="I40" s="38" t="s">
        <v>478</v>
      </c>
      <c r="J40" s="38" t="s">
        <v>479</v>
      </c>
      <c r="K40" s="39" t="s">
        <v>432</v>
      </c>
      <c r="L40" s="39" t="s">
        <v>480</v>
      </c>
      <c r="M40" s="39">
        <v>1</v>
      </c>
      <c r="N40" s="40">
        <f t="shared" si="6"/>
        <v>300</v>
      </c>
      <c r="O40" s="41">
        <v>300</v>
      </c>
      <c r="P40" s="42" t="str">
        <f t="shared" si="8"/>
        <v>OK</v>
      </c>
      <c r="Q40" s="69"/>
      <c r="R40" s="41"/>
      <c r="S40" s="42" t="str">
        <f t="shared" si="5"/>
        <v/>
      </c>
      <c r="T40" s="42" t="str">
        <f t="shared" si="9"/>
        <v/>
      </c>
      <c r="U40" s="36">
        <v>44315</v>
      </c>
      <c r="V40" s="40">
        <f t="shared" si="3"/>
        <v>300</v>
      </c>
      <c r="W40" s="43">
        <f t="shared" si="4"/>
        <v>0</v>
      </c>
    </row>
    <row r="41" spans="1:23" ht="25.5" x14ac:dyDescent="0.25">
      <c r="A41" s="45" t="s">
        <v>132</v>
      </c>
      <c r="B41" s="70">
        <v>43082</v>
      </c>
      <c r="C41" s="45" t="s">
        <v>613</v>
      </c>
      <c r="D41" s="72" t="s">
        <v>995</v>
      </c>
      <c r="E41" s="72" t="s">
        <v>1064</v>
      </c>
      <c r="F41" s="48" t="s">
        <v>614</v>
      </c>
      <c r="G41" s="48" t="s">
        <v>615</v>
      </c>
      <c r="H41" s="49" t="s">
        <v>616</v>
      </c>
      <c r="I41" s="48" t="s">
        <v>617</v>
      </c>
      <c r="J41" s="49" t="s">
        <v>618</v>
      </c>
      <c r="K41" s="48" t="s">
        <v>39</v>
      </c>
      <c r="L41" s="49" t="s">
        <v>40</v>
      </c>
      <c r="M41" s="49">
        <v>17</v>
      </c>
      <c r="N41" s="50">
        <f t="shared" si="6"/>
        <v>300</v>
      </c>
      <c r="O41" s="51">
        <v>442.93</v>
      </c>
      <c r="P41" s="50" t="str">
        <f t="shared" si="8"/>
        <v>OK</v>
      </c>
      <c r="Q41" s="70"/>
      <c r="R41" s="51"/>
      <c r="S41" s="52" t="str">
        <f t="shared" si="5"/>
        <v/>
      </c>
      <c r="T41" s="52" t="str">
        <f t="shared" si="9"/>
        <v/>
      </c>
      <c r="U41" s="46">
        <v>44321</v>
      </c>
      <c r="V41" s="50">
        <f t="shared" si="3"/>
        <v>442.93</v>
      </c>
      <c r="W41" s="53">
        <f t="shared" si="4"/>
        <v>0</v>
      </c>
    </row>
    <row r="42" spans="1:23" ht="38.25" x14ac:dyDescent="0.25">
      <c r="A42" s="35" t="s">
        <v>133</v>
      </c>
      <c r="B42" s="69">
        <v>43509</v>
      </c>
      <c r="C42" s="35" t="s">
        <v>619</v>
      </c>
      <c r="D42" s="73" t="s">
        <v>996</v>
      </c>
      <c r="E42" s="73" t="s">
        <v>1064</v>
      </c>
      <c r="F42" s="38" t="s">
        <v>621</v>
      </c>
      <c r="G42" s="38" t="s">
        <v>622</v>
      </c>
      <c r="H42" s="38" t="s">
        <v>623</v>
      </c>
      <c r="I42" s="38" t="s">
        <v>624</v>
      </c>
      <c r="J42" s="38" t="s">
        <v>625</v>
      </c>
      <c r="K42" s="38" t="s">
        <v>16</v>
      </c>
      <c r="L42" s="39" t="s">
        <v>594</v>
      </c>
      <c r="M42" s="39">
        <v>12</v>
      </c>
      <c r="N42" s="40">
        <f t="shared" si="6"/>
        <v>370</v>
      </c>
      <c r="O42" s="41">
        <v>954</v>
      </c>
      <c r="P42" s="42" t="str">
        <f t="shared" si="8"/>
        <v>OK</v>
      </c>
      <c r="Q42" s="69"/>
      <c r="R42" s="41"/>
      <c r="S42" s="42" t="str">
        <f t="shared" si="5"/>
        <v/>
      </c>
      <c r="T42" s="42" t="str">
        <f t="shared" si="9"/>
        <v/>
      </c>
      <c r="U42" s="36">
        <v>44323</v>
      </c>
      <c r="V42" s="40">
        <f t="shared" si="3"/>
        <v>954</v>
      </c>
      <c r="W42" s="43">
        <f t="shared" si="4"/>
        <v>0</v>
      </c>
    </row>
    <row r="43" spans="1:23" ht="51" x14ac:dyDescent="0.25">
      <c r="A43" s="45" t="s">
        <v>134</v>
      </c>
      <c r="B43" s="70">
        <v>43882</v>
      </c>
      <c r="C43" s="45" t="s">
        <v>626</v>
      </c>
      <c r="D43" s="72" t="s">
        <v>997</v>
      </c>
      <c r="E43" s="72" t="s">
        <v>1064</v>
      </c>
      <c r="F43" s="48" t="s">
        <v>628</v>
      </c>
      <c r="G43" s="48" t="s">
        <v>629</v>
      </c>
      <c r="H43" s="48" t="s">
        <v>630</v>
      </c>
      <c r="I43" s="48" t="s">
        <v>632</v>
      </c>
      <c r="J43" s="48" t="s">
        <v>631</v>
      </c>
      <c r="K43" s="49" t="s">
        <v>432</v>
      </c>
      <c r="L43" s="49" t="s">
        <v>480</v>
      </c>
      <c r="M43" s="49">
        <v>1</v>
      </c>
      <c r="N43" s="50">
        <f t="shared" si="6"/>
        <v>300</v>
      </c>
      <c r="O43" s="51">
        <v>300</v>
      </c>
      <c r="P43" s="50" t="str">
        <f t="shared" si="8"/>
        <v>OK</v>
      </c>
      <c r="Q43" s="70"/>
      <c r="R43" s="51"/>
      <c r="S43" s="52" t="str">
        <f t="shared" si="5"/>
        <v/>
      </c>
      <c r="T43" s="52" t="str">
        <f t="shared" si="9"/>
        <v/>
      </c>
      <c r="U43" s="46">
        <v>44323</v>
      </c>
      <c r="V43" s="50">
        <f t="shared" si="3"/>
        <v>300</v>
      </c>
      <c r="W43" s="53">
        <f t="shared" si="4"/>
        <v>0</v>
      </c>
    </row>
    <row r="44" spans="1:23" ht="25.5" x14ac:dyDescent="0.25">
      <c r="A44" s="35" t="s">
        <v>135</v>
      </c>
      <c r="B44" s="69">
        <v>43698</v>
      </c>
      <c r="C44" s="35" t="s">
        <v>633</v>
      </c>
      <c r="D44" s="73" t="s">
        <v>992</v>
      </c>
      <c r="E44" s="73" t="s">
        <v>1064</v>
      </c>
      <c r="F44" s="38" t="s">
        <v>634</v>
      </c>
      <c r="G44" s="38" t="s">
        <v>635</v>
      </c>
      <c r="H44" s="38" t="s">
        <v>636</v>
      </c>
      <c r="I44" s="38" t="s">
        <v>637</v>
      </c>
      <c r="J44" s="38" t="s">
        <v>638</v>
      </c>
      <c r="K44" s="39" t="s">
        <v>39</v>
      </c>
      <c r="L44" s="39" t="s">
        <v>40</v>
      </c>
      <c r="M44" s="39">
        <v>17</v>
      </c>
      <c r="N44" s="40">
        <f t="shared" si="6"/>
        <v>300</v>
      </c>
      <c r="O44" s="41">
        <v>300</v>
      </c>
      <c r="P44" s="42" t="str">
        <f t="shared" si="8"/>
        <v>OK</v>
      </c>
      <c r="Q44" s="69"/>
      <c r="R44" s="41"/>
      <c r="S44" s="42" t="str">
        <f t="shared" si="5"/>
        <v/>
      </c>
      <c r="T44" s="42" t="str">
        <f t="shared" si="9"/>
        <v/>
      </c>
      <c r="U44" s="36">
        <v>44326</v>
      </c>
      <c r="V44" s="40">
        <f t="shared" si="3"/>
        <v>300</v>
      </c>
      <c r="W44" s="43">
        <f t="shared" si="4"/>
        <v>0</v>
      </c>
    </row>
    <row r="45" spans="1:23" ht="38.25" x14ac:dyDescent="0.25">
      <c r="A45" s="45" t="s">
        <v>136</v>
      </c>
      <c r="B45" s="70">
        <v>44125</v>
      </c>
      <c r="C45" s="45" t="s">
        <v>639</v>
      </c>
      <c r="D45" s="72" t="s">
        <v>998</v>
      </c>
      <c r="E45" s="72" t="s">
        <v>1064</v>
      </c>
      <c r="F45" s="48" t="s">
        <v>641</v>
      </c>
      <c r="G45" s="48" t="s">
        <v>642</v>
      </c>
      <c r="H45" s="48" t="s">
        <v>643</v>
      </c>
      <c r="I45" s="48" t="s">
        <v>644</v>
      </c>
      <c r="J45" s="48" t="s">
        <v>645</v>
      </c>
      <c r="K45" s="49" t="s">
        <v>39</v>
      </c>
      <c r="L45" s="49" t="s">
        <v>40</v>
      </c>
      <c r="M45" s="49">
        <v>17</v>
      </c>
      <c r="N45" s="50">
        <f t="shared" si="6"/>
        <v>300</v>
      </c>
      <c r="O45" s="51">
        <v>300</v>
      </c>
      <c r="P45" s="50" t="str">
        <f t="shared" si="8"/>
        <v>OK</v>
      </c>
      <c r="Q45" s="70"/>
      <c r="R45" s="51"/>
      <c r="S45" s="52" t="str">
        <f t="shared" si="5"/>
        <v/>
      </c>
      <c r="T45" s="52" t="str">
        <f t="shared" si="9"/>
        <v/>
      </c>
      <c r="U45" s="46">
        <v>44326</v>
      </c>
      <c r="V45" s="50">
        <f t="shared" si="3"/>
        <v>300</v>
      </c>
      <c r="W45" s="53">
        <f t="shared" si="4"/>
        <v>0</v>
      </c>
    </row>
    <row r="46" spans="1:23" ht="89.25" x14ac:dyDescent="0.25">
      <c r="A46" s="35" t="s">
        <v>137</v>
      </c>
      <c r="B46" s="69">
        <v>43805</v>
      </c>
      <c r="C46" s="35" t="s">
        <v>646</v>
      </c>
      <c r="D46" s="73" t="s">
        <v>989</v>
      </c>
      <c r="E46" s="73" t="s">
        <v>1064</v>
      </c>
      <c r="F46" s="38" t="s">
        <v>647</v>
      </c>
      <c r="G46" s="38" t="s">
        <v>648</v>
      </c>
      <c r="H46" s="38" t="s">
        <v>649</v>
      </c>
      <c r="I46" s="38" t="s">
        <v>389</v>
      </c>
      <c r="J46" s="38" t="s">
        <v>385</v>
      </c>
      <c r="K46" s="38" t="s">
        <v>16</v>
      </c>
      <c r="L46" s="38" t="s">
        <v>21</v>
      </c>
      <c r="M46" s="39">
        <v>8</v>
      </c>
      <c r="N46" s="40">
        <f t="shared" si="6"/>
        <v>370</v>
      </c>
      <c r="O46" s="41">
        <v>370</v>
      </c>
      <c r="P46" s="42" t="str">
        <f t="shared" si="8"/>
        <v>OK</v>
      </c>
      <c r="Q46" s="69"/>
      <c r="R46" s="41"/>
      <c r="S46" s="42" t="str">
        <f t="shared" si="5"/>
        <v/>
      </c>
      <c r="T46" s="42" t="str">
        <f t="shared" si="9"/>
        <v/>
      </c>
      <c r="U46" s="36">
        <v>44326</v>
      </c>
      <c r="V46" s="40">
        <f t="shared" si="3"/>
        <v>370</v>
      </c>
      <c r="W46" s="43">
        <f t="shared" si="4"/>
        <v>0</v>
      </c>
    </row>
    <row r="47" spans="1:23" ht="63.75" x14ac:dyDescent="0.25">
      <c r="A47" s="45" t="s">
        <v>138</v>
      </c>
      <c r="B47" s="70">
        <v>43907</v>
      </c>
      <c r="C47" s="45" t="s">
        <v>651</v>
      </c>
      <c r="D47" s="72" t="s">
        <v>652</v>
      </c>
      <c r="E47" s="72" t="s">
        <v>1068</v>
      </c>
      <c r="F47" s="48" t="s">
        <v>653</v>
      </c>
      <c r="G47" s="48" t="s">
        <v>656</v>
      </c>
      <c r="H47" s="49" t="s">
        <v>657</v>
      </c>
      <c r="I47" s="48" t="s">
        <v>746</v>
      </c>
      <c r="J47" s="49" t="s">
        <v>655</v>
      </c>
      <c r="K47" s="48" t="s">
        <v>16</v>
      </c>
      <c r="L47" s="48" t="s">
        <v>27</v>
      </c>
      <c r="M47" s="49">
        <v>11</v>
      </c>
      <c r="N47" s="50">
        <f t="shared" si="6"/>
        <v>370</v>
      </c>
      <c r="O47" s="51">
        <v>370</v>
      </c>
      <c r="P47" s="50" t="str">
        <f t="shared" si="8"/>
        <v>OK</v>
      </c>
      <c r="Q47" s="70"/>
      <c r="R47" s="51"/>
      <c r="S47" s="52" t="str">
        <f t="shared" si="5"/>
        <v/>
      </c>
      <c r="T47" s="52" t="str">
        <f t="shared" si="9"/>
        <v/>
      </c>
      <c r="U47" s="46">
        <v>44329</v>
      </c>
      <c r="V47" s="50">
        <f t="shared" si="3"/>
        <v>370</v>
      </c>
      <c r="W47" s="53">
        <f t="shared" si="4"/>
        <v>0</v>
      </c>
    </row>
    <row r="48" spans="1:23" ht="25.5" x14ac:dyDescent="0.25">
      <c r="A48" s="35" t="s">
        <v>139</v>
      </c>
      <c r="B48" s="69">
        <v>44042</v>
      </c>
      <c r="C48" s="35" t="s">
        <v>658</v>
      </c>
      <c r="D48" s="73" t="s">
        <v>659</v>
      </c>
      <c r="E48" s="73" t="s">
        <v>1073</v>
      </c>
      <c r="F48" s="38" t="s">
        <v>660</v>
      </c>
      <c r="G48" s="38" t="s">
        <v>661</v>
      </c>
      <c r="H48" s="38" t="s">
        <v>662</v>
      </c>
      <c r="I48" s="38" t="s">
        <v>320</v>
      </c>
      <c r="J48" s="38" t="s">
        <v>317</v>
      </c>
      <c r="K48" s="38" t="s">
        <v>16</v>
      </c>
      <c r="L48" s="39" t="s">
        <v>27</v>
      </c>
      <c r="M48" s="39">
        <v>11</v>
      </c>
      <c r="N48" s="40">
        <f t="shared" si="6"/>
        <v>370</v>
      </c>
      <c r="O48" s="41">
        <v>370</v>
      </c>
      <c r="P48" s="42" t="str">
        <f t="shared" si="8"/>
        <v>OK</v>
      </c>
      <c r="Q48" s="69"/>
      <c r="R48" s="41"/>
      <c r="S48" s="42" t="str">
        <f t="shared" si="5"/>
        <v/>
      </c>
      <c r="T48" s="42" t="str">
        <f t="shared" si="9"/>
        <v/>
      </c>
      <c r="U48" s="36">
        <v>44329</v>
      </c>
      <c r="V48" s="40">
        <f t="shared" si="3"/>
        <v>370</v>
      </c>
      <c r="W48" s="43">
        <f t="shared" si="4"/>
        <v>0</v>
      </c>
    </row>
    <row r="49" spans="1:23" ht="25.5" x14ac:dyDescent="0.25">
      <c r="A49" s="45" t="s">
        <v>140</v>
      </c>
      <c r="B49" s="70">
        <v>43878</v>
      </c>
      <c r="C49" s="45" t="s">
        <v>663</v>
      </c>
      <c r="D49" s="72" t="s">
        <v>990</v>
      </c>
      <c r="E49" s="72" t="s">
        <v>1064</v>
      </c>
      <c r="F49" s="48" t="s">
        <v>664</v>
      </c>
      <c r="G49" s="48" t="s">
        <v>665</v>
      </c>
      <c r="H49" s="48" t="s">
        <v>666</v>
      </c>
      <c r="I49" s="48" t="s">
        <v>667</v>
      </c>
      <c r="J49" s="48" t="s">
        <v>668</v>
      </c>
      <c r="K49" s="49" t="s">
        <v>39</v>
      </c>
      <c r="L49" s="49" t="s">
        <v>40</v>
      </c>
      <c r="M49" s="49">
        <v>17</v>
      </c>
      <c r="N49" s="50">
        <f t="shared" si="6"/>
        <v>300</v>
      </c>
      <c r="O49" s="51">
        <v>450</v>
      </c>
      <c r="P49" s="50" t="str">
        <f t="shared" si="8"/>
        <v>OK</v>
      </c>
      <c r="Q49" s="70"/>
      <c r="R49" s="51"/>
      <c r="S49" s="52" t="str">
        <f t="shared" si="5"/>
        <v/>
      </c>
      <c r="T49" s="52" t="str">
        <f t="shared" si="9"/>
        <v/>
      </c>
      <c r="U49" s="46">
        <v>44330</v>
      </c>
      <c r="V49" s="50">
        <f t="shared" si="3"/>
        <v>450</v>
      </c>
      <c r="W49" s="53">
        <f t="shared" si="4"/>
        <v>0</v>
      </c>
    </row>
    <row r="50" spans="1:23" ht="38.25" x14ac:dyDescent="0.25">
      <c r="A50" s="35" t="s">
        <v>141</v>
      </c>
      <c r="B50" s="69">
        <v>44083</v>
      </c>
      <c r="C50" s="35" t="s">
        <v>669</v>
      </c>
      <c r="D50" s="73" t="s">
        <v>990</v>
      </c>
      <c r="E50" s="73" t="s">
        <v>1064</v>
      </c>
      <c r="F50" s="38" t="s">
        <v>670</v>
      </c>
      <c r="G50" s="38" t="s">
        <v>671</v>
      </c>
      <c r="H50" s="38" t="s">
        <v>672</v>
      </c>
      <c r="I50" s="38" t="s">
        <v>667</v>
      </c>
      <c r="J50" s="38" t="s">
        <v>668</v>
      </c>
      <c r="K50" s="39" t="s">
        <v>39</v>
      </c>
      <c r="L50" s="39" t="s">
        <v>40</v>
      </c>
      <c r="M50" s="39">
        <v>17</v>
      </c>
      <c r="N50" s="40">
        <f t="shared" si="6"/>
        <v>300</v>
      </c>
      <c r="O50" s="41">
        <v>450</v>
      </c>
      <c r="P50" s="42" t="str">
        <f t="shared" si="8"/>
        <v>OK</v>
      </c>
      <c r="Q50" s="69"/>
      <c r="R50" s="41"/>
      <c r="S50" s="42" t="str">
        <f t="shared" si="5"/>
        <v/>
      </c>
      <c r="T50" s="42" t="str">
        <f t="shared" si="9"/>
        <v/>
      </c>
      <c r="U50" s="36">
        <v>44330</v>
      </c>
      <c r="V50" s="40">
        <f t="shared" si="3"/>
        <v>450</v>
      </c>
      <c r="W50" s="43">
        <f t="shared" si="4"/>
        <v>0</v>
      </c>
    </row>
    <row r="51" spans="1:23" ht="25.5" x14ac:dyDescent="0.25">
      <c r="A51" s="45" t="s">
        <v>142</v>
      </c>
      <c r="B51" s="70">
        <v>43851</v>
      </c>
      <c r="C51" s="45" t="s">
        <v>674</v>
      </c>
      <c r="D51" s="72" t="s">
        <v>990</v>
      </c>
      <c r="E51" s="72" t="s">
        <v>1064</v>
      </c>
      <c r="F51" s="48" t="s">
        <v>675</v>
      </c>
      <c r="G51" s="48" t="s">
        <v>676</v>
      </c>
      <c r="H51" s="48" t="s">
        <v>677</v>
      </c>
      <c r="I51" s="48" t="s">
        <v>352</v>
      </c>
      <c r="J51" s="48" t="s">
        <v>678</v>
      </c>
      <c r="K51" s="49" t="s">
        <v>39</v>
      </c>
      <c r="L51" s="49" t="s">
        <v>40</v>
      </c>
      <c r="M51" s="49">
        <v>17</v>
      </c>
      <c r="N51" s="50">
        <f t="shared" si="6"/>
        <v>300</v>
      </c>
      <c r="O51" s="51">
        <v>450</v>
      </c>
      <c r="P51" s="50" t="str">
        <f t="shared" si="8"/>
        <v>OK</v>
      </c>
      <c r="Q51" s="70"/>
      <c r="R51" s="51"/>
      <c r="S51" s="52" t="str">
        <f t="shared" si="5"/>
        <v/>
      </c>
      <c r="T51" s="52" t="str">
        <f t="shared" si="9"/>
        <v/>
      </c>
      <c r="U51" s="46">
        <v>44330</v>
      </c>
      <c r="V51" s="50">
        <f t="shared" si="3"/>
        <v>450</v>
      </c>
      <c r="W51" s="53">
        <f t="shared" si="4"/>
        <v>0</v>
      </c>
    </row>
    <row r="52" spans="1:23" ht="25.5" x14ac:dyDescent="0.25">
      <c r="A52" s="35" t="s">
        <v>143</v>
      </c>
      <c r="B52" s="69">
        <v>44251</v>
      </c>
      <c r="C52" s="35" t="s">
        <v>680</v>
      </c>
      <c r="D52" s="73" t="s">
        <v>681</v>
      </c>
      <c r="E52" s="73" t="s">
        <v>1071</v>
      </c>
      <c r="F52" s="38" t="s">
        <v>682</v>
      </c>
      <c r="G52" s="38" t="s">
        <v>683</v>
      </c>
      <c r="H52" s="38" t="s">
        <v>684</v>
      </c>
      <c r="I52" s="38" t="s">
        <v>685</v>
      </c>
      <c r="J52" s="38" t="s">
        <v>686</v>
      </c>
      <c r="K52" s="38" t="s">
        <v>5</v>
      </c>
      <c r="L52" s="39" t="s">
        <v>8</v>
      </c>
      <c r="M52" s="39">
        <v>2</v>
      </c>
      <c r="N52" s="40">
        <f t="shared" si="6"/>
        <v>370</v>
      </c>
      <c r="O52" s="41">
        <v>1164</v>
      </c>
      <c r="P52" s="42" t="str">
        <f t="shared" si="8"/>
        <v>OK</v>
      </c>
      <c r="Q52" s="69"/>
      <c r="R52" s="41"/>
      <c r="S52" s="42" t="str">
        <f t="shared" si="5"/>
        <v/>
      </c>
      <c r="T52" s="42" t="str">
        <f t="shared" si="9"/>
        <v/>
      </c>
      <c r="U52" s="36">
        <v>44330</v>
      </c>
      <c r="V52" s="40">
        <f t="shared" si="3"/>
        <v>1164</v>
      </c>
      <c r="W52" s="43">
        <f t="shared" si="4"/>
        <v>0</v>
      </c>
    </row>
    <row r="53" spans="1:23" ht="25.5" x14ac:dyDescent="0.25">
      <c r="A53" s="45" t="s">
        <v>144</v>
      </c>
      <c r="B53" s="70">
        <v>44250</v>
      </c>
      <c r="C53" s="45" t="s">
        <v>687</v>
      </c>
      <c r="D53" s="72" t="s">
        <v>990</v>
      </c>
      <c r="E53" s="72" t="s">
        <v>1064</v>
      </c>
      <c r="F53" s="48" t="s">
        <v>688</v>
      </c>
      <c r="G53" s="48" t="s">
        <v>689</v>
      </c>
      <c r="H53" s="49" t="s">
        <v>690</v>
      </c>
      <c r="I53" s="48" t="s">
        <v>667</v>
      </c>
      <c r="J53" s="49" t="s">
        <v>668</v>
      </c>
      <c r="K53" s="49" t="s">
        <v>39</v>
      </c>
      <c r="L53" s="49" t="s">
        <v>40</v>
      </c>
      <c r="M53" s="49">
        <v>17</v>
      </c>
      <c r="N53" s="50">
        <f t="shared" si="6"/>
        <v>300</v>
      </c>
      <c r="O53" s="51">
        <v>450</v>
      </c>
      <c r="P53" s="50" t="str">
        <f t="shared" si="8"/>
        <v>OK</v>
      </c>
      <c r="Q53" s="70"/>
      <c r="R53" s="51"/>
      <c r="S53" s="52" t="str">
        <f t="shared" si="5"/>
        <v/>
      </c>
      <c r="T53" s="52" t="str">
        <f t="shared" si="9"/>
        <v/>
      </c>
      <c r="U53" s="46">
        <v>44330</v>
      </c>
      <c r="V53" s="50">
        <f t="shared" si="3"/>
        <v>450</v>
      </c>
      <c r="W53" s="53">
        <f t="shared" si="4"/>
        <v>0</v>
      </c>
    </row>
    <row r="54" spans="1:23" ht="25.5" x14ac:dyDescent="0.25">
      <c r="A54" s="35" t="s">
        <v>145</v>
      </c>
      <c r="B54" s="69">
        <v>44293</v>
      </c>
      <c r="C54" s="35" t="s">
        <v>691</v>
      </c>
      <c r="D54" s="73" t="s">
        <v>501</v>
      </c>
      <c r="E54" s="73" t="s">
        <v>1072</v>
      </c>
      <c r="F54" s="38" t="s">
        <v>692</v>
      </c>
      <c r="G54" s="38" t="s">
        <v>693</v>
      </c>
      <c r="H54" s="38" t="s">
        <v>694</v>
      </c>
      <c r="I54" s="38" t="s">
        <v>335</v>
      </c>
      <c r="J54" s="38" t="s">
        <v>317</v>
      </c>
      <c r="K54" s="39" t="s">
        <v>432</v>
      </c>
      <c r="L54" s="39" t="s">
        <v>447</v>
      </c>
      <c r="M54" s="39">
        <v>1</v>
      </c>
      <c r="N54" s="40">
        <f t="shared" si="6"/>
        <v>300</v>
      </c>
      <c r="O54" s="41">
        <v>1000</v>
      </c>
      <c r="P54" s="42" t="str">
        <f t="shared" si="8"/>
        <v>OK</v>
      </c>
      <c r="Q54" s="69"/>
      <c r="R54" s="41"/>
      <c r="S54" s="42" t="str">
        <f t="shared" si="5"/>
        <v/>
      </c>
      <c r="T54" s="42" t="str">
        <f t="shared" si="9"/>
        <v/>
      </c>
      <c r="U54" s="36">
        <v>44330</v>
      </c>
      <c r="V54" s="40">
        <f t="shared" si="3"/>
        <v>1000</v>
      </c>
      <c r="W54" s="43">
        <f t="shared" si="4"/>
        <v>0</v>
      </c>
    </row>
    <row r="55" spans="1:23" ht="25.5" x14ac:dyDescent="0.25">
      <c r="A55" s="45" t="s">
        <v>146</v>
      </c>
      <c r="B55" s="70">
        <v>43937</v>
      </c>
      <c r="C55" s="45" t="s">
        <v>695</v>
      </c>
      <c r="D55" s="72" t="s">
        <v>696</v>
      </c>
      <c r="E55" s="72" t="s">
        <v>1072</v>
      </c>
      <c r="F55" s="48" t="s">
        <v>699</v>
      </c>
      <c r="G55" s="48" t="s">
        <v>697</v>
      </c>
      <c r="H55" s="48" t="s">
        <v>698</v>
      </c>
      <c r="I55" s="48" t="s">
        <v>700</v>
      </c>
      <c r="J55" s="48" t="s">
        <v>701</v>
      </c>
      <c r="K55" s="49" t="s">
        <v>16</v>
      </c>
      <c r="L55" s="49" t="s">
        <v>25</v>
      </c>
      <c r="M55" s="49">
        <v>10</v>
      </c>
      <c r="N55" s="50">
        <f t="shared" si="6"/>
        <v>870</v>
      </c>
      <c r="O55" s="51">
        <v>880</v>
      </c>
      <c r="P55" s="50" t="str">
        <f t="shared" si="8"/>
        <v>OK</v>
      </c>
      <c r="Q55" s="70"/>
      <c r="R55" s="51"/>
      <c r="S55" s="52" t="str">
        <f t="shared" si="5"/>
        <v/>
      </c>
      <c r="T55" s="52" t="str">
        <f t="shared" si="9"/>
        <v/>
      </c>
      <c r="U55" s="46">
        <v>44330</v>
      </c>
      <c r="V55" s="50">
        <f t="shared" si="3"/>
        <v>880</v>
      </c>
      <c r="W55" s="53">
        <f t="shared" si="4"/>
        <v>0</v>
      </c>
    </row>
    <row r="56" spans="1:23" ht="25.5" x14ac:dyDescent="0.25">
      <c r="A56" s="35" t="s">
        <v>147</v>
      </c>
      <c r="B56" s="69">
        <v>43878</v>
      </c>
      <c r="C56" s="35" t="s">
        <v>702</v>
      </c>
      <c r="D56" s="73" t="s">
        <v>990</v>
      </c>
      <c r="E56" s="73" t="s">
        <v>1064</v>
      </c>
      <c r="F56" s="38" t="s">
        <v>703</v>
      </c>
      <c r="G56" s="38" t="s">
        <v>704</v>
      </c>
      <c r="H56" s="38" t="s">
        <v>705</v>
      </c>
      <c r="I56" s="38" t="s">
        <v>667</v>
      </c>
      <c r="J56" s="38" t="s">
        <v>668</v>
      </c>
      <c r="K56" s="39" t="s">
        <v>39</v>
      </c>
      <c r="L56" s="39" t="s">
        <v>40</v>
      </c>
      <c r="M56" s="39">
        <v>17</v>
      </c>
      <c r="N56" s="40">
        <f t="shared" si="6"/>
        <v>300</v>
      </c>
      <c r="O56" s="41">
        <v>450</v>
      </c>
      <c r="P56" s="42" t="str">
        <f t="shared" si="8"/>
        <v>OK</v>
      </c>
      <c r="Q56" s="69"/>
      <c r="R56" s="41"/>
      <c r="S56" s="42" t="str">
        <f t="shared" si="5"/>
        <v/>
      </c>
      <c r="T56" s="42" t="str">
        <f t="shared" si="9"/>
        <v/>
      </c>
      <c r="U56" s="36">
        <v>44330</v>
      </c>
      <c r="V56" s="40">
        <f t="shared" si="3"/>
        <v>450</v>
      </c>
      <c r="W56" s="43">
        <f t="shared" si="4"/>
        <v>0</v>
      </c>
    </row>
    <row r="57" spans="1:23" ht="25.5" x14ac:dyDescent="0.25">
      <c r="A57" s="45" t="s">
        <v>148</v>
      </c>
      <c r="B57" s="70">
        <v>43878</v>
      </c>
      <c r="C57" s="45" t="s">
        <v>706</v>
      </c>
      <c r="D57" s="72" t="s">
        <v>990</v>
      </c>
      <c r="E57" s="72" t="s">
        <v>1064</v>
      </c>
      <c r="F57" s="48" t="s">
        <v>707</v>
      </c>
      <c r="G57" s="48" t="s">
        <v>708</v>
      </c>
      <c r="H57" s="48" t="s">
        <v>709</v>
      </c>
      <c r="I57" s="48" t="s">
        <v>667</v>
      </c>
      <c r="J57" s="48" t="s">
        <v>668</v>
      </c>
      <c r="K57" s="49" t="s">
        <v>39</v>
      </c>
      <c r="L57" s="49" t="s">
        <v>40</v>
      </c>
      <c r="M57" s="49">
        <v>17</v>
      </c>
      <c r="N57" s="50">
        <f t="shared" si="6"/>
        <v>300</v>
      </c>
      <c r="O57" s="51">
        <v>450</v>
      </c>
      <c r="P57" s="50" t="str">
        <f t="shared" si="8"/>
        <v>OK</v>
      </c>
      <c r="Q57" s="70"/>
      <c r="R57" s="51"/>
      <c r="S57" s="52" t="str">
        <f t="shared" si="5"/>
        <v/>
      </c>
      <c r="T57" s="52" t="str">
        <f t="shared" si="9"/>
        <v/>
      </c>
      <c r="U57" s="46">
        <v>44330</v>
      </c>
      <c r="V57" s="50">
        <f t="shared" si="3"/>
        <v>450</v>
      </c>
      <c r="W57" s="53">
        <f t="shared" si="4"/>
        <v>0</v>
      </c>
    </row>
    <row r="58" spans="1:23" ht="25.5" x14ac:dyDescent="0.25">
      <c r="A58" s="35" t="s">
        <v>149</v>
      </c>
      <c r="B58" s="69">
        <v>43795</v>
      </c>
      <c r="C58" s="35" t="s">
        <v>710</v>
      </c>
      <c r="D58" s="73" t="s">
        <v>990</v>
      </c>
      <c r="E58" s="73" t="s">
        <v>1064</v>
      </c>
      <c r="F58" s="38" t="s">
        <v>711</v>
      </c>
      <c r="G58" s="38" t="s">
        <v>712</v>
      </c>
      <c r="H58" s="38" t="s">
        <v>713</v>
      </c>
      <c r="I58" s="38" t="s">
        <v>667</v>
      </c>
      <c r="J58" s="38" t="s">
        <v>668</v>
      </c>
      <c r="K58" s="39" t="s">
        <v>39</v>
      </c>
      <c r="L58" s="39" t="s">
        <v>40</v>
      </c>
      <c r="M58" s="39">
        <v>17</v>
      </c>
      <c r="N58" s="40">
        <f t="shared" si="6"/>
        <v>300</v>
      </c>
      <c r="O58" s="41">
        <v>450</v>
      </c>
      <c r="P58" s="42" t="str">
        <f t="shared" si="8"/>
        <v>OK</v>
      </c>
      <c r="Q58" s="69"/>
      <c r="R58" s="41"/>
      <c r="S58" s="42" t="str">
        <f t="shared" si="5"/>
        <v/>
      </c>
      <c r="T58" s="42" t="str">
        <f t="shared" si="9"/>
        <v/>
      </c>
      <c r="U58" s="36">
        <v>44333</v>
      </c>
      <c r="V58" s="40">
        <f t="shared" si="3"/>
        <v>450</v>
      </c>
      <c r="W58" s="43">
        <f t="shared" si="4"/>
        <v>0</v>
      </c>
    </row>
    <row r="59" spans="1:23" ht="25.5" x14ac:dyDescent="0.25">
      <c r="A59" s="45" t="s">
        <v>150</v>
      </c>
      <c r="B59" s="70">
        <v>44000</v>
      </c>
      <c r="C59" s="45" t="s">
        <v>714</v>
      </c>
      <c r="D59" s="72" t="s">
        <v>990</v>
      </c>
      <c r="E59" s="72" t="s">
        <v>1064</v>
      </c>
      <c r="F59" s="48" t="s">
        <v>715</v>
      </c>
      <c r="G59" s="48" t="s">
        <v>716</v>
      </c>
      <c r="H59" s="48" t="s">
        <v>717</v>
      </c>
      <c r="I59" s="48" t="s">
        <v>718</v>
      </c>
      <c r="J59" s="49" t="s">
        <v>719</v>
      </c>
      <c r="K59" s="49" t="s">
        <v>39</v>
      </c>
      <c r="L59" s="49" t="s">
        <v>40</v>
      </c>
      <c r="M59" s="49">
        <v>17</v>
      </c>
      <c r="N59" s="50">
        <f t="shared" si="6"/>
        <v>300</v>
      </c>
      <c r="O59" s="51">
        <v>622</v>
      </c>
      <c r="P59" s="50" t="str">
        <f t="shared" si="8"/>
        <v>OK</v>
      </c>
      <c r="Q59" s="70"/>
      <c r="R59" s="51"/>
      <c r="S59" s="52" t="str">
        <f t="shared" si="5"/>
        <v/>
      </c>
      <c r="T59" s="52" t="str">
        <f t="shared" si="9"/>
        <v/>
      </c>
      <c r="U59" s="46">
        <v>44330</v>
      </c>
      <c r="V59" s="50">
        <f t="shared" si="3"/>
        <v>622</v>
      </c>
      <c r="W59" s="53">
        <f t="shared" si="4"/>
        <v>0</v>
      </c>
    </row>
    <row r="60" spans="1:23" ht="25.5" x14ac:dyDescent="0.25">
      <c r="A60" s="35" t="s">
        <v>151</v>
      </c>
      <c r="B60" s="69">
        <v>44253</v>
      </c>
      <c r="C60" s="35" t="s">
        <v>720</v>
      </c>
      <c r="D60" s="73" t="s">
        <v>1077</v>
      </c>
      <c r="E60" s="73" t="s">
        <v>979</v>
      </c>
      <c r="F60" s="38" t="s">
        <v>721</v>
      </c>
      <c r="G60" s="38" t="s">
        <v>722</v>
      </c>
      <c r="H60" s="38" t="s">
        <v>723</v>
      </c>
      <c r="I60" s="38" t="s">
        <v>724</v>
      </c>
      <c r="J60" s="38" t="s">
        <v>725</v>
      </c>
      <c r="K60" s="39" t="s">
        <v>16</v>
      </c>
      <c r="L60" s="39" t="s">
        <v>27</v>
      </c>
      <c r="M60" s="39">
        <v>11</v>
      </c>
      <c r="N60" s="40">
        <f t="shared" si="6"/>
        <v>370</v>
      </c>
      <c r="O60" s="41">
        <v>400</v>
      </c>
      <c r="P60" s="42" t="str">
        <f t="shared" si="8"/>
        <v>OK</v>
      </c>
      <c r="Q60" s="69"/>
      <c r="R60" s="41"/>
      <c r="S60" s="42" t="str">
        <f t="shared" si="5"/>
        <v/>
      </c>
      <c r="T60" s="42" t="str">
        <f t="shared" si="9"/>
        <v/>
      </c>
      <c r="U60" s="36">
        <v>44330</v>
      </c>
      <c r="V60" s="40">
        <f t="shared" si="3"/>
        <v>400</v>
      </c>
      <c r="W60" s="43">
        <f t="shared" si="4"/>
        <v>0</v>
      </c>
    </row>
    <row r="61" spans="1:23" ht="38.25" x14ac:dyDescent="0.25">
      <c r="A61" s="45" t="s">
        <v>152</v>
      </c>
      <c r="B61" s="70">
        <v>44264</v>
      </c>
      <c r="C61" s="45" t="s">
        <v>726</v>
      </c>
      <c r="D61" s="72" t="s">
        <v>990</v>
      </c>
      <c r="E61" s="72" t="s">
        <v>1064</v>
      </c>
      <c r="F61" s="48" t="s">
        <v>727</v>
      </c>
      <c r="G61" s="48" t="s">
        <v>729</v>
      </c>
      <c r="H61" s="48" t="s">
        <v>730</v>
      </c>
      <c r="I61" s="48" t="s">
        <v>667</v>
      </c>
      <c r="J61" s="48" t="s">
        <v>668</v>
      </c>
      <c r="K61" s="49" t="s">
        <v>39</v>
      </c>
      <c r="L61" s="49" t="s">
        <v>40</v>
      </c>
      <c r="M61" s="49">
        <v>17</v>
      </c>
      <c r="N61" s="50">
        <f t="shared" si="6"/>
        <v>300</v>
      </c>
      <c r="O61" s="51">
        <v>450</v>
      </c>
      <c r="P61" s="50" t="str">
        <f t="shared" si="8"/>
        <v>OK</v>
      </c>
      <c r="Q61" s="70"/>
      <c r="R61" s="51"/>
      <c r="S61" s="52" t="str">
        <f t="shared" si="5"/>
        <v/>
      </c>
      <c r="T61" s="52" t="str">
        <f t="shared" si="9"/>
        <v/>
      </c>
      <c r="U61" s="46">
        <v>44330</v>
      </c>
      <c r="V61" s="50">
        <f t="shared" si="3"/>
        <v>450</v>
      </c>
      <c r="W61" s="53">
        <f t="shared" si="4"/>
        <v>0</v>
      </c>
    </row>
    <row r="62" spans="1:23" ht="25.5" x14ac:dyDescent="0.25">
      <c r="A62" s="35" t="s">
        <v>153</v>
      </c>
      <c r="B62" s="69">
        <v>43746</v>
      </c>
      <c r="C62" s="35" t="s">
        <v>731</v>
      </c>
      <c r="D62" s="73" t="s">
        <v>990</v>
      </c>
      <c r="E62" s="73" t="s">
        <v>1064</v>
      </c>
      <c r="F62" s="38" t="s">
        <v>732</v>
      </c>
      <c r="G62" s="38" t="s">
        <v>733</v>
      </c>
      <c r="H62" s="38" t="s">
        <v>734</v>
      </c>
      <c r="I62" s="38" t="s">
        <v>736</v>
      </c>
      <c r="J62" s="38" t="s">
        <v>735</v>
      </c>
      <c r="K62" s="39" t="s">
        <v>39</v>
      </c>
      <c r="L62" s="39" t="s">
        <v>40</v>
      </c>
      <c r="M62" s="39">
        <v>17</v>
      </c>
      <c r="N62" s="40">
        <f t="shared" si="6"/>
        <v>300</v>
      </c>
      <c r="O62" s="41">
        <v>622</v>
      </c>
      <c r="P62" s="42" t="str">
        <f t="shared" si="8"/>
        <v>OK</v>
      </c>
      <c r="Q62" s="69"/>
      <c r="R62" s="41"/>
      <c r="S62" s="42" t="str">
        <f t="shared" si="5"/>
        <v/>
      </c>
      <c r="T62" s="42" t="str">
        <f t="shared" si="9"/>
        <v/>
      </c>
      <c r="U62" s="36">
        <v>44330</v>
      </c>
      <c r="V62" s="40">
        <f t="shared" si="3"/>
        <v>622</v>
      </c>
      <c r="W62" s="43">
        <f t="shared" si="4"/>
        <v>0</v>
      </c>
    </row>
    <row r="63" spans="1:23" ht="25.5" x14ac:dyDescent="0.25">
      <c r="A63" s="45" t="s">
        <v>154</v>
      </c>
      <c r="B63" s="70">
        <v>44252</v>
      </c>
      <c r="C63" s="45" t="s">
        <v>737</v>
      </c>
      <c r="D63" s="72" t="s">
        <v>1172</v>
      </c>
      <c r="E63" s="72" t="s">
        <v>1311</v>
      </c>
      <c r="F63" s="48" t="s">
        <v>739</v>
      </c>
      <c r="G63" s="48" t="s">
        <v>740</v>
      </c>
      <c r="H63" s="48" t="s">
        <v>741</v>
      </c>
      <c r="I63" s="48" t="s">
        <v>1189</v>
      </c>
      <c r="J63" s="48" t="s">
        <v>743</v>
      </c>
      <c r="K63" s="48" t="s">
        <v>31</v>
      </c>
      <c r="L63" s="49" t="s">
        <v>32</v>
      </c>
      <c r="M63" s="49">
        <v>13</v>
      </c>
      <c r="N63" s="50">
        <f t="shared" si="6"/>
        <v>370</v>
      </c>
      <c r="O63" s="51">
        <v>370</v>
      </c>
      <c r="P63" s="50" t="str">
        <f t="shared" si="8"/>
        <v>OK</v>
      </c>
      <c r="Q63" s="70"/>
      <c r="R63" s="51"/>
      <c r="S63" s="52" t="str">
        <f t="shared" si="5"/>
        <v/>
      </c>
      <c r="T63" s="52" t="str">
        <f t="shared" si="9"/>
        <v/>
      </c>
      <c r="U63" s="46">
        <v>44331</v>
      </c>
      <c r="V63" s="50">
        <f t="shared" si="3"/>
        <v>370</v>
      </c>
      <c r="W63" s="53">
        <f t="shared" si="4"/>
        <v>0</v>
      </c>
    </row>
    <row r="64" spans="1:23" ht="63.75" x14ac:dyDescent="0.25">
      <c r="A64" s="35" t="s">
        <v>155</v>
      </c>
      <c r="B64" s="69">
        <v>44326</v>
      </c>
      <c r="C64" s="35" t="s">
        <v>744</v>
      </c>
      <c r="D64" s="73" t="s">
        <v>652</v>
      </c>
      <c r="E64" s="73" t="s">
        <v>1068</v>
      </c>
      <c r="F64" s="38" t="s">
        <v>745</v>
      </c>
      <c r="G64" s="38" t="s">
        <v>747</v>
      </c>
      <c r="H64" s="38" t="s">
        <v>657</v>
      </c>
      <c r="I64" s="38" t="s">
        <v>746</v>
      </c>
      <c r="J64" s="38" t="s">
        <v>655</v>
      </c>
      <c r="K64" s="38" t="s">
        <v>16</v>
      </c>
      <c r="L64" s="38" t="s">
        <v>27</v>
      </c>
      <c r="M64" s="39">
        <v>11</v>
      </c>
      <c r="N64" s="40">
        <f t="shared" si="6"/>
        <v>370</v>
      </c>
      <c r="O64" s="41">
        <v>370</v>
      </c>
      <c r="P64" s="42" t="str">
        <f t="shared" si="8"/>
        <v>OK</v>
      </c>
      <c r="Q64" s="69"/>
      <c r="R64" s="41"/>
      <c r="S64" s="42" t="str">
        <f t="shared" si="5"/>
        <v/>
      </c>
      <c r="T64" s="42" t="str">
        <f t="shared" si="9"/>
        <v/>
      </c>
      <c r="U64" s="36">
        <v>44331</v>
      </c>
      <c r="V64" s="40">
        <f t="shared" si="3"/>
        <v>370</v>
      </c>
      <c r="W64" s="43">
        <f t="shared" si="4"/>
        <v>0</v>
      </c>
    </row>
    <row r="65" spans="1:23" ht="38.25" x14ac:dyDescent="0.25">
      <c r="A65" s="45" t="s">
        <v>156</v>
      </c>
      <c r="B65" s="70">
        <v>44330</v>
      </c>
      <c r="C65" s="45" t="s">
        <v>748</v>
      </c>
      <c r="D65" s="72" t="s">
        <v>1078</v>
      </c>
      <c r="E65" s="72" t="s">
        <v>981</v>
      </c>
      <c r="F65" s="48" t="s">
        <v>750</v>
      </c>
      <c r="G65" s="48" t="s">
        <v>751</v>
      </c>
      <c r="H65" s="48" t="s">
        <v>752</v>
      </c>
      <c r="I65" s="48" t="s">
        <v>753</v>
      </c>
      <c r="J65" s="49" t="s">
        <v>754</v>
      </c>
      <c r="K65" s="48" t="s">
        <v>31</v>
      </c>
      <c r="L65" s="49" t="s">
        <v>29</v>
      </c>
      <c r="M65" s="49">
        <v>15</v>
      </c>
      <c r="N65" s="50">
        <f t="shared" si="6"/>
        <v>370</v>
      </c>
      <c r="O65" s="51">
        <v>200</v>
      </c>
      <c r="P65" s="50" t="str">
        <f t="shared" si="8"/>
        <v>OK</v>
      </c>
      <c r="Q65" s="70"/>
      <c r="R65" s="51"/>
      <c r="S65" s="52" t="str">
        <f t="shared" si="5"/>
        <v/>
      </c>
      <c r="T65" s="52" t="str">
        <f t="shared" si="9"/>
        <v/>
      </c>
      <c r="U65" s="46">
        <v>44334</v>
      </c>
      <c r="V65" s="50">
        <f t="shared" si="3"/>
        <v>200</v>
      </c>
      <c r="W65" s="53">
        <f t="shared" si="4"/>
        <v>0</v>
      </c>
    </row>
    <row r="66" spans="1:23" ht="38.25" x14ac:dyDescent="0.25">
      <c r="A66" s="35" t="s">
        <v>157</v>
      </c>
      <c r="B66" s="69">
        <v>44330</v>
      </c>
      <c r="C66" s="35" t="s">
        <v>755</v>
      </c>
      <c r="D66" s="73" t="s">
        <v>1078</v>
      </c>
      <c r="E66" s="73" t="s">
        <v>981</v>
      </c>
      <c r="F66" s="38" t="s">
        <v>756</v>
      </c>
      <c r="G66" s="38" t="s">
        <v>757</v>
      </c>
      <c r="H66" s="38" t="s">
        <v>752</v>
      </c>
      <c r="I66" s="38" t="s">
        <v>758</v>
      </c>
      <c r="J66" s="38" t="s">
        <v>754</v>
      </c>
      <c r="K66" s="38" t="s">
        <v>31</v>
      </c>
      <c r="L66" s="39" t="s">
        <v>29</v>
      </c>
      <c r="M66" s="39">
        <v>15</v>
      </c>
      <c r="N66" s="40">
        <f t="shared" si="6"/>
        <v>370</v>
      </c>
      <c r="O66" s="41">
        <v>500</v>
      </c>
      <c r="P66" s="42" t="str">
        <f t="shared" si="8"/>
        <v>OK</v>
      </c>
      <c r="Q66" s="69"/>
      <c r="R66" s="41"/>
      <c r="S66" s="42" t="str">
        <f t="shared" si="5"/>
        <v/>
      </c>
      <c r="T66" s="42" t="str">
        <f t="shared" si="9"/>
        <v/>
      </c>
      <c r="U66" s="36">
        <v>44334</v>
      </c>
      <c r="V66" s="40">
        <f t="shared" si="3"/>
        <v>500</v>
      </c>
      <c r="W66" s="43">
        <f t="shared" si="4"/>
        <v>0</v>
      </c>
    </row>
    <row r="67" spans="1:23" ht="25.5" x14ac:dyDescent="0.25">
      <c r="A67" s="45" t="s">
        <v>158</v>
      </c>
      <c r="B67" s="70">
        <v>44330</v>
      </c>
      <c r="C67" s="45" t="s">
        <v>759</v>
      </c>
      <c r="D67" s="72" t="s">
        <v>999</v>
      </c>
      <c r="E67" s="72" t="s">
        <v>1064</v>
      </c>
      <c r="F67" s="48" t="s">
        <v>760</v>
      </c>
      <c r="G67" s="48" t="s">
        <v>761</v>
      </c>
      <c r="H67" s="48" t="s">
        <v>762</v>
      </c>
      <c r="I67" s="48" t="s">
        <v>763</v>
      </c>
      <c r="J67" s="48" t="s">
        <v>764</v>
      </c>
      <c r="K67" s="49" t="s">
        <v>16</v>
      </c>
      <c r="L67" s="49" t="s">
        <v>765</v>
      </c>
      <c r="M67" s="49">
        <v>8</v>
      </c>
      <c r="N67" s="50">
        <f t="shared" si="6"/>
        <v>370</v>
      </c>
      <c r="O67" s="51">
        <v>370</v>
      </c>
      <c r="P67" s="50" t="str">
        <f t="shared" si="8"/>
        <v>OK</v>
      </c>
      <c r="Q67" s="70"/>
      <c r="R67" s="51"/>
      <c r="S67" s="52" t="str">
        <f t="shared" si="5"/>
        <v/>
      </c>
      <c r="T67" s="52" t="str">
        <f t="shared" si="9"/>
        <v/>
      </c>
      <c r="U67" s="46">
        <v>44334</v>
      </c>
      <c r="V67" s="50">
        <f t="shared" si="3"/>
        <v>370</v>
      </c>
      <c r="W67" s="53">
        <f t="shared" si="4"/>
        <v>0</v>
      </c>
    </row>
    <row r="68" spans="1:23" ht="25.5" x14ac:dyDescent="0.25">
      <c r="A68" s="35" t="s">
        <v>159</v>
      </c>
      <c r="B68" s="69">
        <v>44312</v>
      </c>
      <c r="C68" s="35" t="s">
        <v>766</v>
      </c>
      <c r="D68" s="73" t="s">
        <v>767</v>
      </c>
      <c r="E68" s="73" t="s">
        <v>1067</v>
      </c>
      <c r="F68" s="38" t="s">
        <v>768</v>
      </c>
      <c r="G68" s="38" t="s">
        <v>769</v>
      </c>
      <c r="H68" s="38" t="s">
        <v>770</v>
      </c>
      <c r="I68" s="38" t="s">
        <v>771</v>
      </c>
      <c r="J68" s="38" t="s">
        <v>772</v>
      </c>
      <c r="K68" s="39" t="s">
        <v>31</v>
      </c>
      <c r="L68" s="39" t="s">
        <v>32</v>
      </c>
      <c r="M68" s="39">
        <v>13</v>
      </c>
      <c r="N68" s="40">
        <f t="shared" si="6"/>
        <v>370</v>
      </c>
      <c r="O68" s="41">
        <v>370</v>
      </c>
      <c r="P68" s="42" t="str">
        <f t="shared" si="8"/>
        <v>OK</v>
      </c>
      <c r="Q68" s="69"/>
      <c r="R68" s="41"/>
      <c r="S68" s="42" t="str">
        <f t="shared" si="5"/>
        <v/>
      </c>
      <c r="T68" s="42" t="str">
        <f t="shared" si="9"/>
        <v/>
      </c>
      <c r="U68" s="36">
        <v>44334</v>
      </c>
      <c r="V68" s="40">
        <f t="shared" ref="V68:V131" si="10">IF(M68="","",O68-R68)</f>
        <v>370</v>
      </c>
      <c r="W68" s="43">
        <f t="shared" ref="W68:W131" si="11">IF(M68="","",IF(AND(M68&gt;0,U68=""),V68,O68-(R68+V68)))</f>
        <v>0</v>
      </c>
    </row>
    <row r="69" spans="1:23" ht="25.5" x14ac:dyDescent="0.25">
      <c r="A69" s="45" t="s">
        <v>160</v>
      </c>
      <c r="B69" s="70">
        <v>43858</v>
      </c>
      <c r="C69" s="45" t="s">
        <v>773</v>
      </c>
      <c r="D69" s="72" t="s">
        <v>1000</v>
      </c>
      <c r="E69" s="72" t="s">
        <v>1064</v>
      </c>
      <c r="F69" s="48" t="s">
        <v>774</v>
      </c>
      <c r="G69" s="48" t="s">
        <v>775</v>
      </c>
      <c r="H69" s="48" t="s">
        <v>776</v>
      </c>
      <c r="I69" s="48" t="s">
        <v>331</v>
      </c>
      <c r="J69" s="48" t="s">
        <v>778</v>
      </c>
      <c r="K69" s="49" t="s">
        <v>37</v>
      </c>
      <c r="L69" s="49" t="s">
        <v>37</v>
      </c>
      <c r="M69" s="49">
        <v>16</v>
      </c>
      <c r="N69" s="50">
        <f t="shared" si="6"/>
        <v>300</v>
      </c>
      <c r="O69" s="51">
        <v>300</v>
      </c>
      <c r="P69" s="50" t="str">
        <f t="shared" si="8"/>
        <v>OK</v>
      </c>
      <c r="Q69" s="70"/>
      <c r="R69" s="51"/>
      <c r="S69" s="52" t="str">
        <f t="shared" ref="S69:S89" si="12">IF(R69="","",R69/O69)</f>
        <v/>
      </c>
      <c r="T69" s="52" t="str">
        <f t="shared" si="9"/>
        <v/>
      </c>
      <c r="U69" s="46">
        <v>44338</v>
      </c>
      <c r="V69" s="50">
        <f t="shared" si="10"/>
        <v>300</v>
      </c>
      <c r="W69" s="53">
        <f t="shared" si="11"/>
        <v>0</v>
      </c>
    </row>
    <row r="70" spans="1:23" ht="25.5" x14ac:dyDescent="0.25">
      <c r="A70" s="35" t="s">
        <v>161</v>
      </c>
      <c r="B70" s="69">
        <v>44343</v>
      </c>
      <c r="C70" s="35" t="s">
        <v>779</v>
      </c>
      <c r="D70" s="73" t="s">
        <v>501</v>
      </c>
      <c r="E70" s="73" t="s">
        <v>1072</v>
      </c>
      <c r="F70" s="38" t="s">
        <v>780</v>
      </c>
      <c r="G70" s="38" t="s">
        <v>781</v>
      </c>
      <c r="H70" s="38" t="s">
        <v>782</v>
      </c>
      <c r="I70" s="38" t="s">
        <v>320</v>
      </c>
      <c r="J70" s="38" t="s">
        <v>317</v>
      </c>
      <c r="K70" s="39" t="s">
        <v>432</v>
      </c>
      <c r="L70" s="39" t="s">
        <v>480</v>
      </c>
      <c r="M70" s="39">
        <v>1</v>
      </c>
      <c r="N70" s="40">
        <f t="shared" si="6"/>
        <v>300</v>
      </c>
      <c r="O70" s="41">
        <v>300</v>
      </c>
      <c r="P70" s="42" t="str">
        <f t="shared" si="8"/>
        <v>OK</v>
      </c>
      <c r="Q70" s="69"/>
      <c r="R70" s="41"/>
      <c r="S70" s="42" t="str">
        <f t="shared" si="12"/>
        <v/>
      </c>
      <c r="T70" s="42" t="str">
        <f t="shared" si="9"/>
        <v/>
      </c>
      <c r="U70" s="36">
        <v>44341</v>
      </c>
      <c r="V70" s="40">
        <f t="shared" si="10"/>
        <v>300</v>
      </c>
      <c r="W70" s="43">
        <f t="shared" si="11"/>
        <v>0</v>
      </c>
    </row>
    <row r="71" spans="1:23" ht="51" x14ac:dyDescent="0.25">
      <c r="A71" s="45" t="s">
        <v>162</v>
      </c>
      <c r="B71" s="70">
        <v>44349</v>
      </c>
      <c r="C71" s="45" t="s">
        <v>783</v>
      </c>
      <c r="D71" s="72" t="s">
        <v>999</v>
      </c>
      <c r="E71" s="72" t="s">
        <v>1064</v>
      </c>
      <c r="F71" s="48" t="s">
        <v>784</v>
      </c>
      <c r="G71" s="48" t="s">
        <v>785</v>
      </c>
      <c r="H71" s="48" t="s">
        <v>786</v>
      </c>
      <c r="I71" s="48" t="s">
        <v>763</v>
      </c>
      <c r="J71" s="49" t="s">
        <v>764</v>
      </c>
      <c r="K71" s="49" t="s">
        <v>16</v>
      </c>
      <c r="L71" s="49" t="s">
        <v>765</v>
      </c>
      <c r="M71" s="49">
        <v>8</v>
      </c>
      <c r="N71" s="50">
        <f t="shared" si="6"/>
        <v>370</v>
      </c>
      <c r="O71" s="51">
        <v>370</v>
      </c>
      <c r="P71" s="50" t="str">
        <f t="shared" si="8"/>
        <v>OK</v>
      </c>
      <c r="Q71" s="70"/>
      <c r="R71" s="51"/>
      <c r="S71" s="52" t="str">
        <f t="shared" si="12"/>
        <v/>
      </c>
      <c r="T71" s="52" t="str">
        <f t="shared" si="9"/>
        <v/>
      </c>
      <c r="U71" s="46">
        <v>44350</v>
      </c>
      <c r="V71" s="50">
        <f t="shared" si="10"/>
        <v>370</v>
      </c>
      <c r="W71" s="53">
        <f t="shared" si="11"/>
        <v>0</v>
      </c>
    </row>
    <row r="72" spans="1:23" ht="25.5" x14ac:dyDescent="0.25">
      <c r="A72" s="35" t="s">
        <v>163</v>
      </c>
      <c r="B72" s="69">
        <v>44344</v>
      </c>
      <c r="C72" s="35" t="s">
        <v>788</v>
      </c>
      <c r="D72" s="73" t="s">
        <v>999</v>
      </c>
      <c r="E72" s="73" t="s">
        <v>1064</v>
      </c>
      <c r="F72" s="38" t="s">
        <v>789</v>
      </c>
      <c r="G72" s="38" t="s">
        <v>790</v>
      </c>
      <c r="H72" s="38" t="s">
        <v>791</v>
      </c>
      <c r="I72" s="38" t="s">
        <v>793</v>
      </c>
      <c r="J72" s="38" t="s">
        <v>792</v>
      </c>
      <c r="K72" s="39" t="s">
        <v>432</v>
      </c>
      <c r="L72" s="39" t="s">
        <v>447</v>
      </c>
      <c r="M72" s="39">
        <v>1</v>
      </c>
      <c r="N72" s="40">
        <f t="shared" si="6"/>
        <v>300</v>
      </c>
      <c r="O72" s="41">
        <v>300</v>
      </c>
      <c r="P72" s="42" t="str">
        <f t="shared" si="8"/>
        <v>OK</v>
      </c>
      <c r="Q72" s="69"/>
      <c r="R72" s="41"/>
      <c r="S72" s="42" t="str">
        <f t="shared" si="12"/>
        <v/>
      </c>
      <c r="T72" s="42" t="str">
        <f t="shared" si="9"/>
        <v/>
      </c>
      <c r="U72" s="36">
        <v>44350</v>
      </c>
      <c r="V72" s="40">
        <f t="shared" si="10"/>
        <v>300</v>
      </c>
      <c r="W72" s="43">
        <f t="shared" si="11"/>
        <v>0</v>
      </c>
    </row>
    <row r="73" spans="1:23" ht="38.25" x14ac:dyDescent="0.25">
      <c r="A73" s="45" t="s">
        <v>164</v>
      </c>
      <c r="B73" s="70">
        <v>44354</v>
      </c>
      <c r="C73" s="45" t="s">
        <v>794</v>
      </c>
      <c r="D73" s="72" t="s">
        <v>1001</v>
      </c>
      <c r="E73" s="72" t="s">
        <v>1080</v>
      </c>
      <c r="F73" s="48" t="s">
        <v>796</v>
      </c>
      <c r="G73" s="48" t="s">
        <v>797</v>
      </c>
      <c r="H73" s="48" t="s">
        <v>798</v>
      </c>
      <c r="I73" s="48" t="s">
        <v>799</v>
      </c>
      <c r="J73" s="48" t="s">
        <v>800</v>
      </c>
      <c r="K73" s="48" t="s">
        <v>16</v>
      </c>
      <c r="L73" s="49" t="s">
        <v>765</v>
      </c>
      <c r="M73" s="49">
        <v>8</v>
      </c>
      <c r="N73" s="50">
        <f t="shared" si="6"/>
        <v>370</v>
      </c>
      <c r="O73" s="51">
        <v>370</v>
      </c>
      <c r="P73" s="50" t="str">
        <f t="shared" si="8"/>
        <v>OK</v>
      </c>
      <c r="Q73" s="70"/>
      <c r="R73" s="51"/>
      <c r="S73" s="52" t="str">
        <f t="shared" si="12"/>
        <v/>
      </c>
      <c r="T73" s="52" t="str">
        <f t="shared" si="9"/>
        <v/>
      </c>
      <c r="U73" s="46">
        <v>44354</v>
      </c>
      <c r="V73" s="50">
        <f t="shared" si="10"/>
        <v>370</v>
      </c>
      <c r="W73" s="53">
        <f t="shared" si="11"/>
        <v>0</v>
      </c>
    </row>
    <row r="74" spans="1:23" ht="25.5" x14ac:dyDescent="0.25">
      <c r="A74" s="35" t="s">
        <v>165</v>
      </c>
      <c r="B74" s="69">
        <v>44355</v>
      </c>
      <c r="C74" s="35" t="s">
        <v>801</v>
      </c>
      <c r="D74" s="73" t="s">
        <v>802</v>
      </c>
      <c r="E74" s="73" t="s">
        <v>1068</v>
      </c>
      <c r="F74" s="38" t="s">
        <v>803</v>
      </c>
      <c r="G74" s="38" t="s">
        <v>804</v>
      </c>
      <c r="H74" s="38" t="s">
        <v>805</v>
      </c>
      <c r="I74" s="38" t="s">
        <v>806</v>
      </c>
      <c r="J74" s="38" t="s">
        <v>807</v>
      </c>
      <c r="K74" s="38" t="s">
        <v>31</v>
      </c>
      <c r="L74" s="39" t="s">
        <v>29</v>
      </c>
      <c r="M74" s="39">
        <v>15</v>
      </c>
      <c r="N74" s="40">
        <f t="shared" si="6"/>
        <v>370</v>
      </c>
      <c r="O74" s="41">
        <v>200</v>
      </c>
      <c r="P74" s="42" t="str">
        <f t="shared" si="8"/>
        <v>OK</v>
      </c>
      <c r="Q74" s="69"/>
      <c r="R74" s="41"/>
      <c r="S74" s="42" t="str">
        <f t="shared" si="12"/>
        <v/>
      </c>
      <c r="T74" s="42" t="str">
        <f t="shared" si="9"/>
        <v/>
      </c>
      <c r="U74" s="36">
        <v>44355</v>
      </c>
      <c r="V74" s="40">
        <f t="shared" si="10"/>
        <v>200</v>
      </c>
      <c r="W74" s="43">
        <f t="shared" si="11"/>
        <v>0</v>
      </c>
    </row>
    <row r="75" spans="1:23" ht="38.25" x14ac:dyDescent="0.25">
      <c r="A75" s="45" t="s">
        <v>166</v>
      </c>
      <c r="B75" s="70">
        <v>44354</v>
      </c>
      <c r="C75" s="45" t="s">
        <v>808</v>
      </c>
      <c r="D75" s="72" t="s">
        <v>999</v>
      </c>
      <c r="E75" s="72" t="s">
        <v>1064</v>
      </c>
      <c r="F75" s="48" t="s">
        <v>809</v>
      </c>
      <c r="G75" s="48" t="s">
        <v>811</v>
      </c>
      <c r="H75" s="48" t="s">
        <v>810</v>
      </c>
      <c r="I75" s="48" t="s">
        <v>763</v>
      </c>
      <c r="J75" s="48" t="s">
        <v>764</v>
      </c>
      <c r="K75" s="48" t="s">
        <v>16</v>
      </c>
      <c r="L75" s="49" t="s">
        <v>765</v>
      </c>
      <c r="M75" s="49">
        <v>8</v>
      </c>
      <c r="N75" s="50">
        <f t="shared" si="6"/>
        <v>370</v>
      </c>
      <c r="O75" s="51">
        <v>370</v>
      </c>
      <c r="P75" s="50" t="str">
        <f t="shared" si="8"/>
        <v>OK</v>
      </c>
      <c r="Q75" s="70"/>
      <c r="R75" s="51"/>
      <c r="S75" s="52" t="str">
        <f t="shared" si="12"/>
        <v/>
      </c>
      <c r="T75" s="52" t="str">
        <f t="shared" si="9"/>
        <v/>
      </c>
      <c r="U75" s="46">
        <v>44355</v>
      </c>
      <c r="V75" s="50">
        <f t="shared" si="10"/>
        <v>370</v>
      </c>
      <c r="W75" s="53">
        <f t="shared" si="11"/>
        <v>0</v>
      </c>
    </row>
    <row r="76" spans="1:23" ht="25.5" x14ac:dyDescent="0.25">
      <c r="A76" s="35" t="s">
        <v>167</v>
      </c>
      <c r="B76" s="69">
        <v>44176</v>
      </c>
      <c r="C76" s="35" t="s">
        <v>813</v>
      </c>
      <c r="D76" s="73" t="s">
        <v>681</v>
      </c>
      <c r="E76" s="73" t="s">
        <v>1071</v>
      </c>
      <c r="F76" s="38" t="s">
        <v>814</v>
      </c>
      <c r="G76" s="38" t="s">
        <v>815</v>
      </c>
      <c r="H76" s="38" t="s">
        <v>816</v>
      </c>
      <c r="I76" s="38" t="s">
        <v>320</v>
      </c>
      <c r="J76" s="38" t="s">
        <v>317</v>
      </c>
      <c r="K76" s="39" t="s">
        <v>432</v>
      </c>
      <c r="L76" s="39" t="s">
        <v>447</v>
      </c>
      <c r="M76" s="39">
        <v>1</v>
      </c>
      <c r="N76" s="40">
        <f t="shared" si="6"/>
        <v>300</v>
      </c>
      <c r="O76" s="41">
        <v>300</v>
      </c>
      <c r="P76" s="42" t="str">
        <f t="shared" si="8"/>
        <v>OK</v>
      </c>
      <c r="Q76" s="69"/>
      <c r="R76" s="41"/>
      <c r="S76" s="42" t="str">
        <f t="shared" si="12"/>
        <v/>
      </c>
      <c r="T76" s="42" t="str">
        <f t="shared" si="9"/>
        <v/>
      </c>
      <c r="U76" s="36">
        <v>44363</v>
      </c>
      <c r="V76" s="40">
        <f t="shared" si="10"/>
        <v>300</v>
      </c>
      <c r="W76" s="43">
        <f t="shared" si="11"/>
        <v>0</v>
      </c>
    </row>
    <row r="77" spans="1:23" ht="25.5" x14ac:dyDescent="0.25">
      <c r="A77" s="45" t="s">
        <v>168</v>
      </c>
      <c r="B77" s="70">
        <v>44253</v>
      </c>
      <c r="C77" s="45" t="s">
        <v>817</v>
      </c>
      <c r="D77" s="72" t="s">
        <v>1077</v>
      </c>
      <c r="E77" s="72" t="s">
        <v>979</v>
      </c>
      <c r="F77" s="48" t="s">
        <v>820</v>
      </c>
      <c r="G77" s="48" t="s">
        <v>818</v>
      </c>
      <c r="H77" s="49" t="s">
        <v>437</v>
      </c>
      <c r="I77" s="48" t="s">
        <v>724</v>
      </c>
      <c r="J77" s="49" t="s">
        <v>725</v>
      </c>
      <c r="K77" s="48" t="s">
        <v>31</v>
      </c>
      <c r="L77" s="49" t="s">
        <v>27</v>
      </c>
      <c r="M77" s="49">
        <v>11</v>
      </c>
      <c r="N77" s="50">
        <f t="shared" si="6"/>
        <v>370</v>
      </c>
      <c r="O77" s="51">
        <v>400</v>
      </c>
      <c r="P77" s="50" t="str">
        <f t="shared" si="8"/>
        <v>OK</v>
      </c>
      <c r="Q77" s="70"/>
      <c r="R77" s="51"/>
      <c r="S77" s="52" t="str">
        <f t="shared" si="12"/>
        <v/>
      </c>
      <c r="T77" s="52" t="str">
        <f t="shared" si="9"/>
        <v/>
      </c>
      <c r="U77" s="46">
        <v>44256</v>
      </c>
      <c r="V77" s="50">
        <f t="shared" si="10"/>
        <v>400</v>
      </c>
      <c r="W77" s="53">
        <f t="shared" si="11"/>
        <v>0</v>
      </c>
    </row>
    <row r="78" spans="1:23" ht="63.75" x14ac:dyDescent="0.25">
      <c r="A78" s="35" t="s">
        <v>169</v>
      </c>
      <c r="B78" s="69">
        <v>44253</v>
      </c>
      <c r="C78" s="35" t="s">
        <v>821</v>
      </c>
      <c r="D78" s="73" t="s">
        <v>1077</v>
      </c>
      <c r="E78" s="73" t="s">
        <v>979</v>
      </c>
      <c r="F78" s="38" t="s">
        <v>822</v>
      </c>
      <c r="G78" s="38" t="s">
        <v>823</v>
      </c>
      <c r="H78" s="38" t="s">
        <v>824</v>
      </c>
      <c r="I78" s="38" t="s">
        <v>724</v>
      </c>
      <c r="J78" s="38" t="s">
        <v>725</v>
      </c>
      <c r="K78" s="38" t="s">
        <v>31</v>
      </c>
      <c r="L78" s="38" t="s">
        <v>27</v>
      </c>
      <c r="M78" s="38">
        <v>11</v>
      </c>
      <c r="N78" s="40">
        <f t="shared" si="6"/>
        <v>370</v>
      </c>
      <c r="O78" s="41">
        <v>400</v>
      </c>
      <c r="P78" s="42" t="str">
        <f t="shared" si="8"/>
        <v>OK</v>
      </c>
      <c r="Q78" s="69"/>
      <c r="R78" s="41"/>
      <c r="S78" s="42" t="str">
        <f t="shared" si="12"/>
        <v/>
      </c>
      <c r="T78" s="42" t="str">
        <f t="shared" si="9"/>
        <v/>
      </c>
      <c r="U78" s="36">
        <v>44256</v>
      </c>
      <c r="V78" s="40">
        <f t="shared" si="10"/>
        <v>400</v>
      </c>
      <c r="W78" s="43">
        <f t="shared" si="11"/>
        <v>0</v>
      </c>
    </row>
    <row r="79" spans="1:23" ht="25.5" x14ac:dyDescent="0.25">
      <c r="A79" s="45" t="s">
        <v>170</v>
      </c>
      <c r="B79" s="70">
        <v>44159</v>
      </c>
      <c r="C79" s="45" t="s">
        <v>825</v>
      </c>
      <c r="D79" s="72" t="s">
        <v>541</v>
      </c>
      <c r="E79" s="72" t="s">
        <v>1070</v>
      </c>
      <c r="F79" s="48" t="s">
        <v>826</v>
      </c>
      <c r="G79" s="48" t="s">
        <v>828</v>
      </c>
      <c r="H79" s="48" t="s">
        <v>829</v>
      </c>
      <c r="I79" s="48" t="s">
        <v>545</v>
      </c>
      <c r="J79" s="48" t="s">
        <v>546</v>
      </c>
      <c r="K79" s="48" t="s">
        <v>16</v>
      </c>
      <c r="L79" s="49" t="s">
        <v>17</v>
      </c>
      <c r="M79" s="49">
        <v>6</v>
      </c>
      <c r="N79" s="50">
        <f t="shared" si="6"/>
        <v>430</v>
      </c>
      <c r="O79" s="51">
        <v>1500</v>
      </c>
      <c r="P79" s="50" t="str">
        <f t="shared" si="8"/>
        <v>OK</v>
      </c>
      <c r="Q79" s="70"/>
      <c r="R79" s="51"/>
      <c r="S79" s="52" t="str">
        <f t="shared" si="12"/>
        <v/>
      </c>
      <c r="T79" s="52" t="str">
        <f t="shared" si="9"/>
        <v/>
      </c>
      <c r="U79" s="46">
        <v>44330</v>
      </c>
      <c r="V79" s="50">
        <f t="shared" si="10"/>
        <v>1500</v>
      </c>
      <c r="W79" s="53">
        <f t="shared" si="11"/>
        <v>0</v>
      </c>
    </row>
    <row r="80" spans="1:23" ht="38.25" x14ac:dyDescent="0.25">
      <c r="A80" s="35" t="s">
        <v>171</v>
      </c>
      <c r="B80" s="69">
        <v>44214</v>
      </c>
      <c r="C80" s="35" t="s">
        <v>831</v>
      </c>
      <c r="D80" s="73" t="s">
        <v>996</v>
      </c>
      <c r="E80" s="73" t="s">
        <v>1064</v>
      </c>
      <c r="F80" s="38" t="s">
        <v>832</v>
      </c>
      <c r="G80" s="38" t="s">
        <v>833</v>
      </c>
      <c r="H80" s="38" t="s">
        <v>834</v>
      </c>
      <c r="I80" s="38" t="s">
        <v>1633</v>
      </c>
      <c r="J80" s="38" t="s">
        <v>836</v>
      </c>
      <c r="K80" s="39" t="s">
        <v>31</v>
      </c>
      <c r="L80" s="39" t="s">
        <v>34</v>
      </c>
      <c r="M80" s="39">
        <v>14</v>
      </c>
      <c r="N80" s="40">
        <f t="shared" si="6"/>
        <v>370</v>
      </c>
      <c r="O80" s="41">
        <v>870</v>
      </c>
      <c r="P80" s="42" t="str">
        <f t="shared" si="8"/>
        <v>OK</v>
      </c>
      <c r="Q80" s="69"/>
      <c r="R80" s="41"/>
      <c r="S80" s="42" t="str">
        <f t="shared" si="12"/>
        <v/>
      </c>
      <c r="T80" s="42" t="str">
        <f t="shared" si="9"/>
        <v/>
      </c>
      <c r="U80" s="36">
        <v>44330</v>
      </c>
      <c r="V80" s="40">
        <f t="shared" si="10"/>
        <v>870</v>
      </c>
      <c r="W80" s="43">
        <f t="shared" si="11"/>
        <v>0</v>
      </c>
    </row>
    <row r="81" spans="1:23" ht="38.25" x14ac:dyDescent="0.25">
      <c r="A81" s="45" t="s">
        <v>172</v>
      </c>
      <c r="B81" s="70">
        <v>44263</v>
      </c>
      <c r="C81" s="45" t="s">
        <v>837</v>
      </c>
      <c r="D81" s="72" t="s">
        <v>1002</v>
      </c>
      <c r="E81" s="72" t="s">
        <v>1080</v>
      </c>
      <c r="F81" s="48" t="s">
        <v>839</v>
      </c>
      <c r="G81" s="48" t="s">
        <v>840</v>
      </c>
      <c r="H81" s="48" t="s">
        <v>841</v>
      </c>
      <c r="I81" s="48" t="s">
        <v>842</v>
      </c>
      <c r="J81" s="48" t="s">
        <v>912</v>
      </c>
      <c r="K81" s="48" t="s">
        <v>5</v>
      </c>
      <c r="L81" s="49" t="s">
        <v>14</v>
      </c>
      <c r="M81" s="49">
        <v>5</v>
      </c>
      <c r="N81" s="50">
        <f t="shared" ref="N81:N89" si="13">IF(M81="","",IF(M81=1,300,IF(M81=2,370,IF(M81=3,630,IF(M81=4,830,IF(M81=5,370,IF(M81=6,430,IF(M81=7,530,IF(M81=8,370,IF(M81=9,700,IF(M81=10,870,IF(M81=11,370,IF(M81=12,370,IF(M81=13,370,IF(M81=13,370,IF(M81=14,370,IF(M81=15,370,IF(M81=16,300,IF(M81=17,300,IF(M81=18,170,IF(M81=19,330)))))))))))))))))))))</f>
        <v>370</v>
      </c>
      <c r="O81" s="51">
        <v>1850</v>
      </c>
      <c r="P81" s="50" t="str">
        <f t="shared" si="8"/>
        <v>OK</v>
      </c>
      <c r="Q81" s="70"/>
      <c r="R81" s="51"/>
      <c r="S81" s="52" t="str">
        <f t="shared" si="12"/>
        <v/>
      </c>
      <c r="T81" s="52" t="str">
        <f t="shared" si="9"/>
        <v/>
      </c>
      <c r="U81" s="46">
        <v>44330</v>
      </c>
      <c r="V81" s="50">
        <f t="shared" si="10"/>
        <v>1850</v>
      </c>
      <c r="W81" s="53">
        <f t="shared" si="11"/>
        <v>0</v>
      </c>
    </row>
    <row r="82" spans="1:23" ht="25.5" x14ac:dyDescent="0.25">
      <c r="A82" s="35" t="s">
        <v>173</v>
      </c>
      <c r="B82" s="75">
        <v>44236</v>
      </c>
      <c r="C82" s="35" t="s">
        <v>843</v>
      </c>
      <c r="D82" s="73" t="s">
        <v>1003</v>
      </c>
      <c r="E82" s="73" t="s">
        <v>1080</v>
      </c>
      <c r="F82" s="38" t="s">
        <v>846</v>
      </c>
      <c r="G82" s="38" t="s">
        <v>847</v>
      </c>
      <c r="H82" s="38" t="s">
        <v>848</v>
      </c>
      <c r="I82" s="38" t="s">
        <v>845</v>
      </c>
      <c r="J82" s="38" t="s">
        <v>849</v>
      </c>
      <c r="K82" s="38" t="s">
        <v>16</v>
      </c>
      <c r="L82" s="39" t="s">
        <v>25</v>
      </c>
      <c r="M82" s="39">
        <v>10</v>
      </c>
      <c r="N82" s="40">
        <f t="shared" si="13"/>
        <v>870</v>
      </c>
      <c r="O82" s="41">
        <v>1480</v>
      </c>
      <c r="P82" s="42" t="str">
        <f t="shared" si="8"/>
        <v>OK</v>
      </c>
      <c r="Q82" s="69"/>
      <c r="R82" s="41"/>
      <c r="S82" s="42" t="str">
        <f t="shared" si="12"/>
        <v/>
      </c>
      <c r="T82" s="42" t="str">
        <f t="shared" si="9"/>
        <v/>
      </c>
      <c r="U82" s="36">
        <v>44333</v>
      </c>
      <c r="V82" s="40">
        <f t="shared" si="10"/>
        <v>1480</v>
      </c>
      <c r="W82" s="43">
        <f t="shared" si="11"/>
        <v>0</v>
      </c>
    </row>
    <row r="83" spans="1:23" ht="25.5" x14ac:dyDescent="0.25">
      <c r="A83" s="45" t="s">
        <v>174</v>
      </c>
      <c r="B83" s="70">
        <v>44095</v>
      </c>
      <c r="C83" s="45" t="s">
        <v>850</v>
      </c>
      <c r="D83" s="72" t="s">
        <v>990</v>
      </c>
      <c r="E83" s="72" t="s">
        <v>1064</v>
      </c>
      <c r="F83" s="48" t="s">
        <v>851</v>
      </c>
      <c r="G83" s="48" t="s">
        <v>852</v>
      </c>
      <c r="H83" s="48" t="s">
        <v>853</v>
      </c>
      <c r="I83" s="48" t="s">
        <v>667</v>
      </c>
      <c r="J83" s="49" t="s">
        <v>668</v>
      </c>
      <c r="K83" s="49" t="s">
        <v>39</v>
      </c>
      <c r="L83" s="49" t="s">
        <v>40</v>
      </c>
      <c r="M83" s="49">
        <v>17</v>
      </c>
      <c r="N83" s="50">
        <f t="shared" si="13"/>
        <v>300</v>
      </c>
      <c r="O83" s="51">
        <v>300</v>
      </c>
      <c r="P83" s="50" t="str">
        <f t="shared" si="8"/>
        <v>OK</v>
      </c>
      <c r="Q83" s="70"/>
      <c r="R83" s="51"/>
      <c r="S83" s="52" t="str">
        <f t="shared" si="12"/>
        <v/>
      </c>
      <c r="T83" s="52" t="str">
        <f t="shared" si="9"/>
        <v/>
      </c>
      <c r="U83" s="46">
        <v>44267</v>
      </c>
      <c r="V83" s="50">
        <f t="shared" si="10"/>
        <v>300</v>
      </c>
      <c r="W83" s="53">
        <f t="shared" si="11"/>
        <v>0</v>
      </c>
    </row>
    <row r="84" spans="1:23" ht="25.5" x14ac:dyDescent="0.25">
      <c r="A84" s="35" t="s">
        <v>175</v>
      </c>
      <c r="B84" s="69">
        <v>43902</v>
      </c>
      <c r="C84" s="35" t="s">
        <v>854</v>
      </c>
      <c r="D84" s="73" t="s">
        <v>990</v>
      </c>
      <c r="E84" s="73" t="s">
        <v>1064</v>
      </c>
      <c r="F84" s="38" t="s">
        <v>855</v>
      </c>
      <c r="G84" s="38" t="s">
        <v>856</v>
      </c>
      <c r="H84" s="38" t="s">
        <v>857</v>
      </c>
      <c r="I84" s="38" t="s">
        <v>352</v>
      </c>
      <c r="J84" s="38" t="s">
        <v>678</v>
      </c>
      <c r="K84" s="39" t="s">
        <v>39</v>
      </c>
      <c r="L84" s="39" t="s">
        <v>40</v>
      </c>
      <c r="M84" s="39">
        <v>17</v>
      </c>
      <c r="N84" s="40">
        <f t="shared" si="13"/>
        <v>300</v>
      </c>
      <c r="O84" s="41">
        <v>300</v>
      </c>
      <c r="P84" s="42" t="str">
        <f t="shared" si="8"/>
        <v>OK</v>
      </c>
      <c r="Q84" s="69"/>
      <c r="R84" s="41"/>
      <c r="S84" s="42" t="str">
        <f t="shared" si="12"/>
        <v/>
      </c>
      <c r="T84" s="42" t="str">
        <f t="shared" si="9"/>
        <v/>
      </c>
      <c r="U84" s="36">
        <v>44267</v>
      </c>
      <c r="V84" s="40">
        <f t="shared" si="10"/>
        <v>300</v>
      </c>
      <c r="W84" s="43">
        <f t="shared" si="11"/>
        <v>0</v>
      </c>
    </row>
    <row r="85" spans="1:23" ht="25.5" x14ac:dyDescent="0.25">
      <c r="A85" s="45" t="s">
        <v>176</v>
      </c>
      <c r="B85" s="70">
        <v>43873</v>
      </c>
      <c r="C85" s="45" t="s">
        <v>859</v>
      </c>
      <c r="D85" s="72" t="s">
        <v>990</v>
      </c>
      <c r="E85" s="72" t="s">
        <v>1064</v>
      </c>
      <c r="F85" s="48" t="s">
        <v>862</v>
      </c>
      <c r="G85" s="48" t="s">
        <v>860</v>
      </c>
      <c r="H85" s="48" t="s">
        <v>861</v>
      </c>
      <c r="I85" s="48" t="s">
        <v>352</v>
      </c>
      <c r="J85" s="48" t="s">
        <v>566</v>
      </c>
      <c r="K85" s="49" t="s">
        <v>39</v>
      </c>
      <c r="L85" s="49" t="s">
        <v>40</v>
      </c>
      <c r="M85" s="49">
        <v>17</v>
      </c>
      <c r="N85" s="50">
        <f t="shared" si="13"/>
        <v>300</v>
      </c>
      <c r="O85" s="51">
        <v>300</v>
      </c>
      <c r="P85" s="50" t="str">
        <f t="shared" si="8"/>
        <v>OK</v>
      </c>
      <c r="Q85" s="70"/>
      <c r="R85" s="51"/>
      <c r="S85" s="52" t="str">
        <f t="shared" si="12"/>
        <v/>
      </c>
      <c r="T85" s="52" t="str">
        <f t="shared" si="9"/>
        <v/>
      </c>
      <c r="U85" s="46">
        <v>44267</v>
      </c>
      <c r="V85" s="50">
        <f t="shared" si="10"/>
        <v>300</v>
      </c>
      <c r="W85" s="53">
        <f t="shared" si="11"/>
        <v>0</v>
      </c>
    </row>
    <row r="86" spans="1:23" ht="25.5" x14ac:dyDescent="0.25">
      <c r="A86" s="35" t="s">
        <v>177</v>
      </c>
      <c r="B86" s="69">
        <v>43893</v>
      </c>
      <c r="C86" s="35" t="s">
        <v>863</v>
      </c>
      <c r="D86" s="73" t="s">
        <v>990</v>
      </c>
      <c r="E86" s="73" t="s">
        <v>1064</v>
      </c>
      <c r="F86" s="38" t="s">
        <v>864</v>
      </c>
      <c r="G86" s="38" t="s">
        <v>865</v>
      </c>
      <c r="H86" s="38" t="s">
        <v>866</v>
      </c>
      <c r="I86" s="38" t="s">
        <v>352</v>
      </c>
      <c r="J86" s="38" t="s">
        <v>566</v>
      </c>
      <c r="K86" s="39" t="s">
        <v>39</v>
      </c>
      <c r="L86" s="39" t="s">
        <v>40</v>
      </c>
      <c r="M86" s="39">
        <v>17</v>
      </c>
      <c r="N86" s="40">
        <f t="shared" si="13"/>
        <v>300</v>
      </c>
      <c r="O86" s="41">
        <v>300</v>
      </c>
      <c r="P86" s="42" t="str">
        <f t="shared" si="8"/>
        <v>OK</v>
      </c>
      <c r="Q86" s="69"/>
      <c r="R86" s="41"/>
      <c r="S86" s="42" t="str">
        <f t="shared" si="12"/>
        <v/>
      </c>
      <c r="T86" s="42" t="str">
        <f t="shared" si="9"/>
        <v/>
      </c>
      <c r="U86" s="36">
        <v>44267</v>
      </c>
      <c r="V86" s="40">
        <f t="shared" si="10"/>
        <v>300</v>
      </c>
      <c r="W86" s="43">
        <f t="shared" si="11"/>
        <v>0</v>
      </c>
    </row>
    <row r="87" spans="1:23" ht="25.5" x14ac:dyDescent="0.25">
      <c r="A87" s="45" t="s">
        <v>178</v>
      </c>
      <c r="B87" s="70">
        <v>44361</v>
      </c>
      <c r="C87" s="45" t="s">
        <v>867</v>
      </c>
      <c r="D87" s="72" t="s">
        <v>868</v>
      </c>
      <c r="E87" s="72" t="s">
        <v>1070</v>
      </c>
      <c r="F87" s="48" t="s">
        <v>871</v>
      </c>
      <c r="G87" s="48" t="s">
        <v>869</v>
      </c>
      <c r="H87" s="48" t="s">
        <v>870</v>
      </c>
      <c r="I87" s="48" t="s">
        <v>320</v>
      </c>
      <c r="J87" s="48" t="s">
        <v>317</v>
      </c>
      <c r="K87" s="49" t="s">
        <v>432</v>
      </c>
      <c r="L87" s="49" t="s">
        <v>447</v>
      </c>
      <c r="M87" s="49">
        <v>1</v>
      </c>
      <c r="N87" s="50">
        <f t="shared" si="13"/>
        <v>300</v>
      </c>
      <c r="O87" s="51">
        <v>300</v>
      </c>
      <c r="P87" s="50" t="str">
        <f t="shared" si="8"/>
        <v>OK</v>
      </c>
      <c r="Q87" s="70"/>
      <c r="R87" s="51"/>
      <c r="S87" s="52" t="str">
        <f t="shared" si="12"/>
        <v/>
      </c>
      <c r="T87" s="52" t="str">
        <f t="shared" si="9"/>
        <v/>
      </c>
      <c r="U87" s="46">
        <v>44361</v>
      </c>
      <c r="V87" s="50">
        <f t="shared" si="10"/>
        <v>300</v>
      </c>
      <c r="W87" s="53">
        <f t="shared" si="11"/>
        <v>0</v>
      </c>
    </row>
    <row r="88" spans="1:23" ht="38.25" x14ac:dyDescent="0.25">
      <c r="A88" s="35" t="s">
        <v>179</v>
      </c>
      <c r="B88" s="69">
        <v>43846</v>
      </c>
      <c r="C88" s="35" t="s">
        <v>872</v>
      </c>
      <c r="D88" s="73" t="s">
        <v>990</v>
      </c>
      <c r="E88" s="73" t="s">
        <v>1064</v>
      </c>
      <c r="F88" s="38" t="s">
        <v>873</v>
      </c>
      <c r="G88" s="38" t="s">
        <v>874</v>
      </c>
      <c r="H88" s="38" t="s">
        <v>875</v>
      </c>
      <c r="I88" s="38" t="s">
        <v>667</v>
      </c>
      <c r="J88" s="38" t="s">
        <v>668</v>
      </c>
      <c r="K88" s="39" t="s">
        <v>39</v>
      </c>
      <c r="L88" s="39" t="s">
        <v>40</v>
      </c>
      <c r="M88" s="39">
        <v>17</v>
      </c>
      <c r="N88" s="40">
        <f t="shared" si="13"/>
        <v>300</v>
      </c>
      <c r="O88" s="41">
        <v>450</v>
      </c>
      <c r="P88" s="42" t="str">
        <f t="shared" si="8"/>
        <v>OK</v>
      </c>
      <c r="Q88" s="69"/>
      <c r="R88" s="41"/>
      <c r="S88" s="42" t="str">
        <f t="shared" si="12"/>
        <v/>
      </c>
      <c r="T88" s="42" t="str">
        <f t="shared" si="9"/>
        <v/>
      </c>
      <c r="U88" s="36">
        <v>44358</v>
      </c>
      <c r="V88" s="40">
        <f t="shared" si="10"/>
        <v>450</v>
      </c>
      <c r="W88" s="43">
        <f t="shared" si="11"/>
        <v>0</v>
      </c>
    </row>
    <row r="89" spans="1:23" ht="25.5" x14ac:dyDescent="0.25">
      <c r="A89" s="45" t="s">
        <v>180</v>
      </c>
      <c r="B89" s="70">
        <v>43878</v>
      </c>
      <c r="C89" s="45" t="s">
        <v>876</v>
      </c>
      <c r="D89" s="72" t="s">
        <v>990</v>
      </c>
      <c r="E89" s="72" t="s">
        <v>1064</v>
      </c>
      <c r="F89" s="48" t="s">
        <v>877</v>
      </c>
      <c r="G89" s="48" t="s">
        <v>878</v>
      </c>
      <c r="H89" s="49" t="s">
        <v>879</v>
      </c>
      <c r="I89" s="48" t="s">
        <v>667</v>
      </c>
      <c r="J89" s="49" t="s">
        <v>668</v>
      </c>
      <c r="K89" s="49" t="s">
        <v>39</v>
      </c>
      <c r="L89" s="49" t="s">
        <v>40</v>
      </c>
      <c r="M89" s="49">
        <v>17</v>
      </c>
      <c r="N89" s="50">
        <f t="shared" si="13"/>
        <v>300</v>
      </c>
      <c r="O89" s="51">
        <v>450</v>
      </c>
      <c r="P89" s="50" t="str">
        <f t="shared" si="8"/>
        <v>OK</v>
      </c>
      <c r="Q89" s="70"/>
      <c r="R89" s="51"/>
      <c r="S89" s="52" t="str">
        <f t="shared" si="12"/>
        <v/>
      </c>
      <c r="T89" s="52" t="str">
        <f t="shared" si="9"/>
        <v/>
      </c>
      <c r="U89" s="46">
        <v>44358</v>
      </c>
      <c r="V89" s="50">
        <f t="shared" si="10"/>
        <v>450</v>
      </c>
      <c r="W89" s="53">
        <f t="shared" si="11"/>
        <v>0</v>
      </c>
    </row>
    <row r="90" spans="1:23" ht="38.25" x14ac:dyDescent="0.25">
      <c r="A90" s="35" t="s">
        <v>181</v>
      </c>
      <c r="B90" s="69">
        <v>44257</v>
      </c>
      <c r="C90" s="35" t="s">
        <v>880</v>
      </c>
      <c r="D90" s="73" t="s">
        <v>990</v>
      </c>
      <c r="E90" s="73" t="s">
        <v>1064</v>
      </c>
      <c r="F90" s="38" t="s">
        <v>881</v>
      </c>
      <c r="G90" s="38" t="s">
        <v>882</v>
      </c>
      <c r="H90" s="38" t="s">
        <v>883</v>
      </c>
      <c r="I90" s="38" t="s">
        <v>667</v>
      </c>
      <c r="J90" s="38" t="s">
        <v>668</v>
      </c>
      <c r="K90" s="39" t="s">
        <v>39</v>
      </c>
      <c r="L90" s="39" t="s">
        <v>40</v>
      </c>
      <c r="M90" s="39">
        <v>17</v>
      </c>
      <c r="N90" s="40">
        <f>IF(M90="","",IF(M90=1,300,IF(M90=2,370,IF(M90=3,630,IF(M90=4,830,IF(M90=5,370,IF(M90=6,430,IF(M90=7,530,IF(M90=8,370,IF(M90=9,700,IF(M90=10,870,IF(M90=11,370,IF(M90=12,370,IF(M90=13,370,IF(M90=13,370,IF(M90=14,370,IF(M90=15,370,IF(M90=16,300,IF(M90=17,300,IF(M90=18,170,IF(M90=19,330)))))))))))))))))))))</f>
        <v>300</v>
      </c>
      <c r="O90" s="41">
        <v>450</v>
      </c>
      <c r="P90" s="42" t="str">
        <f>IF(M90="","",IF(O90&gt;(5*N90),"ACIMA","OK"))</f>
        <v>OK</v>
      </c>
      <c r="Q90" s="69"/>
      <c r="R90" s="41"/>
      <c r="S90" s="42" t="str">
        <f>IF(R90="","",R90/O90)</f>
        <v/>
      </c>
      <c r="T90" s="42" t="str">
        <f>IF(S90="","",IF(S90&gt;$Z$5,"ACIMA","OK"))</f>
        <v/>
      </c>
      <c r="U90" s="36">
        <v>44358</v>
      </c>
      <c r="V90" s="40">
        <f t="shared" si="10"/>
        <v>450</v>
      </c>
      <c r="W90" s="43">
        <f t="shared" si="11"/>
        <v>0</v>
      </c>
    </row>
    <row r="91" spans="1:23" ht="25.5" x14ac:dyDescent="0.25">
      <c r="A91" s="45" t="s">
        <v>182</v>
      </c>
      <c r="B91" s="70">
        <v>44250</v>
      </c>
      <c r="C91" s="45" t="s">
        <v>884</v>
      </c>
      <c r="D91" s="72" t="s">
        <v>996</v>
      </c>
      <c r="E91" s="72" t="s">
        <v>1064</v>
      </c>
      <c r="F91" s="48" t="s">
        <v>885</v>
      </c>
      <c r="G91" s="48" t="s">
        <v>886</v>
      </c>
      <c r="H91" s="48" t="s">
        <v>887</v>
      </c>
      <c r="I91" s="48" t="s">
        <v>888</v>
      </c>
      <c r="J91" s="48" t="s">
        <v>889</v>
      </c>
      <c r="K91" s="49" t="s">
        <v>16</v>
      </c>
      <c r="L91" s="49" t="s">
        <v>23</v>
      </c>
      <c r="M91" s="49">
        <v>9</v>
      </c>
      <c r="N91" s="50">
        <f>IF(M91="","",IF(M91=1,300,IF(M91=2,370,IF(M91=3,630,IF(M91=4,830,IF(M91=5,370,IF(M91=6,430,IF(M91=7,530,IF(M91=8,370,IF(M91=9,700,IF(M91=10,870,IF(M91=11,370,IF(M91=12,370,IF(M91=13,370,IF(M91=13,370,IF(M91=14,370,IF(M91=15,370,IF(M91=16,300,IF(M91=17,300,IF(M91=18,170,IF(M91=19,330)))))))))))))))))))))</f>
        <v>700</v>
      </c>
      <c r="O91" s="51">
        <v>1480</v>
      </c>
      <c r="P91" s="50" t="str">
        <f>IF(M91="","",IF(O91&gt;(5*N91),"ACIMA","OK"))</f>
        <v>OK</v>
      </c>
      <c r="Q91" s="70"/>
      <c r="R91" s="51"/>
      <c r="S91" s="52" t="str">
        <f>IF(R91="","",R91/O91)</f>
        <v/>
      </c>
      <c r="T91" s="52" t="str">
        <f>IF(S91="","",IF(S91&gt;$Z$5,"ACIMA","OK"))</f>
        <v/>
      </c>
      <c r="U91" s="46">
        <v>44362</v>
      </c>
      <c r="V91" s="50">
        <f t="shared" si="10"/>
        <v>1480</v>
      </c>
      <c r="W91" s="53">
        <f t="shared" si="11"/>
        <v>0</v>
      </c>
    </row>
    <row r="92" spans="1:23" ht="25.5" x14ac:dyDescent="0.25">
      <c r="A92" s="35" t="s">
        <v>183</v>
      </c>
      <c r="B92" s="69">
        <v>44228</v>
      </c>
      <c r="C92" s="35" t="s">
        <v>890</v>
      </c>
      <c r="D92" s="73" t="s">
        <v>990</v>
      </c>
      <c r="E92" s="73" t="s">
        <v>1064</v>
      </c>
      <c r="F92" s="38" t="s">
        <v>891</v>
      </c>
      <c r="G92" s="38" t="s">
        <v>892</v>
      </c>
      <c r="H92" s="38" t="s">
        <v>893</v>
      </c>
      <c r="I92" s="38" t="s">
        <v>667</v>
      </c>
      <c r="J92" s="38" t="s">
        <v>668</v>
      </c>
      <c r="K92" s="39" t="s">
        <v>39</v>
      </c>
      <c r="L92" s="39" t="s">
        <v>40</v>
      </c>
      <c r="M92" s="39">
        <v>17</v>
      </c>
      <c r="N92" s="40">
        <f>IF(M92="","",IF(M92=1,300,IF(M92=2,370,IF(M92=3,630,IF(M92=4,830,IF(M92=5,370,IF(M92=6,430,IF(M92=7,530,IF(M92=8,370,IF(M92=9,700,IF(M92=10,870,IF(M92=11,370,IF(M92=12,370,IF(M92=13,370,IF(M92=13,370,IF(M92=14,370,IF(M92=15,370,IF(M92=16,300,IF(M92=17,300,IF(M92=18,170,IF(M92=19,330)))))))))))))))))))))</f>
        <v>300</v>
      </c>
      <c r="O92" s="41">
        <v>450</v>
      </c>
      <c r="P92" s="42" t="str">
        <f>IF(M92="","",IF(O92&gt;(5*N92),"ACIMA","OK"))</f>
        <v>OK</v>
      </c>
      <c r="Q92" s="69"/>
      <c r="R92" s="41"/>
      <c r="S92" s="42" t="str">
        <f>IF(R92="","",R92/O92)</f>
        <v/>
      </c>
      <c r="T92" s="42" t="str">
        <f>IF(S92="","",IF(S92&gt;$Z$5,"ACIMA","OK"))</f>
        <v/>
      </c>
      <c r="U92" s="36">
        <v>44358</v>
      </c>
      <c r="V92" s="40">
        <f t="shared" si="10"/>
        <v>450</v>
      </c>
      <c r="W92" s="43">
        <f t="shared" si="11"/>
        <v>0</v>
      </c>
    </row>
    <row r="93" spans="1:23" ht="25.5" x14ac:dyDescent="0.25">
      <c r="A93" s="45" t="s">
        <v>184</v>
      </c>
      <c r="B93" s="70">
        <v>44295</v>
      </c>
      <c r="C93" s="45" t="s">
        <v>895</v>
      </c>
      <c r="D93" s="72" t="s">
        <v>990</v>
      </c>
      <c r="E93" s="72" t="s">
        <v>1064</v>
      </c>
      <c r="F93" s="48" t="s">
        <v>896</v>
      </c>
      <c r="G93" s="48" t="s">
        <v>897</v>
      </c>
      <c r="H93" s="48" t="s">
        <v>898</v>
      </c>
      <c r="I93" s="48" t="s">
        <v>667</v>
      </c>
      <c r="J93" s="48" t="s">
        <v>668</v>
      </c>
      <c r="K93" s="49" t="s">
        <v>39</v>
      </c>
      <c r="L93" s="49" t="s">
        <v>40</v>
      </c>
      <c r="M93" s="49">
        <v>17</v>
      </c>
      <c r="N93" s="50">
        <f>IF(M93="","",IF(M93=1,300,IF(M93=2,370,IF(M93=3,630,IF(M93=4,830,IF(M93=5,370,IF(M93=6,430,IF(M93=7,530,IF(M93=8,370,IF(M93=9,700,IF(M93=10,870,IF(M93=11,370,IF(M93=12,370,IF(M93=13,370,IF(M93=13,370,IF(M93=14,370,IF(M93=15,370,IF(M93=16,300,IF(M93=17,300,IF(M93=18,170,IF(M93=19,330)))))))))))))))))))))</f>
        <v>300</v>
      </c>
      <c r="O93" s="51">
        <v>450</v>
      </c>
      <c r="P93" s="50" t="str">
        <f>IF(M93="","",IF(O93&gt;(5*N93),"ACIMA","OK"))</f>
        <v>OK</v>
      </c>
      <c r="Q93" s="70"/>
      <c r="R93" s="51"/>
      <c r="S93" s="52" t="str">
        <f>IF(R93="","",R93/O93)</f>
        <v/>
      </c>
      <c r="T93" s="52" t="str">
        <f>IF(S93="","",IF(S93&gt;$Z$5,"ACIMA","OK"))</f>
        <v/>
      </c>
      <c r="U93" s="46">
        <v>44358</v>
      </c>
      <c r="V93" s="50">
        <f t="shared" si="10"/>
        <v>450</v>
      </c>
      <c r="W93" s="53">
        <f t="shared" si="11"/>
        <v>0</v>
      </c>
    </row>
    <row r="94" spans="1:23" ht="25.5" x14ac:dyDescent="0.25">
      <c r="A94" s="35" t="s">
        <v>185</v>
      </c>
      <c r="B94" s="69">
        <v>43775</v>
      </c>
      <c r="C94" s="35" t="s">
        <v>1004</v>
      </c>
      <c r="D94" s="73" t="s">
        <v>990</v>
      </c>
      <c r="E94" s="73" t="s">
        <v>1064</v>
      </c>
      <c r="F94" s="38" t="s">
        <v>900</v>
      </c>
      <c r="G94" s="38" t="s">
        <v>901</v>
      </c>
      <c r="H94" s="38" t="s">
        <v>902</v>
      </c>
      <c r="I94" s="38" t="s">
        <v>352</v>
      </c>
      <c r="J94" s="38" t="s">
        <v>678</v>
      </c>
      <c r="K94" s="39" t="s">
        <v>39</v>
      </c>
      <c r="L94" s="39" t="s">
        <v>40</v>
      </c>
      <c r="M94" s="39">
        <v>17</v>
      </c>
      <c r="N94" s="40">
        <f t="shared" ref="N94:N130" si="14">IF(M94="","",IF(M94=1,300,IF(M94=2,370,IF(M94=3,630,IF(M94=4,830,IF(M94=5,370,IF(M94=6,430,IF(M94=7,530,IF(M94=8,370,IF(M94=9,700,IF(M94=10,870,IF(M94=11,370,IF(M94=12,370,IF(M94=13,370,IF(M94=13,370,IF(M94=14,370,IF(M94=15,370,IF(M94=16,300,IF(M94=17,300,IF(M94=18,170,IF(M94=19,330)))))))))))))))))))))</f>
        <v>300</v>
      </c>
      <c r="O94" s="41">
        <v>450</v>
      </c>
      <c r="P94" s="42" t="str">
        <f t="shared" ref="P94:P122" si="15">IF(M94="","",IF(O94&gt;(5*N94),"ACIMA","OK"))</f>
        <v>OK</v>
      </c>
      <c r="Q94" s="69"/>
      <c r="R94" s="41"/>
      <c r="S94" s="42" t="str">
        <f t="shared" ref="S94:S119" si="16">IF(R94="","",R94/O94)</f>
        <v/>
      </c>
      <c r="T94" s="42" t="str">
        <f t="shared" ref="T94:T119" si="17">IF(S94="","",IF(S94&gt;$Z$5,"ACIMA","OK"))</f>
        <v/>
      </c>
      <c r="U94" s="36">
        <v>44358</v>
      </c>
      <c r="V94" s="40">
        <f t="shared" si="10"/>
        <v>450</v>
      </c>
      <c r="W94" s="43">
        <f t="shared" si="11"/>
        <v>0</v>
      </c>
    </row>
    <row r="95" spans="1:23" ht="25.5" x14ac:dyDescent="0.25">
      <c r="A95" s="45" t="s">
        <v>186</v>
      </c>
      <c r="B95" s="70">
        <v>44292</v>
      </c>
      <c r="C95" s="45" t="s">
        <v>903</v>
      </c>
      <c r="D95" s="72" t="s">
        <v>990</v>
      </c>
      <c r="E95" s="72" t="s">
        <v>1064</v>
      </c>
      <c r="F95" s="48" t="s">
        <v>904</v>
      </c>
      <c r="G95" s="48" t="s">
        <v>905</v>
      </c>
      <c r="H95" s="49" t="s">
        <v>906</v>
      </c>
      <c r="I95" s="48" t="s">
        <v>667</v>
      </c>
      <c r="J95" s="49" t="s">
        <v>668</v>
      </c>
      <c r="K95" s="49" t="s">
        <v>39</v>
      </c>
      <c r="L95" s="49" t="s">
        <v>40</v>
      </c>
      <c r="M95" s="49">
        <v>17</v>
      </c>
      <c r="N95" s="50">
        <f t="shared" si="14"/>
        <v>300</v>
      </c>
      <c r="O95" s="51">
        <v>450</v>
      </c>
      <c r="P95" s="50" t="str">
        <f t="shared" si="15"/>
        <v>OK</v>
      </c>
      <c r="Q95" s="70"/>
      <c r="R95" s="51"/>
      <c r="S95" s="52" t="str">
        <f t="shared" si="16"/>
        <v/>
      </c>
      <c r="T95" s="52" t="str">
        <f t="shared" si="17"/>
        <v/>
      </c>
      <c r="U95" s="46">
        <v>44358</v>
      </c>
      <c r="V95" s="50">
        <f t="shared" si="10"/>
        <v>450</v>
      </c>
      <c r="W95" s="53">
        <f t="shared" si="11"/>
        <v>0</v>
      </c>
    </row>
    <row r="96" spans="1:23" ht="38.25" x14ac:dyDescent="0.25">
      <c r="A96" s="35" t="s">
        <v>187</v>
      </c>
      <c r="B96" s="69">
        <v>44258</v>
      </c>
      <c r="C96" s="35" t="s">
        <v>907</v>
      </c>
      <c r="D96" s="73" t="s">
        <v>1005</v>
      </c>
      <c r="E96" s="73" t="s">
        <v>1080</v>
      </c>
      <c r="F96" s="38" t="s">
        <v>908</v>
      </c>
      <c r="G96" s="38" t="s">
        <v>909</v>
      </c>
      <c r="H96" s="38" t="s">
        <v>910</v>
      </c>
      <c r="I96" s="38" t="s">
        <v>842</v>
      </c>
      <c r="J96" s="38" t="s">
        <v>912</v>
      </c>
      <c r="K96" s="39" t="s">
        <v>5</v>
      </c>
      <c r="L96" s="39" t="s">
        <v>8</v>
      </c>
      <c r="M96" s="39">
        <v>2</v>
      </c>
      <c r="N96" s="40">
        <f t="shared" si="14"/>
        <v>370</v>
      </c>
      <c r="O96" s="41">
        <v>1000</v>
      </c>
      <c r="P96" s="42" t="str">
        <f t="shared" si="15"/>
        <v>OK</v>
      </c>
      <c r="Q96" s="69"/>
      <c r="R96" s="41"/>
      <c r="S96" s="42" t="str">
        <f t="shared" si="16"/>
        <v/>
      </c>
      <c r="T96" s="42" t="str">
        <f t="shared" si="17"/>
        <v/>
      </c>
      <c r="U96" s="36">
        <v>44358</v>
      </c>
      <c r="V96" s="40">
        <f t="shared" si="10"/>
        <v>1000</v>
      </c>
      <c r="W96" s="43">
        <f t="shared" si="11"/>
        <v>0</v>
      </c>
    </row>
    <row r="97" spans="1:23" ht="25.5" x14ac:dyDescent="0.25">
      <c r="A97" s="45" t="s">
        <v>188</v>
      </c>
      <c r="B97" s="70">
        <v>43279</v>
      </c>
      <c r="C97" s="45" t="s">
        <v>913</v>
      </c>
      <c r="D97" s="72" t="s">
        <v>1006</v>
      </c>
      <c r="E97" s="72" t="s">
        <v>1064</v>
      </c>
      <c r="F97" s="48" t="s">
        <v>914</v>
      </c>
      <c r="G97" s="48" t="s">
        <v>915</v>
      </c>
      <c r="H97" s="48" t="s">
        <v>916</v>
      </c>
      <c r="I97" s="48" t="s">
        <v>1414</v>
      </c>
      <c r="J97" s="48" t="s">
        <v>918</v>
      </c>
      <c r="K97" s="49" t="s">
        <v>5</v>
      </c>
      <c r="L97" s="49" t="s">
        <v>8</v>
      </c>
      <c r="M97" s="49">
        <v>2</v>
      </c>
      <c r="N97" s="50">
        <f t="shared" si="14"/>
        <v>370</v>
      </c>
      <c r="O97" s="51">
        <v>937</v>
      </c>
      <c r="P97" s="50" t="str">
        <f t="shared" si="15"/>
        <v>OK</v>
      </c>
      <c r="Q97" s="70"/>
      <c r="R97" s="51"/>
      <c r="S97" s="52" t="str">
        <f t="shared" si="16"/>
        <v/>
      </c>
      <c r="T97" s="52" t="str">
        <f t="shared" si="17"/>
        <v/>
      </c>
      <c r="U97" s="46">
        <v>44358</v>
      </c>
      <c r="V97" s="50">
        <f t="shared" si="10"/>
        <v>937</v>
      </c>
      <c r="W97" s="53">
        <f t="shared" si="11"/>
        <v>0</v>
      </c>
    </row>
    <row r="98" spans="1:23" ht="25.5" x14ac:dyDescent="0.25">
      <c r="A98" s="35" t="s">
        <v>189</v>
      </c>
      <c r="B98" s="69">
        <v>44223</v>
      </c>
      <c r="C98" s="35" t="s">
        <v>920</v>
      </c>
      <c r="D98" s="73" t="s">
        <v>990</v>
      </c>
      <c r="E98" s="73" t="s">
        <v>1064</v>
      </c>
      <c r="F98" s="38" t="s">
        <v>923</v>
      </c>
      <c r="G98" s="38" t="s">
        <v>921</v>
      </c>
      <c r="H98" s="38" t="s">
        <v>922</v>
      </c>
      <c r="I98" s="38" t="s">
        <v>667</v>
      </c>
      <c r="J98" s="38" t="s">
        <v>668</v>
      </c>
      <c r="K98" s="39" t="s">
        <v>39</v>
      </c>
      <c r="L98" s="39" t="s">
        <v>40</v>
      </c>
      <c r="M98" s="39">
        <v>17</v>
      </c>
      <c r="N98" s="40">
        <f t="shared" si="14"/>
        <v>300</v>
      </c>
      <c r="O98" s="41">
        <v>450</v>
      </c>
      <c r="P98" s="42" t="str">
        <f t="shared" si="15"/>
        <v>OK</v>
      </c>
      <c r="Q98" s="69"/>
      <c r="R98" s="41"/>
      <c r="S98" s="42" t="str">
        <f t="shared" si="16"/>
        <v/>
      </c>
      <c r="T98" s="42" t="str">
        <f t="shared" si="17"/>
        <v/>
      </c>
      <c r="U98" s="36">
        <v>44358</v>
      </c>
      <c r="V98" s="40">
        <f t="shared" si="10"/>
        <v>450</v>
      </c>
      <c r="W98" s="43">
        <f t="shared" si="11"/>
        <v>0</v>
      </c>
    </row>
    <row r="99" spans="1:23" ht="25.5" x14ac:dyDescent="0.25">
      <c r="A99" s="45" t="s">
        <v>190</v>
      </c>
      <c r="B99" s="70">
        <v>43270</v>
      </c>
      <c r="C99" s="45" t="s">
        <v>924</v>
      </c>
      <c r="D99" s="72" t="s">
        <v>1007</v>
      </c>
      <c r="E99" s="72" t="s">
        <v>1080</v>
      </c>
      <c r="F99" s="48" t="s">
        <v>925</v>
      </c>
      <c r="G99" s="48" t="s">
        <v>926</v>
      </c>
      <c r="H99" s="48" t="s">
        <v>927</v>
      </c>
      <c r="I99" s="48" t="s">
        <v>928</v>
      </c>
      <c r="J99" s="48" t="s">
        <v>929</v>
      </c>
      <c r="K99" s="49" t="s">
        <v>5</v>
      </c>
      <c r="L99" s="49" t="s">
        <v>8</v>
      </c>
      <c r="M99" s="49">
        <v>2</v>
      </c>
      <c r="N99" s="50">
        <f t="shared" si="14"/>
        <v>370</v>
      </c>
      <c r="O99" s="51">
        <v>1500</v>
      </c>
      <c r="P99" s="50" t="str">
        <f t="shared" si="15"/>
        <v>OK</v>
      </c>
      <c r="Q99" s="70"/>
      <c r="R99" s="51"/>
      <c r="S99" s="52" t="str">
        <f t="shared" si="16"/>
        <v/>
      </c>
      <c r="T99" s="52" t="str">
        <f t="shared" si="17"/>
        <v/>
      </c>
      <c r="U99" s="46">
        <v>44358</v>
      </c>
      <c r="V99" s="50">
        <f t="shared" si="10"/>
        <v>1500</v>
      </c>
      <c r="W99" s="53">
        <f t="shared" si="11"/>
        <v>0</v>
      </c>
    </row>
    <row r="100" spans="1:23" ht="25.5" x14ac:dyDescent="0.25">
      <c r="A100" s="35" t="s">
        <v>191</v>
      </c>
      <c r="B100" s="69">
        <v>44054</v>
      </c>
      <c r="C100" s="35" t="s">
        <v>930</v>
      </c>
      <c r="D100" s="73" t="s">
        <v>1008</v>
      </c>
      <c r="E100" s="73" t="s">
        <v>1080</v>
      </c>
      <c r="F100" s="38" t="s">
        <v>932</v>
      </c>
      <c r="G100" s="38" t="s">
        <v>933</v>
      </c>
      <c r="H100" s="38" t="s">
        <v>934</v>
      </c>
      <c r="I100" s="38" t="s">
        <v>935</v>
      </c>
      <c r="J100" s="38" t="s">
        <v>936</v>
      </c>
      <c r="K100" s="39" t="s">
        <v>5</v>
      </c>
      <c r="L100" s="39" t="s">
        <v>8</v>
      </c>
      <c r="M100" s="39">
        <v>2</v>
      </c>
      <c r="N100" s="40">
        <f t="shared" si="14"/>
        <v>370</v>
      </c>
      <c r="O100" s="41">
        <v>1500</v>
      </c>
      <c r="P100" s="42" t="str">
        <f t="shared" si="15"/>
        <v>OK</v>
      </c>
      <c r="Q100" s="69"/>
      <c r="R100" s="41"/>
      <c r="S100" s="42" t="str">
        <f t="shared" si="16"/>
        <v/>
      </c>
      <c r="T100" s="42" t="str">
        <f t="shared" si="17"/>
        <v/>
      </c>
      <c r="U100" s="36">
        <v>44358</v>
      </c>
      <c r="V100" s="40">
        <f t="shared" si="10"/>
        <v>1500</v>
      </c>
      <c r="W100" s="43">
        <f t="shared" si="11"/>
        <v>0</v>
      </c>
    </row>
    <row r="101" spans="1:23" ht="51" x14ac:dyDescent="0.25">
      <c r="A101" s="45" t="s">
        <v>192</v>
      </c>
      <c r="B101" s="70">
        <v>43865</v>
      </c>
      <c r="C101" s="45" t="s">
        <v>937</v>
      </c>
      <c r="D101" s="72" t="s">
        <v>1005</v>
      </c>
      <c r="E101" s="72" t="s">
        <v>1080</v>
      </c>
      <c r="F101" s="48" t="s">
        <v>940</v>
      </c>
      <c r="G101" s="48" t="s">
        <v>938</v>
      </c>
      <c r="H101" s="48" t="s">
        <v>939</v>
      </c>
      <c r="I101" s="48" t="s">
        <v>941</v>
      </c>
      <c r="J101" s="49" t="s">
        <v>912</v>
      </c>
      <c r="K101" s="49" t="s">
        <v>5</v>
      </c>
      <c r="L101" s="49" t="s">
        <v>8</v>
      </c>
      <c r="M101" s="49">
        <v>2</v>
      </c>
      <c r="N101" s="80">
        <f t="shared" si="14"/>
        <v>370</v>
      </c>
      <c r="O101" s="76">
        <v>1200</v>
      </c>
      <c r="P101" s="81" t="str">
        <f t="shared" si="15"/>
        <v>OK</v>
      </c>
      <c r="Q101" s="142"/>
      <c r="R101" s="76"/>
      <c r="S101" s="81" t="str">
        <f t="shared" si="16"/>
        <v/>
      </c>
      <c r="T101" s="81" t="str">
        <f t="shared" si="17"/>
        <v/>
      </c>
      <c r="U101" s="77">
        <v>44358</v>
      </c>
      <c r="V101" s="50">
        <f t="shared" si="10"/>
        <v>1200</v>
      </c>
      <c r="W101" s="53">
        <f t="shared" si="11"/>
        <v>0</v>
      </c>
    </row>
    <row r="102" spans="1:23" ht="25.5" x14ac:dyDescent="0.25">
      <c r="A102" s="35" t="s">
        <v>193</v>
      </c>
      <c r="B102" s="69">
        <v>44271</v>
      </c>
      <c r="C102" s="35" t="s">
        <v>942</v>
      </c>
      <c r="D102" s="73" t="s">
        <v>1000</v>
      </c>
      <c r="E102" s="73" t="s">
        <v>1064</v>
      </c>
      <c r="F102" s="39" t="s">
        <v>944</v>
      </c>
      <c r="G102" s="38" t="s">
        <v>945</v>
      </c>
      <c r="H102" s="38" t="s">
        <v>946</v>
      </c>
      <c r="I102" s="38" t="s">
        <v>947</v>
      </c>
      <c r="J102" s="38">
        <v>9104652401</v>
      </c>
      <c r="K102" s="39" t="s">
        <v>5</v>
      </c>
      <c r="L102" s="39" t="s">
        <v>14</v>
      </c>
      <c r="M102" s="39">
        <v>5</v>
      </c>
      <c r="N102" s="82">
        <f t="shared" si="14"/>
        <v>370</v>
      </c>
      <c r="O102" s="78">
        <v>1110</v>
      </c>
      <c r="P102" s="82" t="str">
        <f t="shared" si="15"/>
        <v>OK</v>
      </c>
      <c r="Q102" s="143"/>
      <c r="R102" s="78"/>
      <c r="S102" s="83" t="str">
        <f t="shared" si="16"/>
        <v/>
      </c>
      <c r="T102" s="83" t="str">
        <f t="shared" si="17"/>
        <v/>
      </c>
      <c r="U102" s="79">
        <v>44358</v>
      </c>
      <c r="V102" s="40">
        <f t="shared" si="10"/>
        <v>1110</v>
      </c>
      <c r="W102" s="43">
        <f t="shared" si="11"/>
        <v>0</v>
      </c>
    </row>
    <row r="103" spans="1:23" ht="25.5" x14ac:dyDescent="0.25">
      <c r="A103" s="45" t="s">
        <v>194</v>
      </c>
      <c r="B103" s="70">
        <v>44362</v>
      </c>
      <c r="C103" s="45" t="s">
        <v>948</v>
      </c>
      <c r="D103" s="72" t="s">
        <v>999</v>
      </c>
      <c r="E103" s="72" t="s">
        <v>1064</v>
      </c>
      <c r="F103" s="48" t="s">
        <v>950</v>
      </c>
      <c r="G103" s="48" t="s">
        <v>951</v>
      </c>
      <c r="H103" s="48" t="s">
        <v>952</v>
      </c>
      <c r="I103" s="48" t="s">
        <v>793</v>
      </c>
      <c r="J103" s="48" t="s">
        <v>792</v>
      </c>
      <c r="K103" s="49" t="s">
        <v>432</v>
      </c>
      <c r="L103" s="49" t="s">
        <v>480</v>
      </c>
      <c r="M103" s="49">
        <v>1</v>
      </c>
      <c r="N103" s="84">
        <f t="shared" si="14"/>
        <v>300</v>
      </c>
      <c r="O103" s="76">
        <v>300</v>
      </c>
      <c r="P103" s="85" t="str">
        <f t="shared" si="15"/>
        <v>OK</v>
      </c>
      <c r="Q103" s="142"/>
      <c r="R103" s="76"/>
      <c r="S103" s="85" t="str">
        <f t="shared" si="16"/>
        <v/>
      </c>
      <c r="T103" s="85" t="str">
        <f t="shared" si="17"/>
        <v/>
      </c>
      <c r="U103" s="77">
        <v>44363</v>
      </c>
      <c r="V103" s="50">
        <f t="shared" si="10"/>
        <v>300</v>
      </c>
      <c r="W103" s="53">
        <f t="shared" si="11"/>
        <v>0</v>
      </c>
    </row>
    <row r="104" spans="1:23" ht="25.5" x14ac:dyDescent="0.25">
      <c r="A104" s="35" t="s">
        <v>195</v>
      </c>
      <c r="B104" s="69">
        <v>44312</v>
      </c>
      <c r="C104" s="35" t="s">
        <v>954</v>
      </c>
      <c r="D104" s="73" t="s">
        <v>767</v>
      </c>
      <c r="E104" s="73" t="s">
        <v>1067</v>
      </c>
      <c r="F104" s="38" t="s">
        <v>956</v>
      </c>
      <c r="G104" s="38" t="s">
        <v>957</v>
      </c>
      <c r="H104" s="38" t="s">
        <v>958</v>
      </c>
      <c r="I104" s="38" t="s">
        <v>771</v>
      </c>
      <c r="J104" s="38" t="s">
        <v>772</v>
      </c>
      <c r="K104" s="39" t="s">
        <v>31</v>
      </c>
      <c r="L104" s="39" t="s">
        <v>32</v>
      </c>
      <c r="M104" s="39">
        <v>13</v>
      </c>
      <c r="N104" s="86">
        <f t="shared" si="14"/>
        <v>370</v>
      </c>
      <c r="O104" s="78">
        <v>370</v>
      </c>
      <c r="P104" s="86" t="str">
        <f t="shared" si="15"/>
        <v>OK</v>
      </c>
      <c r="Q104" s="143"/>
      <c r="R104" s="78"/>
      <c r="S104" s="87" t="str">
        <f t="shared" si="16"/>
        <v/>
      </c>
      <c r="T104" s="87" t="str">
        <f t="shared" si="17"/>
        <v/>
      </c>
      <c r="U104" s="79">
        <v>44363</v>
      </c>
      <c r="V104" s="40">
        <f t="shared" si="10"/>
        <v>370</v>
      </c>
      <c r="W104" s="43">
        <f t="shared" si="11"/>
        <v>0</v>
      </c>
    </row>
    <row r="105" spans="1:23" ht="25.5" x14ac:dyDescent="0.25">
      <c r="A105" s="45" t="s">
        <v>196</v>
      </c>
      <c r="B105" s="70">
        <v>44271</v>
      </c>
      <c r="C105" s="45" t="s">
        <v>959</v>
      </c>
      <c r="D105" s="72" t="s">
        <v>1082</v>
      </c>
      <c r="E105" s="72" t="s">
        <v>1083</v>
      </c>
      <c r="F105" s="48" t="s">
        <v>961</v>
      </c>
      <c r="G105" s="48" t="s">
        <v>962</v>
      </c>
      <c r="H105" s="48" t="s">
        <v>963</v>
      </c>
      <c r="I105" s="48" t="s">
        <v>320</v>
      </c>
      <c r="J105" s="48" t="s">
        <v>317</v>
      </c>
      <c r="K105" s="49" t="s">
        <v>432</v>
      </c>
      <c r="L105" s="49" t="s">
        <v>964</v>
      </c>
      <c r="M105" s="49">
        <v>1</v>
      </c>
      <c r="N105" s="80">
        <f t="shared" si="14"/>
        <v>300</v>
      </c>
      <c r="O105" s="76">
        <v>1000</v>
      </c>
      <c r="P105" s="81" t="str">
        <f t="shared" si="15"/>
        <v>OK</v>
      </c>
      <c r="Q105" s="142"/>
      <c r="R105" s="76"/>
      <c r="S105" s="81" t="str">
        <f t="shared" si="16"/>
        <v/>
      </c>
      <c r="T105" s="81" t="str">
        <f t="shared" si="17"/>
        <v/>
      </c>
      <c r="U105" s="77">
        <v>44375</v>
      </c>
      <c r="V105" s="50">
        <f t="shared" si="10"/>
        <v>1000</v>
      </c>
      <c r="W105" s="53">
        <f t="shared" si="11"/>
        <v>0</v>
      </c>
    </row>
    <row r="106" spans="1:23" ht="25.5" x14ac:dyDescent="0.25">
      <c r="A106" s="35" t="s">
        <v>197</v>
      </c>
      <c r="B106" s="36">
        <v>44376</v>
      </c>
      <c r="C106" s="35" t="s">
        <v>965</v>
      </c>
      <c r="D106" s="73" t="s">
        <v>1079</v>
      </c>
      <c r="E106" s="73" t="s">
        <v>980</v>
      </c>
      <c r="F106" s="38" t="s">
        <v>967</v>
      </c>
      <c r="G106" s="38" t="s">
        <v>968</v>
      </c>
      <c r="H106" s="38" t="s">
        <v>969</v>
      </c>
      <c r="I106" s="38" t="s">
        <v>970</v>
      </c>
      <c r="J106" s="38" t="s">
        <v>971</v>
      </c>
      <c r="K106" s="39" t="s">
        <v>39</v>
      </c>
      <c r="L106" s="39" t="s">
        <v>40</v>
      </c>
      <c r="M106" s="39">
        <v>17</v>
      </c>
      <c r="N106" s="86">
        <f t="shared" si="14"/>
        <v>300</v>
      </c>
      <c r="O106" s="78">
        <v>240</v>
      </c>
      <c r="P106" s="86" t="str">
        <f t="shared" si="15"/>
        <v>OK</v>
      </c>
      <c r="Q106" s="143"/>
      <c r="R106" s="78"/>
      <c r="S106" s="87" t="str">
        <f t="shared" si="16"/>
        <v/>
      </c>
      <c r="T106" s="87" t="str">
        <f t="shared" si="17"/>
        <v/>
      </c>
      <c r="U106" s="79">
        <v>44377</v>
      </c>
      <c r="V106" s="40">
        <f t="shared" si="10"/>
        <v>240</v>
      </c>
      <c r="W106" s="43">
        <f t="shared" si="11"/>
        <v>0</v>
      </c>
    </row>
    <row r="107" spans="1:23" ht="25.5" x14ac:dyDescent="0.25">
      <c r="A107" s="45" t="s">
        <v>198</v>
      </c>
      <c r="B107" s="46">
        <v>44041</v>
      </c>
      <c r="C107" s="45" t="s">
        <v>1029</v>
      </c>
      <c r="D107" s="72" t="s">
        <v>659</v>
      </c>
      <c r="E107" s="72" t="s">
        <v>1073</v>
      </c>
      <c r="F107" s="48" t="s">
        <v>1030</v>
      </c>
      <c r="G107" s="48" t="s">
        <v>1031</v>
      </c>
      <c r="H107" s="49" t="s">
        <v>1032</v>
      </c>
      <c r="I107" s="48" t="s">
        <v>320</v>
      </c>
      <c r="J107" s="49" t="s">
        <v>317</v>
      </c>
      <c r="K107" s="49" t="s">
        <v>432</v>
      </c>
      <c r="L107" s="49" t="s">
        <v>964</v>
      </c>
      <c r="M107" s="49">
        <v>1</v>
      </c>
      <c r="N107" s="80">
        <f t="shared" si="14"/>
        <v>300</v>
      </c>
      <c r="O107" s="76">
        <v>300</v>
      </c>
      <c r="P107" s="81" t="str">
        <f t="shared" si="15"/>
        <v>OK</v>
      </c>
      <c r="Q107" s="142"/>
      <c r="R107" s="76"/>
      <c r="S107" s="81" t="str">
        <f t="shared" si="16"/>
        <v/>
      </c>
      <c r="T107" s="81" t="str">
        <f t="shared" si="17"/>
        <v/>
      </c>
      <c r="U107" s="77">
        <v>44378</v>
      </c>
      <c r="V107" s="50">
        <f t="shared" si="10"/>
        <v>300</v>
      </c>
      <c r="W107" s="53">
        <f t="shared" si="11"/>
        <v>0</v>
      </c>
    </row>
    <row r="108" spans="1:23" ht="25.5" x14ac:dyDescent="0.25">
      <c r="A108" s="35" t="s">
        <v>199</v>
      </c>
      <c r="B108" s="36">
        <v>44379</v>
      </c>
      <c r="C108" s="35" t="s">
        <v>1009</v>
      </c>
      <c r="D108" s="73" t="s">
        <v>989</v>
      </c>
      <c r="E108" s="73" t="s">
        <v>1064</v>
      </c>
      <c r="F108" s="38" t="s">
        <v>1010</v>
      </c>
      <c r="G108" s="38" t="s">
        <v>1011</v>
      </c>
      <c r="H108" s="38" t="s">
        <v>428</v>
      </c>
      <c r="I108" s="38" t="s">
        <v>1012</v>
      </c>
      <c r="J108" s="38" t="s">
        <v>479</v>
      </c>
      <c r="K108" s="39" t="s">
        <v>432</v>
      </c>
      <c r="L108" s="39" t="s">
        <v>480</v>
      </c>
      <c r="M108" s="39">
        <v>2</v>
      </c>
      <c r="N108" s="86">
        <f t="shared" si="14"/>
        <v>370</v>
      </c>
      <c r="O108" s="78">
        <v>370</v>
      </c>
      <c r="P108" s="86" t="str">
        <f t="shared" si="15"/>
        <v>OK</v>
      </c>
      <c r="Q108" s="143"/>
      <c r="R108" s="78"/>
      <c r="S108" s="87" t="str">
        <f t="shared" si="16"/>
        <v/>
      </c>
      <c r="T108" s="87" t="str">
        <f t="shared" si="17"/>
        <v/>
      </c>
      <c r="U108" s="79">
        <v>44379</v>
      </c>
      <c r="V108" s="40">
        <f t="shared" si="10"/>
        <v>370</v>
      </c>
      <c r="W108" s="43">
        <f t="shared" si="11"/>
        <v>0</v>
      </c>
    </row>
    <row r="109" spans="1:23" ht="25.5" x14ac:dyDescent="0.25">
      <c r="A109" s="45" t="s">
        <v>200</v>
      </c>
      <c r="B109" s="46">
        <v>44302</v>
      </c>
      <c r="C109" s="45" t="s">
        <v>1013</v>
      </c>
      <c r="D109" s="72" t="s">
        <v>868</v>
      </c>
      <c r="E109" s="72" t="s">
        <v>1070</v>
      </c>
      <c r="F109" s="48" t="s">
        <v>1014</v>
      </c>
      <c r="G109" s="48" t="s">
        <v>1015</v>
      </c>
      <c r="H109" s="48" t="s">
        <v>1016</v>
      </c>
      <c r="I109" s="48" t="s">
        <v>320</v>
      </c>
      <c r="J109" s="48" t="s">
        <v>317</v>
      </c>
      <c r="K109" s="49" t="s">
        <v>432</v>
      </c>
      <c r="L109" s="49" t="s">
        <v>964</v>
      </c>
      <c r="M109" s="49">
        <v>1</v>
      </c>
      <c r="N109" s="80">
        <f t="shared" si="14"/>
        <v>300</v>
      </c>
      <c r="O109" s="76">
        <v>300</v>
      </c>
      <c r="P109" s="81" t="str">
        <f t="shared" si="15"/>
        <v>OK</v>
      </c>
      <c r="Q109" s="142"/>
      <c r="R109" s="76"/>
      <c r="S109" s="81" t="str">
        <f t="shared" si="16"/>
        <v/>
      </c>
      <c r="T109" s="81" t="str">
        <f t="shared" si="17"/>
        <v/>
      </c>
      <c r="U109" s="77">
        <v>44382</v>
      </c>
      <c r="V109" s="50">
        <f t="shared" si="10"/>
        <v>300</v>
      </c>
      <c r="W109" s="53">
        <f t="shared" si="11"/>
        <v>0</v>
      </c>
    </row>
    <row r="110" spans="1:23" ht="25.5" x14ac:dyDescent="0.25">
      <c r="A110" s="35" t="s">
        <v>201</v>
      </c>
      <c r="B110" s="36">
        <v>44042</v>
      </c>
      <c r="C110" s="35" t="s">
        <v>984</v>
      </c>
      <c r="D110" s="73" t="s">
        <v>659</v>
      </c>
      <c r="E110" s="73" t="s">
        <v>1073</v>
      </c>
      <c r="F110" s="38" t="s">
        <v>985</v>
      </c>
      <c r="G110" s="38" t="s">
        <v>986</v>
      </c>
      <c r="H110" s="38" t="s">
        <v>987</v>
      </c>
      <c r="I110" s="38" t="s">
        <v>320</v>
      </c>
      <c r="J110" s="38" t="s">
        <v>317</v>
      </c>
      <c r="K110" s="39" t="s">
        <v>16</v>
      </c>
      <c r="L110" s="39" t="s">
        <v>988</v>
      </c>
      <c r="M110" s="39">
        <v>11</v>
      </c>
      <c r="N110" s="86">
        <v>370</v>
      </c>
      <c r="O110" s="78">
        <v>370</v>
      </c>
      <c r="P110" s="86" t="s">
        <v>1017</v>
      </c>
      <c r="Q110" s="143"/>
      <c r="R110" s="78"/>
      <c r="S110" s="87" t="s">
        <v>415</v>
      </c>
      <c r="T110" s="87" t="s">
        <v>415</v>
      </c>
      <c r="U110" s="79">
        <v>44384</v>
      </c>
      <c r="V110" s="40">
        <f t="shared" si="10"/>
        <v>370</v>
      </c>
      <c r="W110" s="43">
        <f t="shared" si="11"/>
        <v>0</v>
      </c>
    </row>
    <row r="111" spans="1:23" ht="38.25" x14ac:dyDescent="0.25">
      <c r="A111" s="45" t="s">
        <v>202</v>
      </c>
      <c r="B111" s="46">
        <v>44316</v>
      </c>
      <c r="C111" s="45" t="s">
        <v>1018</v>
      </c>
      <c r="D111" s="72" t="s">
        <v>659</v>
      </c>
      <c r="E111" s="72" t="s">
        <v>1073</v>
      </c>
      <c r="F111" s="48" t="s">
        <v>1019</v>
      </c>
      <c r="G111" s="48" t="s">
        <v>1020</v>
      </c>
      <c r="H111" s="48" t="s">
        <v>1021</v>
      </c>
      <c r="I111" s="48" t="s">
        <v>320</v>
      </c>
      <c r="J111" s="48" t="s">
        <v>317</v>
      </c>
      <c r="K111" s="49" t="s">
        <v>16</v>
      </c>
      <c r="L111" s="49" t="s">
        <v>988</v>
      </c>
      <c r="M111" s="49">
        <v>11</v>
      </c>
      <c r="N111" s="80">
        <f t="shared" si="14"/>
        <v>370</v>
      </c>
      <c r="O111" s="76">
        <v>370</v>
      </c>
      <c r="P111" s="81" t="str">
        <f t="shared" si="15"/>
        <v>OK</v>
      </c>
      <c r="Q111" s="142"/>
      <c r="R111" s="76"/>
      <c r="S111" s="81" t="str">
        <f t="shared" si="16"/>
        <v/>
      </c>
      <c r="T111" s="81" t="str">
        <f t="shared" si="17"/>
        <v/>
      </c>
      <c r="U111" s="77">
        <v>44385</v>
      </c>
      <c r="V111" s="50">
        <f t="shared" si="10"/>
        <v>370</v>
      </c>
      <c r="W111" s="53">
        <f t="shared" si="11"/>
        <v>0</v>
      </c>
    </row>
    <row r="112" spans="1:23" ht="25.5" x14ac:dyDescent="0.25">
      <c r="A112" s="35" t="s">
        <v>203</v>
      </c>
      <c r="B112" s="36">
        <v>44217</v>
      </c>
      <c r="C112" s="35" t="s">
        <v>341</v>
      </c>
      <c r="D112" s="73" t="s">
        <v>868</v>
      </c>
      <c r="E112" s="73" t="s">
        <v>1070</v>
      </c>
      <c r="F112" s="38" t="s">
        <v>1022</v>
      </c>
      <c r="G112" s="38" t="s">
        <v>1023</v>
      </c>
      <c r="H112" s="38" t="s">
        <v>1024</v>
      </c>
      <c r="I112" s="38" t="s">
        <v>320</v>
      </c>
      <c r="J112" s="38" t="s">
        <v>317</v>
      </c>
      <c r="K112" s="39" t="s">
        <v>16</v>
      </c>
      <c r="L112" s="39" t="s">
        <v>988</v>
      </c>
      <c r="M112" s="39">
        <v>11</v>
      </c>
      <c r="N112" s="86">
        <f t="shared" si="14"/>
        <v>370</v>
      </c>
      <c r="O112" s="78">
        <v>370</v>
      </c>
      <c r="P112" s="86" t="str">
        <f t="shared" si="15"/>
        <v>OK</v>
      </c>
      <c r="Q112" s="143"/>
      <c r="R112" s="78"/>
      <c r="S112" s="87" t="str">
        <f t="shared" si="16"/>
        <v/>
      </c>
      <c r="T112" s="87" t="str">
        <f t="shared" si="17"/>
        <v/>
      </c>
      <c r="U112" s="79">
        <v>44385</v>
      </c>
      <c r="V112" s="40">
        <f t="shared" si="10"/>
        <v>370</v>
      </c>
      <c r="W112" s="43">
        <f t="shared" si="11"/>
        <v>0</v>
      </c>
    </row>
    <row r="113" spans="1:23" ht="38.25" x14ac:dyDescent="0.25">
      <c r="A113" s="45" t="s">
        <v>204</v>
      </c>
      <c r="B113" s="46">
        <v>44385</v>
      </c>
      <c r="C113" s="45" t="s">
        <v>1025</v>
      </c>
      <c r="D113" s="72" t="s">
        <v>501</v>
      </c>
      <c r="E113" s="72" t="s">
        <v>1072</v>
      </c>
      <c r="F113" s="48" t="s">
        <v>1026</v>
      </c>
      <c r="G113" s="48" t="s">
        <v>1027</v>
      </c>
      <c r="H113" s="48" t="s">
        <v>1028</v>
      </c>
      <c r="I113" s="48" t="s">
        <v>320</v>
      </c>
      <c r="J113" s="49" t="s">
        <v>317</v>
      </c>
      <c r="K113" s="49" t="s">
        <v>432</v>
      </c>
      <c r="L113" s="49" t="s">
        <v>964</v>
      </c>
      <c r="M113" s="49">
        <v>1</v>
      </c>
      <c r="N113" s="80">
        <f t="shared" si="14"/>
        <v>300</v>
      </c>
      <c r="O113" s="76">
        <v>300</v>
      </c>
      <c r="P113" s="81" t="str">
        <f t="shared" si="15"/>
        <v>OK</v>
      </c>
      <c r="Q113" s="142"/>
      <c r="R113" s="76"/>
      <c r="S113" s="81" t="str">
        <f t="shared" si="16"/>
        <v/>
      </c>
      <c r="T113" s="81" t="str">
        <f t="shared" si="17"/>
        <v/>
      </c>
      <c r="U113" s="77">
        <v>44385</v>
      </c>
      <c r="V113" s="50">
        <f t="shared" si="10"/>
        <v>300</v>
      </c>
      <c r="W113" s="53">
        <f t="shared" si="11"/>
        <v>0</v>
      </c>
    </row>
    <row r="114" spans="1:23" ht="25.5" x14ac:dyDescent="0.25">
      <c r="A114" s="35" t="s">
        <v>205</v>
      </c>
      <c r="B114" s="36">
        <v>44300</v>
      </c>
      <c r="C114" s="35" t="s">
        <v>1034</v>
      </c>
      <c r="D114" s="73" t="s">
        <v>501</v>
      </c>
      <c r="E114" s="73" t="s">
        <v>1072</v>
      </c>
      <c r="F114" s="38" t="s">
        <v>1035</v>
      </c>
      <c r="G114" s="38" t="s">
        <v>1036</v>
      </c>
      <c r="H114" s="38" t="s">
        <v>585</v>
      </c>
      <c r="I114" s="38" t="s">
        <v>320</v>
      </c>
      <c r="J114" s="38" t="s">
        <v>317</v>
      </c>
      <c r="K114" s="39" t="s">
        <v>432</v>
      </c>
      <c r="L114" s="39" t="s">
        <v>964</v>
      </c>
      <c r="M114" s="39">
        <v>1</v>
      </c>
      <c r="N114" s="86">
        <f t="shared" si="14"/>
        <v>300</v>
      </c>
      <c r="O114" s="78">
        <v>1000</v>
      </c>
      <c r="P114" s="86" t="str">
        <f t="shared" si="15"/>
        <v>OK</v>
      </c>
      <c r="Q114" s="143"/>
      <c r="R114" s="78"/>
      <c r="S114" s="87" t="str">
        <f t="shared" si="16"/>
        <v/>
      </c>
      <c r="T114" s="87" t="str">
        <f t="shared" si="17"/>
        <v/>
      </c>
      <c r="U114" s="79">
        <v>44386</v>
      </c>
      <c r="V114" s="40">
        <f t="shared" si="10"/>
        <v>1000</v>
      </c>
      <c r="W114" s="43">
        <f t="shared" si="11"/>
        <v>0</v>
      </c>
    </row>
    <row r="115" spans="1:23" ht="25.5" x14ac:dyDescent="0.25">
      <c r="A115" s="45" t="s">
        <v>206</v>
      </c>
      <c r="B115" s="46">
        <v>44330</v>
      </c>
      <c r="C115" s="45" t="s">
        <v>1037</v>
      </c>
      <c r="D115" s="72" t="s">
        <v>501</v>
      </c>
      <c r="E115" s="72" t="s">
        <v>1072</v>
      </c>
      <c r="F115" s="48" t="s">
        <v>1038</v>
      </c>
      <c r="G115" s="48" t="s">
        <v>1039</v>
      </c>
      <c r="H115" s="48" t="s">
        <v>1040</v>
      </c>
      <c r="I115" s="48" t="s">
        <v>320</v>
      </c>
      <c r="J115" s="48" t="s">
        <v>317</v>
      </c>
      <c r="K115" s="49" t="s">
        <v>432</v>
      </c>
      <c r="L115" s="49" t="s">
        <v>964</v>
      </c>
      <c r="M115" s="49">
        <v>1</v>
      </c>
      <c r="N115" s="80">
        <f t="shared" si="14"/>
        <v>300</v>
      </c>
      <c r="O115" s="76">
        <v>1000</v>
      </c>
      <c r="P115" s="81" t="str">
        <f t="shared" si="15"/>
        <v>OK</v>
      </c>
      <c r="Q115" s="142"/>
      <c r="R115" s="76"/>
      <c r="S115" s="81" t="str">
        <f t="shared" si="16"/>
        <v/>
      </c>
      <c r="T115" s="81" t="str">
        <f t="shared" si="17"/>
        <v/>
      </c>
      <c r="U115" s="77">
        <v>44386</v>
      </c>
      <c r="V115" s="50">
        <f t="shared" si="10"/>
        <v>1000</v>
      </c>
      <c r="W115" s="53">
        <f t="shared" si="11"/>
        <v>0</v>
      </c>
    </row>
    <row r="116" spans="1:23" ht="25.5" x14ac:dyDescent="0.25">
      <c r="A116" s="35" t="s">
        <v>207</v>
      </c>
      <c r="B116" s="36">
        <v>44293</v>
      </c>
      <c r="C116" s="35" t="s">
        <v>1041</v>
      </c>
      <c r="D116" s="73" t="s">
        <v>501</v>
      </c>
      <c r="E116" s="73" t="s">
        <v>1072</v>
      </c>
      <c r="F116" s="38" t="s">
        <v>1042</v>
      </c>
      <c r="G116" s="38" t="s">
        <v>1043</v>
      </c>
      <c r="H116" s="38" t="s">
        <v>1044</v>
      </c>
      <c r="I116" s="38" t="s">
        <v>320</v>
      </c>
      <c r="J116" s="38" t="s">
        <v>317</v>
      </c>
      <c r="K116" s="38" t="s">
        <v>432</v>
      </c>
      <c r="L116" s="38" t="s">
        <v>964</v>
      </c>
      <c r="M116" s="39">
        <v>1</v>
      </c>
      <c r="N116" s="86">
        <f t="shared" si="14"/>
        <v>300</v>
      </c>
      <c r="O116" s="78">
        <v>1000</v>
      </c>
      <c r="P116" s="86" t="str">
        <f t="shared" si="15"/>
        <v>OK</v>
      </c>
      <c r="Q116" s="143"/>
      <c r="R116" s="78"/>
      <c r="S116" s="87" t="str">
        <f t="shared" si="16"/>
        <v/>
      </c>
      <c r="T116" s="87" t="str">
        <f t="shared" si="17"/>
        <v/>
      </c>
      <c r="U116" s="79">
        <v>44386</v>
      </c>
      <c r="V116" s="40">
        <f t="shared" si="10"/>
        <v>1000</v>
      </c>
      <c r="W116" s="43">
        <f t="shared" si="11"/>
        <v>0</v>
      </c>
    </row>
    <row r="117" spans="1:23" ht="25.5" x14ac:dyDescent="0.25">
      <c r="A117" s="45" t="s">
        <v>208</v>
      </c>
      <c r="B117" s="46">
        <v>44358</v>
      </c>
      <c r="C117" s="45" t="s">
        <v>1045</v>
      </c>
      <c r="D117" s="72" t="s">
        <v>995</v>
      </c>
      <c r="E117" s="72" t="s">
        <v>1064</v>
      </c>
      <c r="F117" s="48" t="s">
        <v>1046</v>
      </c>
      <c r="G117" s="48" t="s">
        <v>1047</v>
      </c>
      <c r="H117" s="48" t="s">
        <v>1048</v>
      </c>
      <c r="I117" s="48" t="s">
        <v>352</v>
      </c>
      <c r="J117" s="48" t="s">
        <v>566</v>
      </c>
      <c r="K117" s="48" t="s">
        <v>39</v>
      </c>
      <c r="L117" s="48" t="s">
        <v>40</v>
      </c>
      <c r="M117" s="49">
        <v>17</v>
      </c>
      <c r="N117" s="80">
        <f t="shared" si="14"/>
        <v>300</v>
      </c>
      <c r="O117" s="76">
        <v>450</v>
      </c>
      <c r="P117" s="81" t="str">
        <f t="shared" si="15"/>
        <v>OK</v>
      </c>
      <c r="Q117" s="142"/>
      <c r="R117" s="76"/>
      <c r="S117" s="81" t="str">
        <f t="shared" si="16"/>
        <v/>
      </c>
      <c r="T117" s="81" t="str">
        <f t="shared" si="17"/>
        <v/>
      </c>
      <c r="U117" s="77">
        <v>44386</v>
      </c>
      <c r="V117" s="50">
        <f t="shared" si="10"/>
        <v>450</v>
      </c>
      <c r="W117" s="53">
        <f t="shared" si="11"/>
        <v>0</v>
      </c>
    </row>
    <row r="118" spans="1:23" ht="76.5" x14ac:dyDescent="0.25">
      <c r="A118" s="35" t="s">
        <v>209</v>
      </c>
      <c r="B118" s="36">
        <v>44342</v>
      </c>
      <c r="C118" s="35" t="s">
        <v>1049</v>
      </c>
      <c r="D118" s="73" t="s">
        <v>991</v>
      </c>
      <c r="E118" s="73" t="s">
        <v>1064</v>
      </c>
      <c r="F118" s="38" t="s">
        <v>1050</v>
      </c>
      <c r="G118" s="38" t="s">
        <v>1051</v>
      </c>
      <c r="H118" s="38" t="s">
        <v>1052</v>
      </c>
      <c r="I118" s="38" t="s">
        <v>1053</v>
      </c>
      <c r="J118" s="38"/>
      <c r="K118" s="110" t="s">
        <v>16</v>
      </c>
      <c r="L118" s="38" t="s">
        <v>23</v>
      </c>
      <c r="M118" s="39">
        <v>9</v>
      </c>
      <c r="N118" s="86">
        <f t="shared" si="14"/>
        <v>700</v>
      </c>
      <c r="O118" s="78">
        <v>937</v>
      </c>
      <c r="P118" s="86" t="str">
        <f t="shared" si="15"/>
        <v>OK</v>
      </c>
      <c r="Q118" s="143"/>
      <c r="R118" s="78"/>
      <c r="S118" s="87" t="str">
        <f t="shared" si="16"/>
        <v/>
      </c>
      <c r="T118" s="87" t="str">
        <f t="shared" si="17"/>
        <v/>
      </c>
      <c r="U118" s="79">
        <v>44386</v>
      </c>
      <c r="V118" s="40">
        <f t="shared" si="10"/>
        <v>937</v>
      </c>
      <c r="W118" s="43">
        <f t="shared" si="11"/>
        <v>0</v>
      </c>
    </row>
    <row r="119" spans="1:23" ht="76.5" x14ac:dyDescent="0.25">
      <c r="A119" s="45" t="s">
        <v>210</v>
      </c>
      <c r="B119" s="46">
        <v>43602</v>
      </c>
      <c r="C119" s="45" t="s">
        <v>1054</v>
      </c>
      <c r="D119" s="72" t="s">
        <v>1055</v>
      </c>
      <c r="E119" s="72" t="s">
        <v>1080</v>
      </c>
      <c r="F119" s="48" t="s">
        <v>1081</v>
      </c>
      <c r="G119" s="48" t="s">
        <v>1056</v>
      </c>
      <c r="H119" s="48" t="s">
        <v>1057</v>
      </c>
      <c r="I119" s="48" t="s">
        <v>1058</v>
      </c>
      <c r="J119" s="48" t="s">
        <v>1059</v>
      </c>
      <c r="K119" s="48" t="s">
        <v>16</v>
      </c>
      <c r="L119" s="48" t="s">
        <v>23</v>
      </c>
      <c r="M119" s="49">
        <v>9</v>
      </c>
      <c r="N119" s="80">
        <f t="shared" si="14"/>
        <v>700</v>
      </c>
      <c r="O119" s="76">
        <v>800</v>
      </c>
      <c r="P119" s="81" t="str">
        <f t="shared" si="15"/>
        <v>OK</v>
      </c>
      <c r="Q119" s="142"/>
      <c r="R119" s="76"/>
      <c r="S119" s="81" t="str">
        <f t="shared" si="16"/>
        <v/>
      </c>
      <c r="T119" s="81" t="str">
        <f t="shared" si="17"/>
        <v/>
      </c>
      <c r="U119" s="77">
        <v>44386</v>
      </c>
      <c r="V119" s="50">
        <f t="shared" si="10"/>
        <v>800</v>
      </c>
      <c r="W119" s="53">
        <f t="shared" si="11"/>
        <v>0</v>
      </c>
    </row>
    <row r="120" spans="1:23" ht="38.25" x14ac:dyDescent="0.25">
      <c r="A120" s="35" t="s">
        <v>211</v>
      </c>
      <c r="B120" s="36">
        <v>44386</v>
      </c>
      <c r="C120" s="35" t="s">
        <v>1087</v>
      </c>
      <c r="D120" s="36" t="s">
        <v>989</v>
      </c>
      <c r="E120" s="73" t="s">
        <v>1064</v>
      </c>
      <c r="F120" s="38" t="s">
        <v>1088</v>
      </c>
      <c r="G120" s="38" t="s">
        <v>1089</v>
      </c>
      <c r="H120" s="38" t="s">
        <v>534</v>
      </c>
      <c r="I120" s="38" t="s">
        <v>534</v>
      </c>
      <c r="J120" s="38" t="s">
        <v>1090</v>
      </c>
      <c r="K120" s="39" t="s">
        <v>16</v>
      </c>
      <c r="L120" s="39" t="s">
        <v>765</v>
      </c>
      <c r="M120" s="39">
        <v>8</v>
      </c>
      <c r="N120" s="86">
        <f t="shared" si="14"/>
        <v>370</v>
      </c>
      <c r="O120" s="78">
        <v>370</v>
      </c>
      <c r="P120" s="86" t="str">
        <f t="shared" si="15"/>
        <v>OK</v>
      </c>
      <c r="Q120" s="143"/>
      <c r="R120" s="78"/>
      <c r="S120" s="87" t="str">
        <f t="shared" ref="S120:S134" si="18">IF(R120="","",R120/O120)</f>
        <v/>
      </c>
      <c r="T120" s="87" t="str">
        <f t="shared" ref="T120:T134" si="19">IF(S120="","",IF(S120&gt;$Z$5,"ACIMA","OK"))</f>
        <v/>
      </c>
      <c r="U120" s="79">
        <v>44389</v>
      </c>
      <c r="V120" s="40">
        <f t="shared" si="10"/>
        <v>370</v>
      </c>
      <c r="W120" s="43">
        <f t="shared" si="11"/>
        <v>0</v>
      </c>
    </row>
    <row r="121" spans="1:23" ht="25.5" x14ac:dyDescent="0.25">
      <c r="A121" s="45" t="s">
        <v>212</v>
      </c>
      <c r="B121" s="46">
        <v>44358</v>
      </c>
      <c r="C121" s="45" t="s">
        <v>1091</v>
      </c>
      <c r="D121" s="46" t="s">
        <v>995</v>
      </c>
      <c r="E121" s="72" t="s">
        <v>1064</v>
      </c>
      <c r="F121" s="48" t="s">
        <v>1092</v>
      </c>
      <c r="G121" s="48" t="s">
        <v>1093</v>
      </c>
      <c r="H121" s="48" t="s">
        <v>1094</v>
      </c>
      <c r="I121" s="48" t="s">
        <v>1095</v>
      </c>
      <c r="J121" s="48" t="s">
        <v>1096</v>
      </c>
      <c r="K121" s="49" t="s">
        <v>39</v>
      </c>
      <c r="L121" s="49" t="s">
        <v>40</v>
      </c>
      <c r="M121" s="49">
        <v>17</v>
      </c>
      <c r="N121" s="80">
        <f t="shared" si="14"/>
        <v>300</v>
      </c>
      <c r="O121" s="76">
        <v>300</v>
      </c>
      <c r="P121" s="81" t="str">
        <f t="shared" si="15"/>
        <v>OK</v>
      </c>
      <c r="Q121" s="142"/>
      <c r="R121" s="76"/>
      <c r="S121" s="81" t="str">
        <f t="shared" si="18"/>
        <v/>
      </c>
      <c r="T121" s="81" t="str">
        <f t="shared" si="19"/>
        <v/>
      </c>
      <c r="U121" s="77">
        <v>44390</v>
      </c>
      <c r="V121" s="50">
        <f t="shared" si="10"/>
        <v>300</v>
      </c>
      <c r="W121" s="53">
        <f t="shared" si="11"/>
        <v>0</v>
      </c>
    </row>
    <row r="122" spans="1:23" ht="25.5" x14ac:dyDescent="0.25">
      <c r="A122" s="35" t="s">
        <v>213</v>
      </c>
      <c r="B122" s="36">
        <v>44305</v>
      </c>
      <c r="C122" s="35" t="s">
        <v>1097</v>
      </c>
      <c r="D122" s="36" t="s">
        <v>990</v>
      </c>
      <c r="E122" s="73" t="s">
        <v>1064</v>
      </c>
      <c r="F122" s="38" t="s">
        <v>1098</v>
      </c>
      <c r="G122" s="38" t="s">
        <v>1099</v>
      </c>
      <c r="H122" s="38" t="s">
        <v>1100</v>
      </c>
      <c r="I122" s="38" t="s">
        <v>667</v>
      </c>
      <c r="J122" s="38" t="s">
        <v>668</v>
      </c>
      <c r="K122" s="39" t="s">
        <v>39</v>
      </c>
      <c r="L122" s="39" t="s">
        <v>40</v>
      </c>
      <c r="M122" s="39">
        <v>17</v>
      </c>
      <c r="N122" s="86">
        <f t="shared" si="14"/>
        <v>300</v>
      </c>
      <c r="O122" s="78">
        <v>300</v>
      </c>
      <c r="P122" s="86" t="str">
        <f t="shared" si="15"/>
        <v>OK</v>
      </c>
      <c r="Q122" s="143"/>
      <c r="R122" s="78"/>
      <c r="S122" s="87" t="str">
        <f t="shared" si="18"/>
        <v/>
      </c>
      <c r="T122" s="87" t="str">
        <f t="shared" si="19"/>
        <v/>
      </c>
      <c r="U122" s="79">
        <v>44386</v>
      </c>
      <c r="V122" s="40">
        <f t="shared" si="10"/>
        <v>300</v>
      </c>
      <c r="W122" s="43">
        <f t="shared" si="11"/>
        <v>0</v>
      </c>
    </row>
    <row r="123" spans="1:23" ht="25.5" x14ac:dyDescent="0.25">
      <c r="A123" s="45" t="s">
        <v>214</v>
      </c>
      <c r="B123" s="46">
        <v>44237</v>
      </c>
      <c r="C123" s="45" t="s">
        <v>376</v>
      </c>
      <c r="D123" s="46" t="s">
        <v>659</v>
      </c>
      <c r="E123" s="72" t="s">
        <v>1073</v>
      </c>
      <c r="F123" s="48" t="s">
        <v>1101</v>
      </c>
      <c r="G123" s="48" t="s">
        <v>1102</v>
      </c>
      <c r="H123" s="48" t="s">
        <v>585</v>
      </c>
      <c r="I123" s="48" t="s">
        <v>320</v>
      </c>
      <c r="J123" s="48" t="s">
        <v>317</v>
      </c>
      <c r="K123" s="49" t="s">
        <v>432</v>
      </c>
      <c r="L123" s="49" t="s">
        <v>480</v>
      </c>
      <c r="M123" s="49">
        <v>1</v>
      </c>
      <c r="N123" s="80">
        <f t="shared" si="14"/>
        <v>300</v>
      </c>
      <c r="O123" s="76">
        <v>370</v>
      </c>
      <c r="P123" s="81" t="str">
        <f t="shared" ref="P123:P130" si="20">IF(M123="","",IF(O123&gt;(5*N123),"ACIMA","OK"))</f>
        <v>OK</v>
      </c>
      <c r="Q123" s="142"/>
      <c r="R123" s="76"/>
      <c r="S123" s="81" t="str">
        <f t="shared" si="18"/>
        <v/>
      </c>
      <c r="T123" s="81" t="str">
        <f t="shared" si="19"/>
        <v/>
      </c>
      <c r="U123" s="77">
        <v>44389</v>
      </c>
      <c r="V123" s="50">
        <f t="shared" si="10"/>
        <v>370</v>
      </c>
      <c r="W123" s="53">
        <f t="shared" si="11"/>
        <v>0</v>
      </c>
    </row>
    <row r="124" spans="1:23" ht="38.25" x14ac:dyDescent="0.25">
      <c r="A124" s="35" t="s">
        <v>215</v>
      </c>
      <c r="B124" s="36">
        <v>44393</v>
      </c>
      <c r="C124" s="35" t="s">
        <v>1103</v>
      </c>
      <c r="D124" s="36" t="s">
        <v>1079</v>
      </c>
      <c r="E124" s="73" t="s">
        <v>980</v>
      </c>
      <c r="F124" s="38" t="s">
        <v>1104</v>
      </c>
      <c r="G124" s="38" t="s">
        <v>1105</v>
      </c>
      <c r="H124" s="38" t="s">
        <v>1106</v>
      </c>
      <c r="I124" s="38" t="s">
        <v>970</v>
      </c>
      <c r="J124" s="38" t="s">
        <v>1107</v>
      </c>
      <c r="K124" s="39" t="s">
        <v>39</v>
      </c>
      <c r="L124" s="39" t="s">
        <v>40</v>
      </c>
      <c r="M124" s="39">
        <v>17</v>
      </c>
      <c r="N124" s="86">
        <f t="shared" si="14"/>
        <v>300</v>
      </c>
      <c r="O124" s="78">
        <v>200</v>
      </c>
      <c r="P124" s="86" t="str">
        <f t="shared" si="20"/>
        <v>OK</v>
      </c>
      <c r="Q124" s="143"/>
      <c r="R124" s="78"/>
      <c r="S124" s="87" t="str">
        <f t="shared" si="18"/>
        <v/>
      </c>
      <c r="T124" s="87" t="str">
        <f t="shared" si="19"/>
        <v/>
      </c>
      <c r="U124" s="79">
        <v>44393</v>
      </c>
      <c r="V124" s="40">
        <f t="shared" si="10"/>
        <v>200</v>
      </c>
      <c r="W124" s="43">
        <f t="shared" si="11"/>
        <v>0</v>
      </c>
    </row>
    <row r="125" spans="1:23" ht="25.5" x14ac:dyDescent="0.25">
      <c r="A125" s="45" t="s">
        <v>216</v>
      </c>
      <c r="B125" s="46">
        <v>44393</v>
      </c>
      <c r="C125" s="45" t="s">
        <v>1108</v>
      </c>
      <c r="D125" s="46" t="s">
        <v>1079</v>
      </c>
      <c r="E125" s="72" t="s">
        <v>980</v>
      </c>
      <c r="F125" s="48" t="s">
        <v>1109</v>
      </c>
      <c r="G125" s="48" t="s">
        <v>1110</v>
      </c>
      <c r="H125" s="49" t="s">
        <v>1111</v>
      </c>
      <c r="I125" s="48" t="s">
        <v>1112</v>
      </c>
      <c r="J125" s="49" t="s">
        <v>1113</v>
      </c>
      <c r="K125" s="49" t="s">
        <v>39</v>
      </c>
      <c r="L125" s="49" t="s">
        <v>40</v>
      </c>
      <c r="M125" s="49">
        <v>17</v>
      </c>
      <c r="N125" s="80">
        <f t="shared" si="14"/>
        <v>300</v>
      </c>
      <c r="O125" s="76">
        <v>300</v>
      </c>
      <c r="P125" s="81" t="str">
        <f t="shared" si="20"/>
        <v>OK</v>
      </c>
      <c r="Q125" s="142"/>
      <c r="R125" s="76"/>
      <c r="S125" s="81" t="str">
        <f t="shared" si="18"/>
        <v/>
      </c>
      <c r="T125" s="81" t="str">
        <f t="shared" si="19"/>
        <v/>
      </c>
      <c r="U125" s="77">
        <v>44393</v>
      </c>
      <c r="V125" s="50">
        <f t="shared" si="10"/>
        <v>300</v>
      </c>
      <c r="W125" s="53">
        <f t="shared" si="11"/>
        <v>0</v>
      </c>
    </row>
    <row r="126" spans="1:23" ht="25.5" x14ac:dyDescent="0.25">
      <c r="A126" s="35" t="s">
        <v>217</v>
      </c>
      <c r="B126" s="36">
        <v>44126</v>
      </c>
      <c r="C126" s="35" t="s">
        <v>1114</v>
      </c>
      <c r="D126" s="36" t="s">
        <v>868</v>
      </c>
      <c r="E126" s="73" t="s">
        <v>1070</v>
      </c>
      <c r="F126" s="38" t="s">
        <v>1115</v>
      </c>
      <c r="G126" s="38" t="s">
        <v>1116</v>
      </c>
      <c r="H126" s="38" t="s">
        <v>1117</v>
      </c>
      <c r="I126" s="38" t="s">
        <v>1118</v>
      </c>
      <c r="J126" s="38" t="s">
        <v>1119</v>
      </c>
      <c r="K126" s="39" t="s">
        <v>31</v>
      </c>
      <c r="L126" s="39" t="s">
        <v>14</v>
      </c>
      <c r="M126" s="39">
        <v>15</v>
      </c>
      <c r="N126" s="86">
        <f t="shared" si="14"/>
        <v>370</v>
      </c>
      <c r="O126" s="78">
        <v>370</v>
      </c>
      <c r="P126" s="86" t="str">
        <f t="shared" si="20"/>
        <v>OK</v>
      </c>
      <c r="Q126" s="143"/>
      <c r="R126" s="78"/>
      <c r="S126" s="87" t="str">
        <f t="shared" si="18"/>
        <v/>
      </c>
      <c r="T126" s="87" t="str">
        <f t="shared" si="19"/>
        <v/>
      </c>
      <c r="U126" s="79">
        <v>44393</v>
      </c>
      <c r="V126" s="40">
        <f t="shared" si="10"/>
        <v>370</v>
      </c>
      <c r="W126" s="43">
        <f t="shared" si="11"/>
        <v>0</v>
      </c>
    </row>
    <row r="127" spans="1:23" ht="25.5" x14ac:dyDescent="0.25">
      <c r="A127" s="45" t="s">
        <v>218</v>
      </c>
      <c r="B127" s="46">
        <v>44393</v>
      </c>
      <c r="C127" s="45" t="s">
        <v>1120</v>
      </c>
      <c r="D127" s="46" t="s">
        <v>501</v>
      </c>
      <c r="E127" s="72" t="s">
        <v>1072</v>
      </c>
      <c r="F127" s="48" t="s">
        <v>1121</v>
      </c>
      <c r="G127" s="48" t="s">
        <v>1122</v>
      </c>
      <c r="H127" s="48" t="s">
        <v>1123</v>
      </c>
      <c r="I127" s="48" t="s">
        <v>320</v>
      </c>
      <c r="J127" s="48" t="s">
        <v>317</v>
      </c>
      <c r="K127" s="49" t="s">
        <v>432</v>
      </c>
      <c r="L127" s="49" t="s">
        <v>480</v>
      </c>
      <c r="M127" s="49">
        <v>1</v>
      </c>
      <c r="N127" s="80">
        <f t="shared" si="14"/>
        <v>300</v>
      </c>
      <c r="O127" s="76">
        <v>300</v>
      </c>
      <c r="P127" s="81" t="str">
        <f t="shared" si="20"/>
        <v>OK</v>
      </c>
      <c r="Q127" s="142"/>
      <c r="R127" s="76"/>
      <c r="S127" s="81" t="str">
        <f t="shared" si="18"/>
        <v/>
      </c>
      <c r="T127" s="81" t="str">
        <f t="shared" si="19"/>
        <v/>
      </c>
      <c r="U127" s="77">
        <v>44393</v>
      </c>
      <c r="V127" s="50">
        <f t="shared" si="10"/>
        <v>300</v>
      </c>
      <c r="W127" s="53">
        <f t="shared" si="11"/>
        <v>0</v>
      </c>
    </row>
    <row r="128" spans="1:23" ht="25.5" x14ac:dyDescent="0.25">
      <c r="A128" s="35" t="s">
        <v>219</v>
      </c>
      <c r="B128" s="36">
        <v>44393</v>
      </c>
      <c r="C128" s="35" t="s">
        <v>1124</v>
      </c>
      <c r="D128" s="36" t="s">
        <v>1079</v>
      </c>
      <c r="E128" s="73" t="s">
        <v>980</v>
      </c>
      <c r="F128" s="38" t="s">
        <v>1125</v>
      </c>
      <c r="G128" s="38" t="s">
        <v>1126</v>
      </c>
      <c r="H128" s="38" t="s">
        <v>1127</v>
      </c>
      <c r="I128" s="38" t="s">
        <v>1112</v>
      </c>
      <c r="J128" s="38" t="s">
        <v>1128</v>
      </c>
      <c r="K128" s="39" t="s">
        <v>39</v>
      </c>
      <c r="L128" s="39" t="s">
        <v>40</v>
      </c>
      <c r="M128" s="39">
        <v>17</v>
      </c>
      <c r="N128" s="86">
        <f t="shared" si="14"/>
        <v>300</v>
      </c>
      <c r="O128" s="78">
        <v>300</v>
      </c>
      <c r="P128" s="86" t="str">
        <f t="shared" si="20"/>
        <v>OK</v>
      </c>
      <c r="Q128" s="143"/>
      <c r="R128" s="78"/>
      <c r="S128" s="87" t="str">
        <f t="shared" si="18"/>
        <v/>
      </c>
      <c r="T128" s="87" t="str">
        <f t="shared" si="19"/>
        <v/>
      </c>
      <c r="U128" s="79">
        <v>44396</v>
      </c>
      <c r="V128" s="40">
        <f t="shared" si="10"/>
        <v>300</v>
      </c>
      <c r="W128" s="43">
        <f t="shared" si="11"/>
        <v>0</v>
      </c>
    </row>
    <row r="129" spans="1:23" ht="25.5" x14ac:dyDescent="0.25">
      <c r="A129" s="45" t="s">
        <v>220</v>
      </c>
      <c r="B129" s="46">
        <v>44393</v>
      </c>
      <c r="C129" s="45" t="s">
        <v>1129</v>
      </c>
      <c r="D129" s="46" t="s">
        <v>659</v>
      </c>
      <c r="E129" s="72" t="s">
        <v>1073</v>
      </c>
      <c r="F129" s="48" t="s">
        <v>1130</v>
      </c>
      <c r="G129" s="48" t="s">
        <v>1131</v>
      </c>
      <c r="H129" s="48" t="s">
        <v>1132</v>
      </c>
      <c r="I129" s="48" t="s">
        <v>320</v>
      </c>
      <c r="J129" s="48" t="s">
        <v>317</v>
      </c>
      <c r="K129" s="49" t="s">
        <v>432</v>
      </c>
      <c r="L129" s="49" t="s">
        <v>480</v>
      </c>
      <c r="M129" s="49">
        <v>1</v>
      </c>
      <c r="N129" s="80">
        <f t="shared" si="14"/>
        <v>300</v>
      </c>
      <c r="O129" s="76">
        <v>370</v>
      </c>
      <c r="P129" s="81" t="str">
        <f t="shared" si="20"/>
        <v>OK</v>
      </c>
      <c r="Q129" s="142"/>
      <c r="R129" s="76"/>
      <c r="S129" s="81" t="str">
        <f t="shared" si="18"/>
        <v/>
      </c>
      <c r="T129" s="81" t="str">
        <f t="shared" si="19"/>
        <v/>
      </c>
      <c r="U129" s="77">
        <v>44395</v>
      </c>
      <c r="V129" s="50">
        <f t="shared" si="10"/>
        <v>370</v>
      </c>
      <c r="W129" s="53">
        <f t="shared" si="11"/>
        <v>0</v>
      </c>
    </row>
    <row r="130" spans="1:23" ht="25.5" x14ac:dyDescent="0.25">
      <c r="A130" s="35" t="s">
        <v>221</v>
      </c>
      <c r="B130" s="36">
        <v>44398</v>
      </c>
      <c r="C130" s="35" t="s">
        <v>1133</v>
      </c>
      <c r="D130" s="36" t="s">
        <v>1134</v>
      </c>
      <c r="E130" s="73" t="s">
        <v>1073</v>
      </c>
      <c r="F130" s="38" t="s">
        <v>1135</v>
      </c>
      <c r="G130" s="38" t="s">
        <v>1136</v>
      </c>
      <c r="H130" s="38" t="s">
        <v>1044</v>
      </c>
      <c r="I130" s="38" t="s">
        <v>320</v>
      </c>
      <c r="J130" s="38" t="s">
        <v>317</v>
      </c>
      <c r="K130" s="39" t="s">
        <v>432</v>
      </c>
      <c r="L130" s="39" t="s">
        <v>480</v>
      </c>
      <c r="M130" s="39">
        <v>1</v>
      </c>
      <c r="N130" s="86">
        <f t="shared" si="14"/>
        <v>300</v>
      </c>
      <c r="O130" s="78">
        <v>300</v>
      </c>
      <c r="P130" s="86" t="str">
        <f t="shared" si="20"/>
        <v>OK</v>
      </c>
      <c r="Q130" s="143"/>
      <c r="R130" s="78"/>
      <c r="S130" s="87" t="str">
        <f t="shared" si="18"/>
        <v/>
      </c>
      <c r="T130" s="87" t="str">
        <f t="shared" si="19"/>
        <v/>
      </c>
      <c r="U130" s="79">
        <v>44398</v>
      </c>
      <c r="V130" s="40">
        <f t="shared" si="10"/>
        <v>300</v>
      </c>
      <c r="W130" s="43">
        <f t="shared" si="11"/>
        <v>0</v>
      </c>
    </row>
    <row r="131" spans="1:23" ht="25.5" x14ac:dyDescent="0.25">
      <c r="A131" s="45" t="s">
        <v>222</v>
      </c>
      <c r="B131" s="46">
        <v>44398</v>
      </c>
      <c r="C131" s="45" t="s">
        <v>1137</v>
      </c>
      <c r="D131" s="46" t="s">
        <v>1134</v>
      </c>
      <c r="E131" s="72" t="s">
        <v>1073</v>
      </c>
      <c r="F131" s="48" t="s">
        <v>1138</v>
      </c>
      <c r="G131" s="48" t="s">
        <v>1139</v>
      </c>
      <c r="H131" s="48" t="s">
        <v>870</v>
      </c>
      <c r="I131" s="48" t="s">
        <v>320</v>
      </c>
      <c r="J131" s="49" t="s">
        <v>317</v>
      </c>
      <c r="K131" s="49" t="s">
        <v>432</v>
      </c>
      <c r="L131" s="49" t="s">
        <v>480</v>
      </c>
      <c r="M131" s="49">
        <v>1</v>
      </c>
      <c r="N131" s="80">
        <f t="shared" ref="N131:N147" si="21">IF(M131="","",IF(M131=1,300,IF(M131=2,370,IF(M131=3,630,IF(M131=4,830,IF(M131=5,370,IF(M131=6,430,IF(M131=7,530,IF(M131=8,370,IF(M131=9,700,IF(M131=10,870,IF(M131=11,370,IF(M131=12,370,IF(M131=13,370,IF(M131=13,370,IF(M131=14,370,IF(M131=15,370,IF(M131=16,300,IF(M131=17,300,IF(M131=18,170,IF(M131=19,330)))))))))))))))))))))</f>
        <v>300</v>
      </c>
      <c r="O131" s="76">
        <v>370</v>
      </c>
      <c r="P131" s="81" t="str">
        <f t="shared" ref="P131:P147" si="22">IF(M131="","",IF(O131&gt;(5*N131),"ACIMA","OK"))</f>
        <v>OK</v>
      </c>
      <c r="Q131" s="142"/>
      <c r="R131" s="76"/>
      <c r="S131" s="81" t="str">
        <f t="shared" si="18"/>
        <v/>
      </c>
      <c r="T131" s="81" t="str">
        <f t="shared" si="19"/>
        <v/>
      </c>
      <c r="U131" s="77">
        <v>44398</v>
      </c>
      <c r="V131" s="50">
        <f t="shared" si="10"/>
        <v>370</v>
      </c>
      <c r="W131" s="53">
        <f t="shared" si="11"/>
        <v>0</v>
      </c>
    </row>
    <row r="132" spans="1:23" ht="25.5" x14ac:dyDescent="0.25">
      <c r="A132" s="35" t="s">
        <v>223</v>
      </c>
      <c r="B132" s="36">
        <v>44398</v>
      </c>
      <c r="C132" s="35" t="s">
        <v>1140</v>
      </c>
      <c r="D132" s="36" t="s">
        <v>868</v>
      </c>
      <c r="E132" s="73" t="s">
        <v>1070</v>
      </c>
      <c r="F132" s="38" t="s">
        <v>1141</v>
      </c>
      <c r="G132" s="38" t="s">
        <v>1142</v>
      </c>
      <c r="H132" s="38" t="s">
        <v>1143</v>
      </c>
      <c r="I132" s="38" t="s">
        <v>320</v>
      </c>
      <c r="J132" s="38" t="s">
        <v>317</v>
      </c>
      <c r="K132" s="39" t="s">
        <v>432</v>
      </c>
      <c r="L132" s="39" t="s">
        <v>480</v>
      </c>
      <c r="M132" s="39">
        <v>1</v>
      </c>
      <c r="N132" s="86">
        <f t="shared" si="21"/>
        <v>300</v>
      </c>
      <c r="O132" s="78">
        <v>300</v>
      </c>
      <c r="P132" s="86" t="str">
        <f t="shared" si="22"/>
        <v>OK</v>
      </c>
      <c r="Q132" s="143"/>
      <c r="R132" s="78"/>
      <c r="S132" s="87" t="str">
        <f t="shared" si="18"/>
        <v/>
      </c>
      <c r="T132" s="87" t="str">
        <f t="shared" si="19"/>
        <v/>
      </c>
      <c r="U132" s="79">
        <v>44399</v>
      </c>
      <c r="V132" s="40">
        <f t="shared" ref="V132:V141" si="23">IF(M132="","",O132-R132)</f>
        <v>300</v>
      </c>
      <c r="W132" s="43">
        <f t="shared" ref="W132:W141" si="24">IF(M132="","",IF(AND(M132&gt;0,U132=""),V132,O132-(R132+V132)))</f>
        <v>0</v>
      </c>
    </row>
    <row r="133" spans="1:23" ht="25.5" x14ac:dyDescent="0.25">
      <c r="A133" s="45" t="s">
        <v>224</v>
      </c>
      <c r="B133" s="46">
        <v>44399</v>
      </c>
      <c r="C133" s="45" t="s">
        <v>1144</v>
      </c>
      <c r="D133" s="46" t="s">
        <v>1145</v>
      </c>
      <c r="E133" s="72" t="s">
        <v>980</v>
      </c>
      <c r="F133" s="48" t="s">
        <v>1146</v>
      </c>
      <c r="G133" s="48" t="s">
        <v>1147</v>
      </c>
      <c r="H133" s="48" t="s">
        <v>1148</v>
      </c>
      <c r="I133" s="48" t="s">
        <v>970</v>
      </c>
      <c r="J133" s="48" t="s">
        <v>1107</v>
      </c>
      <c r="K133" s="49" t="s">
        <v>39</v>
      </c>
      <c r="L133" s="49" t="s">
        <v>40</v>
      </c>
      <c r="M133" s="49">
        <v>17</v>
      </c>
      <c r="N133" s="80">
        <f t="shared" si="21"/>
        <v>300</v>
      </c>
      <c r="O133" s="76">
        <v>200</v>
      </c>
      <c r="P133" s="81" t="str">
        <f t="shared" si="22"/>
        <v>OK</v>
      </c>
      <c r="Q133" s="142"/>
      <c r="R133" s="76"/>
      <c r="S133" s="81" t="str">
        <f t="shared" si="18"/>
        <v/>
      </c>
      <c r="T133" s="81" t="str">
        <f t="shared" si="19"/>
        <v/>
      </c>
      <c r="U133" s="77">
        <v>44399</v>
      </c>
      <c r="V133" s="50">
        <f t="shared" si="23"/>
        <v>200</v>
      </c>
      <c r="W133" s="53">
        <f t="shared" si="24"/>
        <v>0</v>
      </c>
    </row>
    <row r="134" spans="1:23" ht="63.75" x14ac:dyDescent="0.25">
      <c r="A134" s="35" t="s">
        <v>225</v>
      </c>
      <c r="B134" s="36">
        <v>44400</v>
      </c>
      <c r="C134" s="35" t="s">
        <v>1149</v>
      </c>
      <c r="D134" s="36" t="s">
        <v>993</v>
      </c>
      <c r="E134" s="73" t="s">
        <v>1080</v>
      </c>
      <c r="F134" s="38" t="s">
        <v>1150</v>
      </c>
      <c r="G134" s="38" t="s">
        <v>1151</v>
      </c>
      <c r="H134" s="38" t="s">
        <v>1152</v>
      </c>
      <c r="I134" s="38" t="s">
        <v>1153</v>
      </c>
      <c r="J134" s="38" t="s">
        <v>1154</v>
      </c>
      <c r="K134" s="39" t="s">
        <v>5</v>
      </c>
      <c r="L134" s="39" t="s">
        <v>8</v>
      </c>
      <c r="M134" s="39">
        <v>2</v>
      </c>
      <c r="N134" s="86">
        <f t="shared" si="21"/>
        <v>370</v>
      </c>
      <c r="O134" s="78">
        <v>200</v>
      </c>
      <c r="P134" s="86" t="str">
        <f t="shared" si="22"/>
        <v>OK</v>
      </c>
      <c r="Q134" s="143"/>
      <c r="R134" s="78"/>
      <c r="S134" s="87" t="str">
        <f t="shared" si="18"/>
        <v/>
      </c>
      <c r="T134" s="87" t="str">
        <f t="shared" si="19"/>
        <v/>
      </c>
      <c r="U134" s="79">
        <v>44400</v>
      </c>
      <c r="V134" s="40">
        <f t="shared" si="23"/>
        <v>200</v>
      </c>
      <c r="W134" s="43">
        <f t="shared" si="24"/>
        <v>0</v>
      </c>
    </row>
    <row r="135" spans="1:23" ht="25.5" x14ac:dyDescent="0.25">
      <c r="A135" s="45" t="s">
        <v>226</v>
      </c>
      <c r="B135" s="46">
        <v>44110</v>
      </c>
      <c r="C135" s="45" t="s">
        <v>315</v>
      </c>
      <c r="D135" s="72" t="s">
        <v>868</v>
      </c>
      <c r="E135" s="72" t="s">
        <v>1070</v>
      </c>
      <c r="F135" s="48" t="s">
        <v>312</v>
      </c>
      <c r="G135" s="48" t="s">
        <v>313</v>
      </c>
      <c r="H135" s="48" t="s">
        <v>314</v>
      </c>
      <c r="I135" s="48" t="s">
        <v>320</v>
      </c>
      <c r="J135" s="48" t="s">
        <v>317</v>
      </c>
      <c r="K135" s="49" t="s">
        <v>16</v>
      </c>
      <c r="L135" s="49" t="s">
        <v>27</v>
      </c>
      <c r="M135" s="39">
        <v>11</v>
      </c>
      <c r="N135" s="80">
        <f t="shared" si="21"/>
        <v>370</v>
      </c>
      <c r="O135" s="41">
        <v>370</v>
      </c>
      <c r="P135" s="81" t="str">
        <f t="shared" si="22"/>
        <v>OK</v>
      </c>
      <c r="Q135" s="142"/>
      <c r="R135" s="76"/>
      <c r="S135" s="81" t="str">
        <f t="shared" ref="S135:S155" si="25">IF(R135="","",R135/O135)</f>
        <v/>
      </c>
      <c r="T135" s="81" t="str">
        <f t="shared" ref="T135:T155" si="26">IF(S135="","",IF(S135&gt;$Z$5,"ACIMA","OK"))</f>
        <v/>
      </c>
      <c r="U135" s="36">
        <v>44125</v>
      </c>
      <c r="V135" s="50">
        <f t="shared" si="23"/>
        <v>370</v>
      </c>
      <c r="W135" s="53">
        <f t="shared" si="24"/>
        <v>0</v>
      </c>
    </row>
    <row r="136" spans="1:23" ht="25.5" x14ac:dyDescent="0.25">
      <c r="A136" s="35" t="s">
        <v>227</v>
      </c>
      <c r="B136" s="36">
        <v>44179</v>
      </c>
      <c r="C136" s="35" t="s">
        <v>318</v>
      </c>
      <c r="D136" s="73" t="s">
        <v>659</v>
      </c>
      <c r="E136" s="73" t="s">
        <v>1073</v>
      </c>
      <c r="F136" s="38" t="s">
        <v>1155</v>
      </c>
      <c r="G136" s="38" t="s">
        <v>1156</v>
      </c>
      <c r="H136" s="38" t="s">
        <v>1165</v>
      </c>
      <c r="I136" s="38" t="s">
        <v>320</v>
      </c>
      <c r="J136" s="38" t="s">
        <v>317</v>
      </c>
      <c r="K136" s="39" t="s">
        <v>16</v>
      </c>
      <c r="L136" s="39" t="s">
        <v>27</v>
      </c>
      <c r="M136" s="39">
        <v>11</v>
      </c>
      <c r="N136" s="86">
        <f t="shared" si="21"/>
        <v>370</v>
      </c>
      <c r="O136" s="41">
        <v>370</v>
      </c>
      <c r="P136" s="86" t="str">
        <f t="shared" si="22"/>
        <v>OK</v>
      </c>
      <c r="Q136" s="143"/>
      <c r="R136" s="78"/>
      <c r="S136" s="87" t="str">
        <f t="shared" si="25"/>
        <v/>
      </c>
      <c r="T136" s="87" t="str">
        <f t="shared" si="26"/>
        <v/>
      </c>
      <c r="U136" s="36">
        <v>44243</v>
      </c>
      <c r="V136" s="40">
        <f t="shared" si="23"/>
        <v>370</v>
      </c>
      <c r="W136" s="43">
        <f t="shared" si="24"/>
        <v>0</v>
      </c>
    </row>
    <row r="137" spans="1:23" ht="25.5" x14ac:dyDescent="0.25">
      <c r="A137" s="45" t="s">
        <v>228</v>
      </c>
      <c r="B137" s="46">
        <v>44182</v>
      </c>
      <c r="C137" s="45" t="s">
        <v>321</v>
      </c>
      <c r="D137" s="72" t="s">
        <v>652</v>
      </c>
      <c r="E137" s="72" t="s">
        <v>1068</v>
      </c>
      <c r="F137" s="48" t="s">
        <v>322</v>
      </c>
      <c r="G137" s="48" t="s">
        <v>1157</v>
      </c>
      <c r="H137" s="48" t="s">
        <v>1148</v>
      </c>
      <c r="I137" s="48" t="s">
        <v>1170</v>
      </c>
      <c r="J137" s="48" t="s">
        <v>1171</v>
      </c>
      <c r="K137" s="49" t="s">
        <v>31</v>
      </c>
      <c r="L137" s="49" t="s">
        <v>29</v>
      </c>
      <c r="M137" s="49">
        <v>15</v>
      </c>
      <c r="N137" s="80">
        <f t="shared" si="21"/>
        <v>370</v>
      </c>
      <c r="O137" s="51">
        <v>370</v>
      </c>
      <c r="P137" s="81" t="str">
        <f t="shared" si="22"/>
        <v>OK</v>
      </c>
      <c r="Q137" s="142"/>
      <c r="R137" s="76"/>
      <c r="S137" s="81" t="str">
        <f t="shared" si="25"/>
        <v/>
      </c>
      <c r="T137" s="81" t="str">
        <f t="shared" si="26"/>
        <v/>
      </c>
      <c r="U137" s="46">
        <v>44216</v>
      </c>
      <c r="V137" s="50">
        <f t="shared" si="23"/>
        <v>370</v>
      </c>
      <c r="W137" s="53">
        <f t="shared" si="24"/>
        <v>0</v>
      </c>
    </row>
    <row r="138" spans="1:23" ht="25.5" x14ac:dyDescent="0.25">
      <c r="A138" s="35" t="s">
        <v>229</v>
      </c>
      <c r="B138" s="36">
        <v>44126</v>
      </c>
      <c r="C138" s="35" t="s">
        <v>323</v>
      </c>
      <c r="D138" s="73" t="s">
        <v>868</v>
      </c>
      <c r="E138" s="73" t="s">
        <v>1070</v>
      </c>
      <c r="F138" s="38" t="s">
        <v>324</v>
      </c>
      <c r="G138" s="38" t="s">
        <v>1158</v>
      </c>
      <c r="H138" s="38" t="s">
        <v>314</v>
      </c>
      <c r="I138" s="38" t="s">
        <v>320</v>
      </c>
      <c r="J138" s="38" t="s">
        <v>317</v>
      </c>
      <c r="K138" s="39" t="s">
        <v>16</v>
      </c>
      <c r="L138" s="39" t="s">
        <v>27</v>
      </c>
      <c r="M138" s="39">
        <v>11</v>
      </c>
      <c r="N138" s="86">
        <f t="shared" si="21"/>
        <v>370</v>
      </c>
      <c r="O138" s="41">
        <v>370</v>
      </c>
      <c r="P138" s="86" t="str">
        <f t="shared" si="22"/>
        <v>OK</v>
      </c>
      <c r="Q138" s="143"/>
      <c r="R138" s="78"/>
      <c r="S138" s="87" t="str">
        <f t="shared" si="25"/>
        <v/>
      </c>
      <c r="T138" s="87" t="str">
        <f t="shared" si="26"/>
        <v/>
      </c>
      <c r="U138" s="36">
        <v>44241</v>
      </c>
      <c r="V138" s="40">
        <f t="shared" si="23"/>
        <v>370</v>
      </c>
      <c r="W138" s="43">
        <f t="shared" si="24"/>
        <v>0</v>
      </c>
    </row>
    <row r="139" spans="1:23" ht="63.75" x14ac:dyDescent="0.25">
      <c r="A139" s="45" t="s">
        <v>230</v>
      </c>
      <c r="B139" s="46">
        <v>44183</v>
      </c>
      <c r="C139" s="45" t="s">
        <v>325</v>
      </c>
      <c r="D139" s="72" t="s">
        <v>659</v>
      </c>
      <c r="E139" s="72" t="s">
        <v>1073</v>
      </c>
      <c r="F139" s="48" t="s">
        <v>326</v>
      </c>
      <c r="G139" s="48" t="s">
        <v>1159</v>
      </c>
      <c r="H139" s="48" t="s">
        <v>1166</v>
      </c>
      <c r="I139" s="48" t="s">
        <v>328</v>
      </c>
      <c r="J139" s="48" t="s">
        <v>332</v>
      </c>
      <c r="K139" s="49" t="s">
        <v>31</v>
      </c>
      <c r="L139" s="49" t="s">
        <v>29</v>
      </c>
      <c r="M139" s="49">
        <v>15</v>
      </c>
      <c r="N139" s="80">
        <f t="shared" si="21"/>
        <v>370</v>
      </c>
      <c r="O139" s="51">
        <v>370</v>
      </c>
      <c r="P139" s="81" t="str">
        <f t="shared" si="22"/>
        <v>OK</v>
      </c>
      <c r="Q139" s="142"/>
      <c r="R139" s="76"/>
      <c r="S139" s="81" t="str">
        <f t="shared" si="25"/>
        <v/>
      </c>
      <c r="T139" s="81" t="str">
        <f t="shared" si="26"/>
        <v/>
      </c>
      <c r="U139" s="46">
        <v>44216</v>
      </c>
      <c r="V139" s="50">
        <f t="shared" si="23"/>
        <v>370</v>
      </c>
      <c r="W139" s="53">
        <f t="shared" si="24"/>
        <v>0</v>
      </c>
    </row>
    <row r="140" spans="1:23" ht="25.5" x14ac:dyDescent="0.25">
      <c r="A140" s="35" t="s">
        <v>231</v>
      </c>
      <c r="B140" s="36">
        <v>44126</v>
      </c>
      <c r="C140" s="35" t="s">
        <v>329</v>
      </c>
      <c r="D140" s="73" t="s">
        <v>1000</v>
      </c>
      <c r="E140" s="73" t="s">
        <v>1064</v>
      </c>
      <c r="F140" s="38" t="s">
        <v>330</v>
      </c>
      <c r="G140" s="38" t="s">
        <v>1160</v>
      </c>
      <c r="H140" s="38" t="s">
        <v>1167</v>
      </c>
      <c r="I140" s="38" t="s">
        <v>331</v>
      </c>
      <c r="J140" s="38" t="s">
        <v>332</v>
      </c>
      <c r="K140" s="39" t="s">
        <v>37</v>
      </c>
      <c r="L140" s="39"/>
      <c r="M140" s="39">
        <v>16</v>
      </c>
      <c r="N140" s="86">
        <f t="shared" si="21"/>
        <v>300</v>
      </c>
      <c r="O140" s="41">
        <v>300</v>
      </c>
      <c r="P140" s="86" t="str">
        <f t="shared" si="22"/>
        <v>OK</v>
      </c>
      <c r="Q140" s="143"/>
      <c r="R140" s="78"/>
      <c r="S140" s="87" t="str">
        <f t="shared" si="25"/>
        <v/>
      </c>
      <c r="T140" s="87" t="str">
        <f t="shared" si="26"/>
        <v/>
      </c>
      <c r="U140" s="36">
        <v>44235</v>
      </c>
      <c r="V140" s="40">
        <f t="shared" si="23"/>
        <v>300</v>
      </c>
      <c r="W140" s="43">
        <f t="shared" si="24"/>
        <v>0</v>
      </c>
    </row>
    <row r="141" spans="1:23" ht="25.5" x14ac:dyDescent="0.25">
      <c r="A141" s="45" t="s">
        <v>232</v>
      </c>
      <c r="B141" s="46">
        <v>44232</v>
      </c>
      <c r="C141" s="45" t="s">
        <v>333</v>
      </c>
      <c r="D141" s="72" t="s">
        <v>659</v>
      </c>
      <c r="E141" s="72" t="s">
        <v>1073</v>
      </c>
      <c r="F141" s="48" t="s">
        <v>334</v>
      </c>
      <c r="G141" s="48" t="s">
        <v>1161</v>
      </c>
      <c r="H141" s="48" t="s">
        <v>987</v>
      </c>
      <c r="I141" s="48" t="s">
        <v>320</v>
      </c>
      <c r="J141" s="48" t="s">
        <v>317</v>
      </c>
      <c r="K141" s="49" t="s">
        <v>16</v>
      </c>
      <c r="L141" s="49" t="s">
        <v>27</v>
      </c>
      <c r="M141" s="49">
        <v>11</v>
      </c>
      <c r="N141" s="80">
        <f t="shared" si="21"/>
        <v>370</v>
      </c>
      <c r="O141" s="51">
        <v>370</v>
      </c>
      <c r="P141" s="81" t="str">
        <f t="shared" si="22"/>
        <v>OK</v>
      </c>
      <c r="Q141" s="142"/>
      <c r="R141" s="76"/>
      <c r="S141" s="81" t="str">
        <f t="shared" si="25"/>
        <v/>
      </c>
      <c r="T141" s="81" t="str">
        <f t="shared" si="26"/>
        <v/>
      </c>
      <c r="U141" s="46">
        <v>44235</v>
      </c>
      <c r="V141" s="50">
        <f t="shared" si="23"/>
        <v>370</v>
      </c>
      <c r="W141" s="53">
        <f t="shared" si="24"/>
        <v>0</v>
      </c>
    </row>
    <row r="142" spans="1:23" ht="38.25" customHeight="1" x14ac:dyDescent="0.25">
      <c r="A142" s="35" t="s">
        <v>233</v>
      </c>
      <c r="B142" s="36">
        <v>44223</v>
      </c>
      <c r="C142" s="35" t="s">
        <v>336</v>
      </c>
      <c r="D142" s="73" t="s">
        <v>1000</v>
      </c>
      <c r="E142" s="73" t="s">
        <v>1064</v>
      </c>
      <c r="F142" s="38" t="s">
        <v>337</v>
      </c>
      <c r="G142" s="38" t="s">
        <v>1162</v>
      </c>
      <c r="H142" s="38" t="s">
        <v>1168</v>
      </c>
      <c r="I142" s="38" t="s">
        <v>331</v>
      </c>
      <c r="J142" s="38" t="s">
        <v>332</v>
      </c>
      <c r="K142" s="39" t="s">
        <v>37</v>
      </c>
      <c r="L142" s="39"/>
      <c r="M142" s="39">
        <v>16</v>
      </c>
      <c r="N142" s="86">
        <f t="shared" si="21"/>
        <v>300</v>
      </c>
      <c r="O142" s="41">
        <v>300</v>
      </c>
      <c r="P142" s="86" t="str">
        <f t="shared" si="22"/>
        <v>OK</v>
      </c>
      <c r="Q142" s="143"/>
      <c r="R142" s="78"/>
      <c r="S142" s="87" t="str">
        <f t="shared" si="25"/>
        <v/>
      </c>
      <c r="T142" s="87" t="str">
        <f t="shared" si="26"/>
        <v/>
      </c>
      <c r="U142" s="36">
        <v>44241</v>
      </c>
      <c r="V142" s="40">
        <f t="shared" ref="V142:V155" si="27">IF(M142="","",O142-R142)</f>
        <v>300</v>
      </c>
      <c r="W142" s="43">
        <f t="shared" ref="W142:W155" si="28">IF(M142="","",IF(AND(M142&gt;0,U142=""),V142,O142-(R142+V142)))</f>
        <v>0</v>
      </c>
    </row>
    <row r="143" spans="1:23" ht="38.25" x14ac:dyDescent="0.25">
      <c r="A143" s="45" t="s">
        <v>234</v>
      </c>
      <c r="B143" s="46">
        <v>44211</v>
      </c>
      <c r="C143" s="45" t="s">
        <v>338</v>
      </c>
      <c r="D143" s="72" t="s">
        <v>996</v>
      </c>
      <c r="E143" s="72" t="s">
        <v>1064</v>
      </c>
      <c r="F143" s="48" t="s">
        <v>339</v>
      </c>
      <c r="G143" s="48" t="s">
        <v>1163</v>
      </c>
      <c r="H143" s="48" t="s">
        <v>1169</v>
      </c>
      <c r="I143" s="48" t="s">
        <v>793</v>
      </c>
      <c r="J143" s="48" t="s">
        <v>792</v>
      </c>
      <c r="K143" s="49" t="s">
        <v>432</v>
      </c>
      <c r="L143" s="49" t="s">
        <v>480</v>
      </c>
      <c r="M143" s="49">
        <v>1</v>
      </c>
      <c r="N143" s="80">
        <f t="shared" si="21"/>
        <v>300</v>
      </c>
      <c r="O143" s="51">
        <v>300</v>
      </c>
      <c r="P143" s="81" t="str">
        <f t="shared" si="22"/>
        <v>OK</v>
      </c>
      <c r="Q143" s="142"/>
      <c r="R143" s="76"/>
      <c r="S143" s="81" t="str">
        <f t="shared" si="25"/>
        <v/>
      </c>
      <c r="T143" s="81" t="str">
        <f t="shared" si="26"/>
        <v/>
      </c>
      <c r="U143" s="46">
        <v>44242</v>
      </c>
      <c r="V143" s="50">
        <f t="shared" si="27"/>
        <v>300</v>
      </c>
      <c r="W143" s="53">
        <f t="shared" si="28"/>
        <v>0</v>
      </c>
    </row>
    <row r="144" spans="1:23" ht="25.5" x14ac:dyDescent="0.25">
      <c r="A144" s="35" t="s">
        <v>235</v>
      </c>
      <c r="B144" s="36">
        <v>44217</v>
      </c>
      <c r="C144" s="35" t="s">
        <v>341</v>
      </c>
      <c r="D144" s="73" t="s">
        <v>868</v>
      </c>
      <c r="E144" s="73" t="s">
        <v>1070</v>
      </c>
      <c r="F144" s="38" t="s">
        <v>342</v>
      </c>
      <c r="G144" s="38" t="s">
        <v>1164</v>
      </c>
      <c r="H144" s="38" t="s">
        <v>1024</v>
      </c>
      <c r="I144" s="38" t="s">
        <v>320</v>
      </c>
      <c r="J144" s="38" t="s">
        <v>317</v>
      </c>
      <c r="K144" s="39" t="s">
        <v>16</v>
      </c>
      <c r="L144" s="39" t="s">
        <v>27</v>
      </c>
      <c r="M144" s="39">
        <v>11</v>
      </c>
      <c r="N144" s="86">
        <f t="shared" si="21"/>
        <v>370</v>
      </c>
      <c r="O144" s="41">
        <v>370</v>
      </c>
      <c r="P144" s="86" t="str">
        <f t="shared" si="22"/>
        <v>OK</v>
      </c>
      <c r="Q144" s="143"/>
      <c r="R144" s="78"/>
      <c r="S144" s="87" t="str">
        <f t="shared" si="25"/>
        <v/>
      </c>
      <c r="T144" s="87" t="str">
        <f t="shared" si="26"/>
        <v/>
      </c>
      <c r="U144" s="74">
        <v>44242</v>
      </c>
      <c r="V144" s="40">
        <f t="shared" si="27"/>
        <v>370</v>
      </c>
      <c r="W144" s="43">
        <f t="shared" si="28"/>
        <v>0</v>
      </c>
    </row>
    <row r="145" spans="1:23" ht="25.5" x14ac:dyDescent="0.25">
      <c r="A145" s="45" t="s">
        <v>236</v>
      </c>
      <c r="B145" s="46">
        <v>44098</v>
      </c>
      <c r="C145" s="45" t="s">
        <v>374</v>
      </c>
      <c r="D145" s="46" t="s">
        <v>868</v>
      </c>
      <c r="E145" s="72" t="s">
        <v>1070</v>
      </c>
      <c r="F145" s="48" t="s">
        <v>375</v>
      </c>
      <c r="G145" s="47" t="s">
        <v>1174</v>
      </c>
      <c r="H145" s="45" t="s">
        <v>314</v>
      </c>
      <c r="I145" s="48" t="s">
        <v>320</v>
      </c>
      <c r="J145" s="48" t="s">
        <v>317</v>
      </c>
      <c r="K145" s="49" t="s">
        <v>16</v>
      </c>
      <c r="L145" s="49" t="s">
        <v>27</v>
      </c>
      <c r="M145" s="49">
        <v>11</v>
      </c>
      <c r="N145" s="80">
        <f t="shared" si="21"/>
        <v>370</v>
      </c>
      <c r="O145" s="51">
        <v>370</v>
      </c>
      <c r="P145" s="81" t="str">
        <f t="shared" si="22"/>
        <v>OK</v>
      </c>
      <c r="Q145" s="142"/>
      <c r="R145" s="76"/>
      <c r="S145" s="81" t="str">
        <f t="shared" si="25"/>
        <v/>
      </c>
      <c r="T145" s="81" t="str">
        <f t="shared" si="26"/>
        <v/>
      </c>
      <c r="U145" s="46">
        <v>44233</v>
      </c>
      <c r="V145" s="50">
        <f t="shared" si="27"/>
        <v>370</v>
      </c>
      <c r="W145" s="53">
        <f t="shared" si="28"/>
        <v>0</v>
      </c>
    </row>
    <row r="146" spans="1:23" ht="25.5" x14ac:dyDescent="0.25">
      <c r="A146" s="35" t="s">
        <v>237</v>
      </c>
      <c r="B146" s="36">
        <v>44237</v>
      </c>
      <c r="C146" s="35" t="s">
        <v>376</v>
      </c>
      <c r="D146" s="36" t="s">
        <v>659</v>
      </c>
      <c r="E146" s="73" t="s">
        <v>1073</v>
      </c>
      <c r="F146" s="38" t="s">
        <v>377</v>
      </c>
      <c r="G146" s="37" t="s">
        <v>1102</v>
      </c>
      <c r="H146" s="37" t="s">
        <v>585</v>
      </c>
      <c r="I146" s="38" t="s">
        <v>320</v>
      </c>
      <c r="J146" s="38" t="s">
        <v>317</v>
      </c>
      <c r="K146" s="39" t="s">
        <v>16</v>
      </c>
      <c r="L146" s="39" t="s">
        <v>27</v>
      </c>
      <c r="M146" s="39">
        <v>11</v>
      </c>
      <c r="N146" s="86">
        <f t="shared" si="21"/>
        <v>370</v>
      </c>
      <c r="O146" s="41">
        <v>370</v>
      </c>
      <c r="P146" s="86" t="str">
        <f t="shared" si="22"/>
        <v>OK</v>
      </c>
      <c r="Q146" s="143"/>
      <c r="R146" s="78"/>
      <c r="S146" s="87" t="str">
        <f t="shared" si="25"/>
        <v/>
      </c>
      <c r="T146" s="87" t="str">
        <f t="shared" si="26"/>
        <v/>
      </c>
      <c r="U146" s="36">
        <v>44245</v>
      </c>
      <c r="V146" s="40">
        <f t="shared" si="27"/>
        <v>370</v>
      </c>
      <c r="W146" s="43">
        <f t="shared" si="28"/>
        <v>0</v>
      </c>
    </row>
    <row r="147" spans="1:23" ht="25.5" x14ac:dyDescent="0.25">
      <c r="A147" s="45" t="s">
        <v>238</v>
      </c>
      <c r="B147" s="46">
        <v>44236</v>
      </c>
      <c r="C147" s="45" t="s">
        <v>378</v>
      </c>
      <c r="D147" s="46" t="s">
        <v>1134</v>
      </c>
      <c r="E147" s="72" t="s">
        <v>1073</v>
      </c>
      <c r="F147" s="48" t="s">
        <v>379</v>
      </c>
      <c r="G147" s="47" t="s">
        <v>1175</v>
      </c>
      <c r="H147" s="47" t="s">
        <v>987</v>
      </c>
      <c r="I147" s="48" t="s">
        <v>320</v>
      </c>
      <c r="J147" s="48" t="s">
        <v>317</v>
      </c>
      <c r="K147" s="49" t="s">
        <v>16</v>
      </c>
      <c r="L147" s="49" t="s">
        <v>27</v>
      </c>
      <c r="M147" s="49">
        <v>11</v>
      </c>
      <c r="N147" s="80">
        <f t="shared" si="21"/>
        <v>370</v>
      </c>
      <c r="O147" s="51">
        <v>370</v>
      </c>
      <c r="P147" s="81" t="str">
        <f t="shared" si="22"/>
        <v>OK</v>
      </c>
      <c r="Q147" s="142"/>
      <c r="R147" s="76"/>
      <c r="S147" s="81" t="str">
        <f t="shared" si="25"/>
        <v/>
      </c>
      <c r="T147" s="81" t="str">
        <f t="shared" si="26"/>
        <v/>
      </c>
      <c r="U147" s="46">
        <v>44245</v>
      </c>
      <c r="V147" s="50">
        <f t="shared" si="27"/>
        <v>370</v>
      </c>
      <c r="W147" s="53">
        <f t="shared" si="28"/>
        <v>0</v>
      </c>
    </row>
    <row r="148" spans="1:23" ht="25.5" x14ac:dyDescent="0.25">
      <c r="A148" s="35" t="s">
        <v>239</v>
      </c>
      <c r="B148" s="36">
        <v>44126</v>
      </c>
      <c r="C148" s="35" t="s">
        <v>410</v>
      </c>
      <c r="D148" s="36" t="s">
        <v>868</v>
      </c>
      <c r="E148" s="73" t="s">
        <v>1070</v>
      </c>
      <c r="F148" s="38" t="s">
        <v>1412</v>
      </c>
      <c r="G148" s="37" t="s">
        <v>412</v>
      </c>
      <c r="H148" s="37" t="s">
        <v>314</v>
      </c>
      <c r="I148" s="38" t="s">
        <v>413</v>
      </c>
      <c r="J148" s="38" t="s">
        <v>414</v>
      </c>
      <c r="K148" s="39" t="s">
        <v>31</v>
      </c>
      <c r="L148" s="39" t="s">
        <v>1413</v>
      </c>
      <c r="M148" s="39">
        <v>15</v>
      </c>
      <c r="N148" s="86">
        <v>370</v>
      </c>
      <c r="O148" s="41">
        <v>370</v>
      </c>
      <c r="P148" s="86" t="s">
        <v>1017</v>
      </c>
      <c r="Q148" s="143"/>
      <c r="R148" s="78"/>
      <c r="S148" s="87" t="s">
        <v>415</v>
      </c>
      <c r="T148" s="87" t="s">
        <v>415</v>
      </c>
      <c r="U148" s="36">
        <v>44407</v>
      </c>
      <c r="V148" s="40">
        <f t="shared" si="27"/>
        <v>370</v>
      </c>
      <c r="W148" s="43">
        <f t="shared" si="28"/>
        <v>0</v>
      </c>
    </row>
    <row r="149" spans="1:23" ht="38.25" x14ac:dyDescent="0.25">
      <c r="A149" s="45" t="s">
        <v>240</v>
      </c>
      <c r="B149" s="46">
        <v>44245</v>
      </c>
      <c r="C149" s="45" t="s">
        <v>383</v>
      </c>
      <c r="D149" s="46" t="s">
        <v>989</v>
      </c>
      <c r="E149" s="72" t="s">
        <v>1064</v>
      </c>
      <c r="F149" s="48" t="s">
        <v>384</v>
      </c>
      <c r="G149" s="47" t="s">
        <v>1176</v>
      </c>
      <c r="H149" s="47" t="s">
        <v>534</v>
      </c>
      <c r="I149" s="48" t="s">
        <v>389</v>
      </c>
      <c r="J149" s="48" t="s">
        <v>385</v>
      </c>
      <c r="K149" s="48" t="s">
        <v>16</v>
      </c>
      <c r="L149" s="49" t="s">
        <v>21</v>
      </c>
      <c r="M149" s="49">
        <v>8</v>
      </c>
      <c r="N149" s="80">
        <f t="shared" ref="N149:N191" si="29">IF(M149="","",IF(M149=1,300,IF(M149=2,370,IF(M149=3,630,IF(M149=4,830,IF(M149=5,370,IF(M149=6,430,IF(M149=7,530,IF(M149=8,370,IF(M149=9,700,IF(M149=10,870,IF(M149=11,370,IF(M149=12,370,IF(M149=13,370,IF(M149=13,370,IF(M149=14,370,IF(M149=15,370,IF(M149=16,300,IF(M149=17,300,IF(M149=18,170,IF(M149=19,330)))))))))))))))))))))</f>
        <v>370</v>
      </c>
      <c r="O149" s="51">
        <v>370</v>
      </c>
      <c r="P149" s="81" t="str">
        <f t="shared" ref="P149:P191" si="30">IF(M149="","",IF(O149&gt;(5*N149),"ACIMA","OK"))</f>
        <v>OK</v>
      </c>
      <c r="Q149" s="142"/>
      <c r="R149" s="76"/>
      <c r="S149" s="81" t="str">
        <f t="shared" si="25"/>
        <v/>
      </c>
      <c r="T149" s="81" t="str">
        <f t="shared" si="26"/>
        <v/>
      </c>
      <c r="U149" s="46">
        <v>44245</v>
      </c>
      <c r="V149" s="50">
        <f t="shared" si="27"/>
        <v>370</v>
      </c>
      <c r="W149" s="53">
        <f t="shared" si="28"/>
        <v>0</v>
      </c>
    </row>
    <row r="150" spans="1:23" ht="25.5" x14ac:dyDescent="0.25">
      <c r="A150" s="35" t="s">
        <v>241</v>
      </c>
      <c r="B150" s="36">
        <v>44252</v>
      </c>
      <c r="C150" s="35" t="s">
        <v>386</v>
      </c>
      <c r="D150" s="36" t="s">
        <v>1172</v>
      </c>
      <c r="E150" s="73" t="s">
        <v>1311</v>
      </c>
      <c r="F150" s="38" t="s">
        <v>387</v>
      </c>
      <c r="G150" s="37" t="s">
        <v>1177</v>
      </c>
      <c r="H150" s="37" t="s">
        <v>1183</v>
      </c>
      <c r="I150" s="38" t="s">
        <v>1189</v>
      </c>
      <c r="J150" s="39" t="s">
        <v>388</v>
      </c>
      <c r="K150" s="38" t="s">
        <v>31</v>
      </c>
      <c r="L150" s="39" t="s">
        <v>32</v>
      </c>
      <c r="M150" s="39">
        <v>13</v>
      </c>
      <c r="N150" s="86">
        <f t="shared" si="29"/>
        <v>370</v>
      </c>
      <c r="O150" s="41">
        <v>370</v>
      </c>
      <c r="P150" s="86" t="str">
        <f t="shared" si="30"/>
        <v>OK</v>
      </c>
      <c r="Q150" s="143"/>
      <c r="R150" s="78"/>
      <c r="S150" s="87" t="str">
        <f t="shared" si="25"/>
        <v/>
      </c>
      <c r="T150" s="87" t="str">
        <f t="shared" si="26"/>
        <v/>
      </c>
      <c r="U150" s="36">
        <v>44256</v>
      </c>
      <c r="V150" s="40">
        <f t="shared" si="27"/>
        <v>370</v>
      </c>
      <c r="W150" s="43">
        <f t="shared" si="28"/>
        <v>0</v>
      </c>
    </row>
    <row r="151" spans="1:23" ht="25.5" x14ac:dyDescent="0.25">
      <c r="A151" s="45" t="s">
        <v>242</v>
      </c>
      <c r="B151" s="46">
        <v>44252</v>
      </c>
      <c r="C151" s="45" t="s">
        <v>391</v>
      </c>
      <c r="D151" s="46" t="s">
        <v>1172</v>
      </c>
      <c r="E151" s="72" t="s">
        <v>1311</v>
      </c>
      <c r="F151" s="48" t="s">
        <v>392</v>
      </c>
      <c r="G151" s="47" t="s">
        <v>1178</v>
      </c>
      <c r="H151" s="45" t="s">
        <v>1184</v>
      </c>
      <c r="I151" s="48" t="s">
        <v>1189</v>
      </c>
      <c r="J151" s="48" t="s">
        <v>388</v>
      </c>
      <c r="K151" s="49" t="s">
        <v>31</v>
      </c>
      <c r="L151" s="49" t="s">
        <v>32</v>
      </c>
      <c r="M151" s="49">
        <v>13</v>
      </c>
      <c r="N151" s="80">
        <f t="shared" si="29"/>
        <v>370</v>
      </c>
      <c r="O151" s="51">
        <v>370</v>
      </c>
      <c r="P151" s="81" t="str">
        <f t="shared" si="30"/>
        <v>OK</v>
      </c>
      <c r="Q151" s="142"/>
      <c r="R151" s="76"/>
      <c r="S151" s="81" t="str">
        <f t="shared" si="25"/>
        <v/>
      </c>
      <c r="T151" s="81" t="str">
        <f t="shared" si="26"/>
        <v/>
      </c>
      <c r="U151" s="46">
        <v>44256</v>
      </c>
      <c r="V151" s="50">
        <f t="shared" si="27"/>
        <v>370</v>
      </c>
      <c r="W151" s="53">
        <f t="shared" si="28"/>
        <v>0</v>
      </c>
    </row>
    <row r="152" spans="1:23" ht="25.5" x14ac:dyDescent="0.25">
      <c r="A152" s="35" t="s">
        <v>243</v>
      </c>
      <c r="B152" s="36">
        <v>44252</v>
      </c>
      <c r="C152" s="35" t="s">
        <v>393</v>
      </c>
      <c r="D152" s="36" t="s">
        <v>1173</v>
      </c>
      <c r="E152" s="73" t="s">
        <v>1311</v>
      </c>
      <c r="F152" s="38" t="s">
        <v>394</v>
      </c>
      <c r="G152" s="37" t="s">
        <v>1179</v>
      </c>
      <c r="H152" s="37" t="s">
        <v>1185</v>
      </c>
      <c r="I152" s="38" t="s">
        <v>1189</v>
      </c>
      <c r="J152" s="39" t="s">
        <v>388</v>
      </c>
      <c r="K152" s="39" t="s">
        <v>31</v>
      </c>
      <c r="L152" s="39" t="s">
        <v>32</v>
      </c>
      <c r="M152" s="39">
        <v>13</v>
      </c>
      <c r="N152" s="86">
        <f t="shared" si="29"/>
        <v>370</v>
      </c>
      <c r="O152" s="41">
        <v>370</v>
      </c>
      <c r="P152" s="86" t="str">
        <f t="shared" si="30"/>
        <v>OK</v>
      </c>
      <c r="Q152" s="143"/>
      <c r="R152" s="78"/>
      <c r="S152" s="87" t="str">
        <f t="shared" si="25"/>
        <v/>
      </c>
      <c r="T152" s="87" t="str">
        <f t="shared" si="26"/>
        <v/>
      </c>
      <c r="U152" s="36">
        <v>44256</v>
      </c>
      <c r="V152" s="40">
        <f t="shared" si="27"/>
        <v>370</v>
      </c>
      <c r="W152" s="43">
        <f t="shared" si="28"/>
        <v>0</v>
      </c>
    </row>
    <row r="153" spans="1:23" ht="25.5" x14ac:dyDescent="0.25">
      <c r="A153" s="45" t="s">
        <v>244</v>
      </c>
      <c r="B153" s="46">
        <v>44252</v>
      </c>
      <c r="C153" s="45" t="s">
        <v>395</v>
      </c>
      <c r="D153" s="46" t="s">
        <v>1173</v>
      </c>
      <c r="E153" s="72" t="s">
        <v>1311</v>
      </c>
      <c r="F153" s="48" t="s">
        <v>396</v>
      </c>
      <c r="G153" s="47" t="s">
        <v>1180</v>
      </c>
      <c r="H153" s="47" t="s">
        <v>1186</v>
      </c>
      <c r="I153" s="48" t="s">
        <v>1189</v>
      </c>
      <c r="J153" s="48" t="s">
        <v>388</v>
      </c>
      <c r="K153" s="49" t="s">
        <v>31</v>
      </c>
      <c r="L153" s="49" t="s">
        <v>32</v>
      </c>
      <c r="M153" s="49">
        <v>13</v>
      </c>
      <c r="N153" s="80">
        <f t="shared" si="29"/>
        <v>370</v>
      </c>
      <c r="O153" s="51">
        <v>370</v>
      </c>
      <c r="P153" s="81" t="str">
        <f t="shared" si="30"/>
        <v>OK</v>
      </c>
      <c r="Q153" s="142"/>
      <c r="R153" s="76"/>
      <c r="S153" s="81" t="str">
        <f t="shared" si="25"/>
        <v/>
      </c>
      <c r="T153" s="81" t="str">
        <f t="shared" si="26"/>
        <v/>
      </c>
      <c r="U153" s="46">
        <v>44323</v>
      </c>
      <c r="V153" s="50">
        <f t="shared" si="27"/>
        <v>370</v>
      </c>
      <c r="W153" s="53">
        <f t="shared" si="28"/>
        <v>0</v>
      </c>
    </row>
    <row r="154" spans="1:23" ht="38.25" x14ac:dyDescent="0.25">
      <c r="A154" s="35" t="s">
        <v>245</v>
      </c>
      <c r="B154" s="36">
        <v>44252</v>
      </c>
      <c r="C154" s="35" t="s">
        <v>397</v>
      </c>
      <c r="D154" s="36" t="s">
        <v>1173</v>
      </c>
      <c r="E154" s="73" t="s">
        <v>1311</v>
      </c>
      <c r="F154" s="38" t="s">
        <v>398</v>
      </c>
      <c r="G154" s="37" t="s">
        <v>1181</v>
      </c>
      <c r="H154" s="37" t="s">
        <v>1187</v>
      </c>
      <c r="I154" s="38" t="s">
        <v>1189</v>
      </c>
      <c r="J154" s="39" t="s">
        <v>388</v>
      </c>
      <c r="K154" s="39" t="s">
        <v>31</v>
      </c>
      <c r="L154" s="39" t="s">
        <v>32</v>
      </c>
      <c r="M154" s="39">
        <v>13</v>
      </c>
      <c r="N154" s="86">
        <f t="shared" si="29"/>
        <v>370</v>
      </c>
      <c r="O154" s="41">
        <v>370</v>
      </c>
      <c r="P154" s="86" t="str">
        <f t="shared" si="30"/>
        <v>OK</v>
      </c>
      <c r="Q154" s="143"/>
      <c r="R154" s="78"/>
      <c r="S154" s="87" t="str">
        <f t="shared" si="25"/>
        <v/>
      </c>
      <c r="T154" s="87" t="str">
        <f t="shared" si="26"/>
        <v/>
      </c>
      <c r="U154" s="36">
        <v>44256</v>
      </c>
      <c r="V154" s="40">
        <f t="shared" si="27"/>
        <v>370</v>
      </c>
      <c r="W154" s="43">
        <f t="shared" si="28"/>
        <v>0</v>
      </c>
    </row>
    <row r="155" spans="1:23" ht="25.5" x14ac:dyDescent="0.25">
      <c r="A155" s="45" t="s">
        <v>246</v>
      </c>
      <c r="B155" s="46">
        <v>44252</v>
      </c>
      <c r="C155" s="45" t="s">
        <v>399</v>
      </c>
      <c r="D155" s="46" t="s">
        <v>1173</v>
      </c>
      <c r="E155" s="72" t="s">
        <v>1311</v>
      </c>
      <c r="F155" s="48" t="s">
        <v>400</v>
      </c>
      <c r="G155" s="47" t="s">
        <v>1182</v>
      </c>
      <c r="H155" s="47" t="s">
        <v>1188</v>
      </c>
      <c r="I155" s="48" t="s">
        <v>1189</v>
      </c>
      <c r="J155" s="48" t="s">
        <v>388</v>
      </c>
      <c r="K155" s="49" t="s">
        <v>31</v>
      </c>
      <c r="L155" s="49" t="s">
        <v>32</v>
      </c>
      <c r="M155" s="49">
        <v>13</v>
      </c>
      <c r="N155" s="80">
        <f t="shared" si="29"/>
        <v>370</v>
      </c>
      <c r="O155" s="51">
        <v>370</v>
      </c>
      <c r="P155" s="81" t="str">
        <f t="shared" si="30"/>
        <v>OK</v>
      </c>
      <c r="Q155" s="142"/>
      <c r="R155" s="76"/>
      <c r="S155" s="81" t="str">
        <f t="shared" si="25"/>
        <v/>
      </c>
      <c r="T155" s="81" t="str">
        <f t="shared" si="26"/>
        <v/>
      </c>
      <c r="U155" s="46">
        <v>44329</v>
      </c>
      <c r="V155" s="50">
        <f t="shared" si="27"/>
        <v>370</v>
      </c>
      <c r="W155" s="53">
        <f t="shared" si="28"/>
        <v>0</v>
      </c>
    </row>
    <row r="156" spans="1:23" ht="25.5" x14ac:dyDescent="0.25">
      <c r="A156" s="35" t="s">
        <v>247</v>
      </c>
      <c r="B156" s="36">
        <v>44252</v>
      </c>
      <c r="C156" s="35" t="s">
        <v>401</v>
      </c>
      <c r="D156" s="36" t="s">
        <v>1173</v>
      </c>
      <c r="E156" s="73" t="s">
        <v>1311</v>
      </c>
      <c r="F156" s="38" t="s">
        <v>402</v>
      </c>
      <c r="G156" s="37" t="s">
        <v>1248</v>
      </c>
      <c r="H156" s="37" t="s">
        <v>1278</v>
      </c>
      <c r="I156" s="38" t="s">
        <v>1189</v>
      </c>
      <c r="J156" s="39" t="s">
        <v>388</v>
      </c>
      <c r="K156" s="39" t="s">
        <v>31</v>
      </c>
      <c r="L156" s="39" t="s">
        <v>32</v>
      </c>
      <c r="M156" s="39">
        <v>13</v>
      </c>
      <c r="N156" s="86">
        <f t="shared" si="29"/>
        <v>370</v>
      </c>
      <c r="O156" s="41">
        <v>370</v>
      </c>
      <c r="P156" s="86" t="str">
        <f t="shared" si="30"/>
        <v>OK</v>
      </c>
      <c r="Q156" s="143"/>
      <c r="R156" s="78"/>
      <c r="S156" s="87" t="str">
        <f t="shared" ref="S156:S194" si="31">IF(R156="","",R156/O156)</f>
        <v/>
      </c>
      <c r="T156" s="87" t="str">
        <f t="shared" ref="T156:T194" si="32">IF(S156="","",IF(S156&gt;$Z$5,"ACIMA","OK"))</f>
        <v/>
      </c>
      <c r="U156" s="36">
        <v>44256</v>
      </c>
      <c r="V156" s="40">
        <f t="shared" ref="V156:V196" si="33">IF(M156="","",O156-R156)</f>
        <v>370</v>
      </c>
      <c r="W156" s="43">
        <f t="shared" ref="W156:W196" si="34">IF(M156="","",IF(AND(M156&gt;0,U156=""),V156,O156-(R156+V156)))</f>
        <v>0</v>
      </c>
    </row>
    <row r="157" spans="1:23" ht="25.5" x14ac:dyDescent="0.25">
      <c r="A157" s="45" t="s">
        <v>248</v>
      </c>
      <c r="B157" s="46">
        <v>44252</v>
      </c>
      <c r="C157" s="45" t="s">
        <v>403</v>
      </c>
      <c r="D157" s="46" t="s">
        <v>1173</v>
      </c>
      <c r="E157" s="72" t="s">
        <v>1311</v>
      </c>
      <c r="F157" s="48" t="s">
        <v>404</v>
      </c>
      <c r="G157" s="47" t="s">
        <v>1249</v>
      </c>
      <c r="H157" s="45" t="s">
        <v>1279</v>
      </c>
      <c r="I157" s="48" t="s">
        <v>1189</v>
      </c>
      <c r="J157" s="48" t="s">
        <v>388</v>
      </c>
      <c r="K157" s="49" t="s">
        <v>31</v>
      </c>
      <c r="L157" s="49" t="s">
        <v>32</v>
      </c>
      <c r="M157" s="49">
        <v>13</v>
      </c>
      <c r="N157" s="80">
        <f t="shared" si="29"/>
        <v>370</v>
      </c>
      <c r="O157" s="51">
        <v>370</v>
      </c>
      <c r="P157" s="81" t="str">
        <f t="shared" si="30"/>
        <v>OK</v>
      </c>
      <c r="Q157" s="142"/>
      <c r="R157" s="76"/>
      <c r="S157" s="81" t="str">
        <f t="shared" si="31"/>
        <v/>
      </c>
      <c r="T157" s="81" t="str">
        <f t="shared" si="32"/>
        <v/>
      </c>
      <c r="U157" s="46">
        <v>44256</v>
      </c>
      <c r="V157" s="50">
        <f t="shared" si="33"/>
        <v>370</v>
      </c>
      <c r="W157" s="53">
        <f t="shared" si="34"/>
        <v>0</v>
      </c>
    </row>
    <row r="158" spans="1:23" ht="25.5" x14ac:dyDescent="0.25">
      <c r="A158" s="35" t="s">
        <v>249</v>
      </c>
      <c r="B158" s="36">
        <v>44253</v>
      </c>
      <c r="C158" s="35" t="s">
        <v>405</v>
      </c>
      <c r="D158" s="36" t="s">
        <v>1173</v>
      </c>
      <c r="E158" s="73" t="s">
        <v>1311</v>
      </c>
      <c r="F158" s="38" t="s">
        <v>406</v>
      </c>
      <c r="G158" s="37" t="s">
        <v>1250</v>
      </c>
      <c r="H158" s="37" t="s">
        <v>1280</v>
      </c>
      <c r="I158" s="38" t="s">
        <v>1189</v>
      </c>
      <c r="J158" s="39" t="s">
        <v>388</v>
      </c>
      <c r="K158" s="39" t="s">
        <v>31</v>
      </c>
      <c r="L158" s="39" t="s">
        <v>32</v>
      </c>
      <c r="M158" s="39">
        <v>13</v>
      </c>
      <c r="N158" s="86">
        <f t="shared" si="29"/>
        <v>370</v>
      </c>
      <c r="O158" s="41">
        <v>370</v>
      </c>
      <c r="P158" s="86" t="str">
        <f t="shared" si="30"/>
        <v>OK</v>
      </c>
      <c r="Q158" s="143"/>
      <c r="R158" s="78"/>
      <c r="S158" s="87" t="str">
        <f t="shared" si="31"/>
        <v/>
      </c>
      <c r="T158" s="87" t="str">
        <f t="shared" si="32"/>
        <v/>
      </c>
      <c r="U158" s="36">
        <v>44329</v>
      </c>
      <c r="V158" s="40">
        <f t="shared" si="33"/>
        <v>370</v>
      </c>
      <c r="W158" s="43">
        <f t="shared" si="34"/>
        <v>0</v>
      </c>
    </row>
    <row r="159" spans="1:23" ht="25.5" x14ac:dyDescent="0.25">
      <c r="A159" s="45" t="s">
        <v>250</v>
      </c>
      <c r="B159" s="46">
        <v>44252</v>
      </c>
      <c r="C159" s="45" t="s">
        <v>407</v>
      </c>
      <c r="D159" s="46" t="s">
        <v>1173</v>
      </c>
      <c r="E159" s="72" t="s">
        <v>1311</v>
      </c>
      <c r="F159" s="48" t="s">
        <v>408</v>
      </c>
      <c r="G159" s="47" t="s">
        <v>1251</v>
      </c>
      <c r="H159" s="47" t="s">
        <v>1281</v>
      </c>
      <c r="I159" s="48" t="s">
        <v>1189</v>
      </c>
      <c r="J159" s="48" t="s">
        <v>388</v>
      </c>
      <c r="K159" s="49" t="s">
        <v>31</v>
      </c>
      <c r="L159" s="49" t="s">
        <v>32</v>
      </c>
      <c r="M159" s="49">
        <v>13</v>
      </c>
      <c r="N159" s="80">
        <f t="shared" si="29"/>
        <v>370</v>
      </c>
      <c r="O159" s="51">
        <v>370</v>
      </c>
      <c r="P159" s="81" t="str">
        <f t="shared" si="30"/>
        <v>OK</v>
      </c>
      <c r="Q159" s="142"/>
      <c r="R159" s="76"/>
      <c r="S159" s="81" t="str">
        <f t="shared" si="31"/>
        <v/>
      </c>
      <c r="T159" s="81" t="str">
        <f t="shared" si="32"/>
        <v/>
      </c>
      <c r="U159" s="46">
        <v>44323</v>
      </c>
      <c r="V159" s="50">
        <f t="shared" si="33"/>
        <v>370</v>
      </c>
      <c r="W159" s="53">
        <f t="shared" si="34"/>
        <v>0</v>
      </c>
    </row>
    <row r="160" spans="1:23" ht="25.5" x14ac:dyDescent="0.25">
      <c r="A160" s="35" t="s">
        <v>251</v>
      </c>
      <c r="B160" s="36">
        <v>44252</v>
      </c>
      <c r="C160" s="35" t="s">
        <v>409</v>
      </c>
      <c r="D160" s="36" t="s">
        <v>1173</v>
      </c>
      <c r="E160" s="73" t="s">
        <v>1311</v>
      </c>
      <c r="F160" s="38" t="s">
        <v>1217</v>
      </c>
      <c r="G160" s="37" t="s">
        <v>1252</v>
      </c>
      <c r="H160" s="37" t="s">
        <v>1282</v>
      </c>
      <c r="I160" s="38" t="s">
        <v>1189</v>
      </c>
      <c r="J160" s="38" t="s">
        <v>388</v>
      </c>
      <c r="K160" s="39" t="s">
        <v>31</v>
      </c>
      <c r="L160" s="39" t="s">
        <v>32</v>
      </c>
      <c r="M160" s="39">
        <v>13</v>
      </c>
      <c r="N160" s="86">
        <f t="shared" si="29"/>
        <v>370</v>
      </c>
      <c r="O160" s="41">
        <v>370</v>
      </c>
      <c r="P160" s="86" t="str">
        <f t="shared" si="30"/>
        <v>OK</v>
      </c>
      <c r="Q160" s="143"/>
      <c r="R160" s="78"/>
      <c r="S160" s="87" t="str">
        <f t="shared" si="31"/>
        <v/>
      </c>
      <c r="T160" s="87" t="str">
        <f t="shared" si="32"/>
        <v/>
      </c>
      <c r="U160" s="36">
        <v>44257</v>
      </c>
      <c r="V160" s="40">
        <f t="shared" si="33"/>
        <v>370</v>
      </c>
      <c r="W160" s="43">
        <f t="shared" si="34"/>
        <v>0</v>
      </c>
    </row>
    <row r="161" spans="1:23" ht="25.5" x14ac:dyDescent="0.25">
      <c r="A161" s="45" t="s">
        <v>252</v>
      </c>
      <c r="B161" s="46">
        <v>43805</v>
      </c>
      <c r="C161" s="45" t="s">
        <v>1190</v>
      </c>
      <c r="D161" s="46" t="s">
        <v>1005</v>
      </c>
      <c r="E161" s="72" t="s">
        <v>1080</v>
      </c>
      <c r="F161" s="48" t="s">
        <v>1218</v>
      </c>
      <c r="G161" s="47" t="s">
        <v>1253</v>
      </c>
      <c r="H161" s="47" t="s">
        <v>1283</v>
      </c>
      <c r="I161" s="48" t="s">
        <v>1304</v>
      </c>
      <c r="J161" s="48" t="s">
        <v>1308</v>
      </c>
      <c r="K161" s="49" t="s">
        <v>5</v>
      </c>
      <c r="L161" s="49" t="s">
        <v>8</v>
      </c>
      <c r="M161" s="49">
        <v>5</v>
      </c>
      <c r="N161" s="80">
        <f t="shared" si="29"/>
        <v>370</v>
      </c>
      <c r="O161" s="51">
        <v>370</v>
      </c>
      <c r="P161" s="81" t="str">
        <f t="shared" si="30"/>
        <v>OK</v>
      </c>
      <c r="Q161" s="142"/>
      <c r="R161" s="76"/>
      <c r="S161" s="81" t="str">
        <f t="shared" si="31"/>
        <v/>
      </c>
      <c r="T161" s="81" t="str">
        <f t="shared" si="32"/>
        <v/>
      </c>
      <c r="U161" s="46">
        <v>44251</v>
      </c>
      <c r="V161" s="50">
        <f t="shared" si="33"/>
        <v>370</v>
      </c>
      <c r="W161" s="53">
        <f t="shared" si="34"/>
        <v>0</v>
      </c>
    </row>
    <row r="162" spans="1:23" ht="25.5" x14ac:dyDescent="0.25">
      <c r="A162" s="35" t="s">
        <v>253</v>
      </c>
      <c r="B162" s="36">
        <v>44177</v>
      </c>
      <c r="C162" s="35" t="s">
        <v>1191</v>
      </c>
      <c r="D162" s="36" t="s">
        <v>868</v>
      </c>
      <c r="E162" s="73" t="s">
        <v>1070</v>
      </c>
      <c r="F162" s="38" t="s">
        <v>1219</v>
      </c>
      <c r="G162" s="37" t="s">
        <v>1254</v>
      </c>
      <c r="H162" s="37" t="s">
        <v>314</v>
      </c>
      <c r="I162" s="38" t="s">
        <v>320</v>
      </c>
      <c r="J162" s="38" t="s">
        <v>317</v>
      </c>
      <c r="K162" s="39" t="s">
        <v>16</v>
      </c>
      <c r="L162" s="39" t="s">
        <v>27</v>
      </c>
      <c r="M162" s="39">
        <v>11</v>
      </c>
      <c r="N162" s="86">
        <f t="shared" si="29"/>
        <v>370</v>
      </c>
      <c r="O162" s="41">
        <v>370</v>
      </c>
      <c r="P162" s="86" t="str">
        <f t="shared" si="30"/>
        <v>OK</v>
      </c>
      <c r="Q162" s="143"/>
      <c r="R162" s="78"/>
      <c r="S162" s="87" t="str">
        <f t="shared" si="31"/>
        <v/>
      </c>
      <c r="T162" s="87" t="str">
        <f t="shared" si="32"/>
        <v/>
      </c>
      <c r="U162" s="36">
        <v>44256</v>
      </c>
      <c r="V162" s="40">
        <f t="shared" si="33"/>
        <v>370</v>
      </c>
      <c r="W162" s="43">
        <f t="shared" si="34"/>
        <v>0</v>
      </c>
    </row>
    <row r="163" spans="1:23" ht="25.5" x14ac:dyDescent="0.25">
      <c r="A163" s="45" t="s">
        <v>254</v>
      </c>
      <c r="B163" s="46">
        <v>44249</v>
      </c>
      <c r="C163" s="45" t="s">
        <v>1192</v>
      </c>
      <c r="D163" s="46" t="s">
        <v>994</v>
      </c>
      <c r="E163" s="72" t="s">
        <v>1064</v>
      </c>
      <c r="F163" s="48" t="s">
        <v>1220</v>
      </c>
      <c r="G163" s="47" t="s">
        <v>762</v>
      </c>
      <c r="H163" s="45" t="s">
        <v>1284</v>
      </c>
      <c r="I163" s="48" t="s">
        <v>1305</v>
      </c>
      <c r="J163" s="49" t="s">
        <v>593</v>
      </c>
      <c r="K163" s="49" t="s">
        <v>432</v>
      </c>
      <c r="L163" s="49" t="s">
        <v>480</v>
      </c>
      <c r="M163" s="49">
        <v>1</v>
      </c>
      <c r="N163" s="80">
        <f t="shared" si="29"/>
        <v>300</v>
      </c>
      <c r="O163" s="51">
        <v>300</v>
      </c>
      <c r="P163" s="81" t="str">
        <f t="shared" si="30"/>
        <v>OK</v>
      </c>
      <c r="Q163" s="142"/>
      <c r="R163" s="76"/>
      <c r="S163" s="81" t="str">
        <f t="shared" si="31"/>
        <v/>
      </c>
      <c r="T163" s="81" t="str">
        <f t="shared" si="32"/>
        <v/>
      </c>
      <c r="U163" s="46">
        <v>44249</v>
      </c>
      <c r="V163" s="50">
        <f t="shared" si="33"/>
        <v>300</v>
      </c>
      <c r="W163" s="53">
        <f t="shared" si="34"/>
        <v>0</v>
      </c>
    </row>
    <row r="164" spans="1:23" ht="25.5" x14ac:dyDescent="0.25">
      <c r="A164" s="35" t="s">
        <v>255</v>
      </c>
      <c r="B164" s="36">
        <v>44162</v>
      </c>
      <c r="C164" s="35" t="s">
        <v>1193</v>
      </c>
      <c r="D164" s="36" t="s">
        <v>868</v>
      </c>
      <c r="E164" s="73" t="s">
        <v>1070</v>
      </c>
      <c r="F164" s="38" t="s">
        <v>1221</v>
      </c>
      <c r="G164" s="37" t="s">
        <v>1255</v>
      </c>
      <c r="H164" s="37" t="s">
        <v>314</v>
      </c>
      <c r="I164" s="38" t="s">
        <v>320</v>
      </c>
      <c r="J164" s="38" t="s">
        <v>317</v>
      </c>
      <c r="K164" s="39" t="s">
        <v>16</v>
      </c>
      <c r="L164" s="39" t="s">
        <v>27</v>
      </c>
      <c r="M164" s="39">
        <v>11</v>
      </c>
      <c r="N164" s="86">
        <f t="shared" si="29"/>
        <v>370</v>
      </c>
      <c r="O164" s="41">
        <v>370</v>
      </c>
      <c r="P164" s="86" t="str">
        <f t="shared" si="30"/>
        <v>OK</v>
      </c>
      <c r="Q164" s="143"/>
      <c r="R164" s="78"/>
      <c r="S164" s="87" t="str">
        <f t="shared" si="31"/>
        <v/>
      </c>
      <c r="T164" s="87" t="str">
        <f t="shared" si="32"/>
        <v/>
      </c>
      <c r="U164" s="36">
        <v>44256</v>
      </c>
      <c r="V164" s="40">
        <f t="shared" si="33"/>
        <v>370</v>
      </c>
      <c r="W164" s="43">
        <f t="shared" si="34"/>
        <v>0</v>
      </c>
    </row>
    <row r="165" spans="1:23" ht="25.5" x14ac:dyDescent="0.25">
      <c r="A165" s="45" t="s">
        <v>256</v>
      </c>
      <c r="B165" s="46">
        <v>44252</v>
      </c>
      <c r="C165" s="45" t="s">
        <v>1194</v>
      </c>
      <c r="D165" s="46" t="s">
        <v>1173</v>
      </c>
      <c r="E165" s="72" t="s">
        <v>1311</v>
      </c>
      <c r="F165" s="48" t="s">
        <v>1222</v>
      </c>
      <c r="G165" s="47" t="s">
        <v>1256</v>
      </c>
      <c r="H165" s="47" t="s">
        <v>1285</v>
      </c>
      <c r="I165" s="48" t="s">
        <v>1189</v>
      </c>
      <c r="J165" s="48" t="s">
        <v>388</v>
      </c>
      <c r="K165" s="49" t="s">
        <v>31</v>
      </c>
      <c r="L165" s="49" t="s">
        <v>32</v>
      </c>
      <c r="M165" s="49">
        <v>13</v>
      </c>
      <c r="N165" s="80">
        <f t="shared" si="29"/>
        <v>370</v>
      </c>
      <c r="O165" s="51">
        <v>370</v>
      </c>
      <c r="P165" s="81" t="str">
        <f t="shared" si="30"/>
        <v>OK</v>
      </c>
      <c r="Q165" s="142"/>
      <c r="R165" s="76"/>
      <c r="S165" s="81" t="str">
        <f t="shared" si="31"/>
        <v/>
      </c>
      <c r="T165" s="81" t="str">
        <f t="shared" si="32"/>
        <v/>
      </c>
      <c r="U165" s="46">
        <v>44329</v>
      </c>
      <c r="V165" s="50">
        <f t="shared" si="33"/>
        <v>370</v>
      </c>
      <c r="W165" s="53">
        <f t="shared" si="34"/>
        <v>0</v>
      </c>
    </row>
    <row r="166" spans="1:23" ht="25.5" x14ac:dyDescent="0.25">
      <c r="A166" s="35" t="s">
        <v>257</v>
      </c>
      <c r="B166" s="36">
        <v>44252</v>
      </c>
      <c r="C166" s="35" t="s">
        <v>1195</v>
      </c>
      <c r="D166" s="36" t="s">
        <v>1173</v>
      </c>
      <c r="E166" s="73" t="s">
        <v>1311</v>
      </c>
      <c r="F166" s="38" t="s">
        <v>1223</v>
      </c>
      <c r="G166" s="37" t="s">
        <v>1257</v>
      </c>
      <c r="H166" s="37" t="s">
        <v>1286</v>
      </c>
      <c r="I166" s="38" t="s">
        <v>1189</v>
      </c>
      <c r="J166" s="38" t="s">
        <v>388</v>
      </c>
      <c r="K166" s="39" t="s">
        <v>31</v>
      </c>
      <c r="L166" s="39" t="s">
        <v>32</v>
      </c>
      <c r="M166" s="39">
        <v>13</v>
      </c>
      <c r="N166" s="86">
        <f t="shared" si="29"/>
        <v>370</v>
      </c>
      <c r="O166" s="41">
        <v>370</v>
      </c>
      <c r="P166" s="86" t="str">
        <f t="shared" si="30"/>
        <v>OK</v>
      </c>
      <c r="Q166" s="143"/>
      <c r="R166" s="78"/>
      <c r="S166" s="87" t="str">
        <f t="shared" si="31"/>
        <v/>
      </c>
      <c r="T166" s="87" t="str">
        <f t="shared" si="32"/>
        <v/>
      </c>
      <c r="U166" s="36">
        <v>44323</v>
      </c>
      <c r="V166" s="40">
        <f t="shared" si="33"/>
        <v>370</v>
      </c>
      <c r="W166" s="43">
        <f t="shared" si="34"/>
        <v>0</v>
      </c>
    </row>
    <row r="167" spans="1:23" ht="25.5" x14ac:dyDescent="0.25">
      <c r="A167" s="45" t="s">
        <v>258</v>
      </c>
      <c r="B167" s="46">
        <v>44253</v>
      </c>
      <c r="C167" s="45" t="s">
        <v>1196</v>
      </c>
      <c r="D167" s="46" t="s">
        <v>1173</v>
      </c>
      <c r="E167" s="72" t="s">
        <v>1311</v>
      </c>
      <c r="F167" s="48" t="s">
        <v>1224</v>
      </c>
      <c r="G167" s="47" t="s">
        <v>1258</v>
      </c>
      <c r="H167" s="47" t="s">
        <v>1287</v>
      </c>
      <c r="I167" s="48" t="s">
        <v>1189</v>
      </c>
      <c r="J167" s="48" t="s">
        <v>743</v>
      </c>
      <c r="K167" s="49" t="s">
        <v>31</v>
      </c>
      <c r="L167" s="49" t="s">
        <v>32</v>
      </c>
      <c r="M167" s="49">
        <v>13</v>
      </c>
      <c r="N167" s="80">
        <f t="shared" si="29"/>
        <v>370</v>
      </c>
      <c r="O167" s="51">
        <v>370</v>
      </c>
      <c r="P167" s="81" t="str">
        <f t="shared" si="30"/>
        <v>OK</v>
      </c>
      <c r="Q167" s="142"/>
      <c r="R167" s="76"/>
      <c r="S167" s="81" t="str">
        <f t="shared" si="31"/>
        <v/>
      </c>
      <c r="T167" s="81" t="str">
        <f t="shared" si="32"/>
        <v/>
      </c>
      <c r="U167" s="46">
        <v>44257</v>
      </c>
      <c r="V167" s="50">
        <f t="shared" si="33"/>
        <v>370</v>
      </c>
      <c r="W167" s="53">
        <f t="shared" si="34"/>
        <v>0</v>
      </c>
    </row>
    <row r="168" spans="1:23" ht="25.5" x14ac:dyDescent="0.25">
      <c r="A168" s="35" t="s">
        <v>259</v>
      </c>
      <c r="B168" s="36">
        <v>44252</v>
      </c>
      <c r="C168" s="35" t="s">
        <v>1197</v>
      </c>
      <c r="D168" s="36" t="s">
        <v>1173</v>
      </c>
      <c r="E168" s="73" t="s">
        <v>1311</v>
      </c>
      <c r="F168" s="38" t="s">
        <v>1225</v>
      </c>
      <c r="G168" s="37" t="s">
        <v>1259</v>
      </c>
      <c r="H168" s="37" t="s">
        <v>1288</v>
      </c>
      <c r="I168" s="38" t="s">
        <v>1189</v>
      </c>
      <c r="J168" s="38" t="s">
        <v>743</v>
      </c>
      <c r="K168" s="39" t="s">
        <v>31</v>
      </c>
      <c r="L168" s="39" t="s">
        <v>32</v>
      </c>
      <c r="M168" s="39">
        <v>13</v>
      </c>
      <c r="N168" s="86">
        <f t="shared" si="29"/>
        <v>370</v>
      </c>
      <c r="O168" s="41">
        <v>370</v>
      </c>
      <c r="P168" s="86" t="str">
        <f t="shared" si="30"/>
        <v>OK</v>
      </c>
      <c r="Q168" s="143"/>
      <c r="R168" s="78"/>
      <c r="S168" s="87" t="str">
        <f t="shared" si="31"/>
        <v/>
      </c>
      <c r="T168" s="87" t="str">
        <f t="shared" si="32"/>
        <v/>
      </c>
      <c r="U168" s="36">
        <v>44257</v>
      </c>
      <c r="V168" s="40">
        <f t="shared" si="33"/>
        <v>370</v>
      </c>
      <c r="W168" s="43">
        <f t="shared" si="34"/>
        <v>0</v>
      </c>
    </row>
    <row r="169" spans="1:23" ht="25.5" x14ac:dyDescent="0.25">
      <c r="A169" s="45" t="s">
        <v>260</v>
      </c>
      <c r="B169" s="46">
        <v>44252</v>
      </c>
      <c r="C169" s="45" t="s">
        <v>737</v>
      </c>
      <c r="D169" s="46" t="s">
        <v>1173</v>
      </c>
      <c r="E169" s="72" t="s">
        <v>1311</v>
      </c>
      <c r="F169" s="48" t="s">
        <v>1226</v>
      </c>
      <c r="G169" s="47" t="s">
        <v>1260</v>
      </c>
      <c r="H169" s="45" t="s">
        <v>741</v>
      </c>
      <c r="I169" s="48" t="s">
        <v>1189</v>
      </c>
      <c r="J169" s="48" t="s">
        <v>743</v>
      </c>
      <c r="K169" s="49" t="s">
        <v>31</v>
      </c>
      <c r="L169" s="49" t="s">
        <v>32</v>
      </c>
      <c r="M169" s="49">
        <v>13</v>
      </c>
      <c r="N169" s="80">
        <f t="shared" si="29"/>
        <v>370</v>
      </c>
      <c r="O169" s="51">
        <v>370</v>
      </c>
      <c r="P169" s="81" t="str">
        <f t="shared" si="30"/>
        <v>OK</v>
      </c>
      <c r="Q169" s="142"/>
      <c r="R169" s="76"/>
      <c r="S169" s="81" t="str">
        <f t="shared" si="31"/>
        <v/>
      </c>
      <c r="T169" s="81" t="str">
        <f t="shared" si="32"/>
        <v/>
      </c>
      <c r="U169" s="46">
        <v>44257</v>
      </c>
      <c r="V169" s="50">
        <f t="shared" si="33"/>
        <v>370</v>
      </c>
      <c r="W169" s="53">
        <f t="shared" si="34"/>
        <v>0</v>
      </c>
    </row>
    <row r="170" spans="1:23" ht="25.5" x14ac:dyDescent="0.25">
      <c r="A170" s="35" t="s">
        <v>261</v>
      </c>
      <c r="B170" s="36">
        <v>44253</v>
      </c>
      <c r="C170" s="35" t="s">
        <v>1198</v>
      </c>
      <c r="D170" s="36" t="s">
        <v>1173</v>
      </c>
      <c r="E170" s="73" t="s">
        <v>1311</v>
      </c>
      <c r="F170" s="38" t="s">
        <v>1227</v>
      </c>
      <c r="G170" s="37" t="s">
        <v>1261</v>
      </c>
      <c r="H170" s="37" t="s">
        <v>1289</v>
      </c>
      <c r="I170" s="38" t="s">
        <v>390</v>
      </c>
      <c r="J170" s="38" t="s">
        <v>743</v>
      </c>
      <c r="K170" s="39" t="s">
        <v>31</v>
      </c>
      <c r="L170" s="39" t="s">
        <v>32</v>
      </c>
      <c r="M170" s="39">
        <v>13</v>
      </c>
      <c r="N170" s="86">
        <f t="shared" si="29"/>
        <v>370</v>
      </c>
      <c r="O170" s="41">
        <v>370</v>
      </c>
      <c r="P170" s="86" t="str">
        <f t="shared" si="30"/>
        <v>OK</v>
      </c>
      <c r="Q170" s="143"/>
      <c r="R170" s="78"/>
      <c r="S170" s="87" t="str">
        <f t="shared" si="31"/>
        <v/>
      </c>
      <c r="T170" s="87" t="str">
        <f t="shared" si="32"/>
        <v/>
      </c>
      <c r="U170" s="36">
        <v>44257</v>
      </c>
      <c r="V170" s="40">
        <f t="shared" si="33"/>
        <v>370</v>
      </c>
      <c r="W170" s="43">
        <f t="shared" si="34"/>
        <v>0</v>
      </c>
    </row>
    <row r="171" spans="1:23" ht="25.5" x14ac:dyDescent="0.25">
      <c r="A171" s="45" t="s">
        <v>262</v>
      </c>
      <c r="B171" s="46">
        <v>44252</v>
      </c>
      <c r="C171" s="45" t="s">
        <v>1199</v>
      </c>
      <c r="D171" s="46" t="s">
        <v>1173</v>
      </c>
      <c r="E171" s="72" t="s">
        <v>1311</v>
      </c>
      <c r="F171" s="48" t="s">
        <v>1228</v>
      </c>
      <c r="G171" s="47" t="s">
        <v>1262</v>
      </c>
      <c r="H171" s="47" t="s">
        <v>1290</v>
      </c>
      <c r="I171" s="48" t="s">
        <v>1189</v>
      </c>
      <c r="J171" s="48" t="s">
        <v>743</v>
      </c>
      <c r="K171" s="49" t="s">
        <v>31</v>
      </c>
      <c r="L171" s="49" t="s">
        <v>32</v>
      </c>
      <c r="M171" s="49">
        <v>13</v>
      </c>
      <c r="N171" s="80">
        <f t="shared" si="29"/>
        <v>370</v>
      </c>
      <c r="O171" s="51">
        <v>370</v>
      </c>
      <c r="P171" s="81" t="str">
        <f t="shared" si="30"/>
        <v>OK</v>
      </c>
      <c r="Q171" s="142"/>
      <c r="R171" s="76"/>
      <c r="S171" s="81" t="str">
        <f t="shared" si="31"/>
        <v/>
      </c>
      <c r="T171" s="81" t="str">
        <f t="shared" si="32"/>
        <v/>
      </c>
      <c r="U171" s="46">
        <v>44323</v>
      </c>
      <c r="V171" s="50">
        <f t="shared" si="33"/>
        <v>370</v>
      </c>
      <c r="W171" s="53">
        <f t="shared" si="34"/>
        <v>0</v>
      </c>
    </row>
    <row r="172" spans="1:23" ht="25.5" x14ac:dyDescent="0.25">
      <c r="A172" s="35" t="s">
        <v>263</v>
      </c>
      <c r="B172" s="36">
        <v>44253</v>
      </c>
      <c r="C172" s="35" t="s">
        <v>1200</v>
      </c>
      <c r="D172" s="36" t="s">
        <v>1173</v>
      </c>
      <c r="E172" s="73" t="s">
        <v>1311</v>
      </c>
      <c r="F172" s="38" t="s">
        <v>1229</v>
      </c>
      <c r="G172" s="37" t="s">
        <v>1263</v>
      </c>
      <c r="H172" s="37" t="s">
        <v>1291</v>
      </c>
      <c r="I172" s="38" t="s">
        <v>1189</v>
      </c>
      <c r="J172" s="38" t="s">
        <v>743</v>
      </c>
      <c r="K172" s="39" t="s">
        <v>31</v>
      </c>
      <c r="L172" s="39" t="s">
        <v>32</v>
      </c>
      <c r="M172" s="39">
        <v>13</v>
      </c>
      <c r="N172" s="86">
        <f t="shared" si="29"/>
        <v>370</v>
      </c>
      <c r="O172" s="41">
        <v>370</v>
      </c>
      <c r="P172" s="86" t="str">
        <f t="shared" si="30"/>
        <v>OK</v>
      </c>
      <c r="Q172" s="143"/>
      <c r="R172" s="78"/>
      <c r="S172" s="87" t="str">
        <f t="shared" si="31"/>
        <v/>
      </c>
      <c r="T172" s="87" t="str">
        <f t="shared" si="32"/>
        <v/>
      </c>
      <c r="U172" s="36">
        <v>44257</v>
      </c>
      <c r="V172" s="40">
        <f t="shared" si="33"/>
        <v>370</v>
      </c>
      <c r="W172" s="43">
        <f t="shared" si="34"/>
        <v>0</v>
      </c>
    </row>
    <row r="173" spans="1:23" ht="25.5" x14ac:dyDescent="0.25">
      <c r="A173" s="45" t="s">
        <v>264</v>
      </c>
      <c r="B173" s="46">
        <v>44252</v>
      </c>
      <c r="C173" s="45" t="s">
        <v>1201</v>
      </c>
      <c r="D173" s="46" t="s">
        <v>1173</v>
      </c>
      <c r="E173" s="72" t="s">
        <v>1311</v>
      </c>
      <c r="F173" s="48" t="s">
        <v>1230</v>
      </c>
      <c r="G173" s="47" t="s">
        <v>1264</v>
      </c>
      <c r="H173" s="47" t="s">
        <v>1292</v>
      </c>
      <c r="I173" s="48" t="s">
        <v>1189</v>
      </c>
      <c r="J173" s="48" t="s">
        <v>743</v>
      </c>
      <c r="K173" s="49" t="s">
        <v>31</v>
      </c>
      <c r="L173" s="49" t="s">
        <v>32</v>
      </c>
      <c r="M173" s="49">
        <v>13</v>
      </c>
      <c r="N173" s="80">
        <f t="shared" si="29"/>
        <v>370</v>
      </c>
      <c r="O173" s="51">
        <v>370</v>
      </c>
      <c r="P173" s="81" t="str">
        <f t="shared" si="30"/>
        <v>OK</v>
      </c>
      <c r="Q173" s="142"/>
      <c r="R173" s="76"/>
      <c r="S173" s="81" t="str">
        <f t="shared" si="31"/>
        <v/>
      </c>
      <c r="T173" s="81" t="str">
        <f t="shared" si="32"/>
        <v/>
      </c>
      <c r="U173" s="46">
        <v>44257</v>
      </c>
      <c r="V173" s="50">
        <f t="shared" si="33"/>
        <v>370</v>
      </c>
      <c r="W173" s="53">
        <f t="shared" si="34"/>
        <v>0</v>
      </c>
    </row>
    <row r="174" spans="1:23" ht="25.5" x14ac:dyDescent="0.25">
      <c r="A174" s="35" t="s">
        <v>265</v>
      </c>
      <c r="B174" s="36">
        <v>44252</v>
      </c>
      <c r="C174" s="35" t="s">
        <v>1202</v>
      </c>
      <c r="D174" s="36" t="s">
        <v>1173</v>
      </c>
      <c r="E174" s="73" t="s">
        <v>1311</v>
      </c>
      <c r="F174" s="38" t="s">
        <v>1231</v>
      </c>
      <c r="G174" s="37" t="s">
        <v>1265</v>
      </c>
      <c r="H174" s="37" t="s">
        <v>1293</v>
      </c>
      <c r="I174" s="38" t="s">
        <v>1189</v>
      </c>
      <c r="J174" s="38" t="s">
        <v>743</v>
      </c>
      <c r="K174" s="39" t="s">
        <v>31</v>
      </c>
      <c r="L174" s="39" t="s">
        <v>32</v>
      </c>
      <c r="M174" s="39">
        <v>13</v>
      </c>
      <c r="N174" s="86">
        <f t="shared" si="29"/>
        <v>370</v>
      </c>
      <c r="O174" s="41">
        <v>370</v>
      </c>
      <c r="P174" s="86" t="str">
        <f t="shared" si="30"/>
        <v>OK</v>
      </c>
      <c r="Q174" s="143"/>
      <c r="R174" s="78"/>
      <c r="S174" s="87" t="str">
        <f t="shared" si="31"/>
        <v/>
      </c>
      <c r="T174" s="87" t="str">
        <f t="shared" si="32"/>
        <v/>
      </c>
      <c r="U174" s="36">
        <v>44257</v>
      </c>
      <c r="V174" s="40">
        <f t="shared" si="33"/>
        <v>370</v>
      </c>
      <c r="W174" s="43">
        <f t="shared" si="34"/>
        <v>0</v>
      </c>
    </row>
    <row r="175" spans="1:23" ht="38.25" x14ac:dyDescent="0.25">
      <c r="A175" s="45" t="s">
        <v>266</v>
      </c>
      <c r="B175" s="46">
        <v>44253</v>
      </c>
      <c r="C175" s="45" t="s">
        <v>1203</v>
      </c>
      <c r="D175" s="46" t="s">
        <v>1173</v>
      </c>
      <c r="E175" s="72" t="s">
        <v>1311</v>
      </c>
      <c r="F175" s="48" t="s">
        <v>1232</v>
      </c>
      <c r="G175" s="47" t="s">
        <v>1266</v>
      </c>
      <c r="H175" s="45" t="s">
        <v>1294</v>
      </c>
      <c r="I175" s="48" t="s">
        <v>1189</v>
      </c>
      <c r="J175" s="48" t="s">
        <v>743</v>
      </c>
      <c r="K175" s="49" t="s">
        <v>31</v>
      </c>
      <c r="L175" s="49" t="s">
        <v>32</v>
      </c>
      <c r="M175" s="49">
        <v>13</v>
      </c>
      <c r="N175" s="80">
        <f t="shared" si="29"/>
        <v>370</v>
      </c>
      <c r="O175" s="51">
        <v>370</v>
      </c>
      <c r="P175" s="81" t="str">
        <f t="shared" si="30"/>
        <v>OK</v>
      </c>
      <c r="Q175" s="142"/>
      <c r="R175" s="76"/>
      <c r="S175" s="81" t="str">
        <f t="shared" si="31"/>
        <v/>
      </c>
      <c r="T175" s="81" t="str">
        <f t="shared" si="32"/>
        <v/>
      </c>
      <c r="U175" s="46">
        <v>44257</v>
      </c>
      <c r="V175" s="50">
        <f t="shared" si="33"/>
        <v>370</v>
      </c>
      <c r="W175" s="53">
        <f t="shared" si="34"/>
        <v>0</v>
      </c>
    </row>
    <row r="176" spans="1:23" ht="25.5" x14ac:dyDescent="0.25">
      <c r="A176" s="35" t="s">
        <v>267</v>
      </c>
      <c r="B176" s="36">
        <v>44252</v>
      </c>
      <c r="C176" s="35" t="s">
        <v>1204</v>
      </c>
      <c r="D176" s="36" t="s">
        <v>1173</v>
      </c>
      <c r="E176" s="73" t="s">
        <v>1311</v>
      </c>
      <c r="F176" s="38" t="s">
        <v>1233</v>
      </c>
      <c r="G176" s="37" t="s">
        <v>1267</v>
      </c>
      <c r="H176" s="37" t="s">
        <v>1295</v>
      </c>
      <c r="I176" s="38" t="s">
        <v>1189</v>
      </c>
      <c r="J176" s="38" t="s">
        <v>743</v>
      </c>
      <c r="K176" s="39" t="s">
        <v>31</v>
      </c>
      <c r="L176" s="39" t="s">
        <v>32</v>
      </c>
      <c r="M176" s="39">
        <v>13</v>
      </c>
      <c r="N176" s="86">
        <f t="shared" si="29"/>
        <v>370</v>
      </c>
      <c r="O176" s="41">
        <v>370</v>
      </c>
      <c r="P176" s="86" t="str">
        <f t="shared" si="30"/>
        <v>OK</v>
      </c>
      <c r="Q176" s="143"/>
      <c r="R176" s="78"/>
      <c r="S176" s="87" t="str">
        <f t="shared" si="31"/>
        <v/>
      </c>
      <c r="T176" s="87" t="str">
        <f t="shared" si="32"/>
        <v/>
      </c>
      <c r="U176" s="36">
        <v>44257</v>
      </c>
      <c r="V176" s="40">
        <f t="shared" si="33"/>
        <v>370</v>
      </c>
      <c r="W176" s="43">
        <f t="shared" si="34"/>
        <v>0</v>
      </c>
    </row>
    <row r="177" spans="1:23" ht="25.5" x14ac:dyDescent="0.25">
      <c r="A177" s="45" t="s">
        <v>268</v>
      </c>
      <c r="B177" s="46">
        <v>43963</v>
      </c>
      <c r="C177" s="45" t="s">
        <v>1205</v>
      </c>
      <c r="D177" s="46" t="s">
        <v>1134</v>
      </c>
      <c r="E177" s="72" t="s">
        <v>1073</v>
      </c>
      <c r="F177" s="48" t="s">
        <v>1234</v>
      </c>
      <c r="G177" s="47" t="s">
        <v>1268</v>
      </c>
      <c r="H177" s="47" t="s">
        <v>1296</v>
      </c>
      <c r="I177" s="48" t="s">
        <v>320</v>
      </c>
      <c r="J177" s="48" t="s">
        <v>317</v>
      </c>
      <c r="K177" s="49" t="s">
        <v>16</v>
      </c>
      <c r="L177" s="49" t="s">
        <v>27</v>
      </c>
      <c r="M177" s="49">
        <v>11</v>
      </c>
      <c r="N177" s="80">
        <f t="shared" si="29"/>
        <v>370</v>
      </c>
      <c r="O177" s="51">
        <v>370</v>
      </c>
      <c r="P177" s="81" t="str">
        <f t="shared" si="30"/>
        <v>OK</v>
      </c>
      <c r="Q177" s="142"/>
      <c r="R177" s="76"/>
      <c r="S177" s="81" t="str">
        <f t="shared" si="31"/>
        <v/>
      </c>
      <c r="T177" s="81" t="str">
        <f t="shared" si="32"/>
        <v/>
      </c>
      <c r="U177" s="46">
        <v>44263</v>
      </c>
      <c r="V177" s="50">
        <f t="shared" si="33"/>
        <v>370</v>
      </c>
      <c r="W177" s="53">
        <f t="shared" si="34"/>
        <v>0</v>
      </c>
    </row>
    <row r="178" spans="1:23" ht="25.5" x14ac:dyDescent="0.25">
      <c r="A178" s="35" t="s">
        <v>269</v>
      </c>
      <c r="B178" s="36">
        <v>44124</v>
      </c>
      <c r="C178" s="35" t="s">
        <v>1206</v>
      </c>
      <c r="D178" s="36" t="s">
        <v>868</v>
      </c>
      <c r="E178" s="73" t="s">
        <v>1070</v>
      </c>
      <c r="F178" s="38" t="s">
        <v>1235</v>
      </c>
      <c r="G178" s="37" t="s">
        <v>1269</v>
      </c>
      <c r="H178" s="37" t="s">
        <v>465</v>
      </c>
      <c r="I178" s="38" t="s">
        <v>320</v>
      </c>
      <c r="J178" s="38" t="s">
        <v>317</v>
      </c>
      <c r="K178" s="39" t="s">
        <v>16</v>
      </c>
      <c r="L178" s="39" t="s">
        <v>27</v>
      </c>
      <c r="M178" s="39">
        <v>11</v>
      </c>
      <c r="N178" s="86">
        <f t="shared" si="29"/>
        <v>370</v>
      </c>
      <c r="O178" s="41">
        <v>370</v>
      </c>
      <c r="P178" s="86" t="str">
        <f t="shared" si="30"/>
        <v>OK</v>
      </c>
      <c r="Q178" s="143"/>
      <c r="R178" s="78"/>
      <c r="S178" s="87" t="str">
        <f t="shared" si="31"/>
        <v/>
      </c>
      <c r="T178" s="87" t="str">
        <f t="shared" si="32"/>
        <v/>
      </c>
      <c r="U178" s="36">
        <v>44263</v>
      </c>
      <c r="V178" s="40">
        <f t="shared" si="33"/>
        <v>370</v>
      </c>
      <c r="W178" s="43">
        <f t="shared" si="34"/>
        <v>0</v>
      </c>
    </row>
    <row r="179" spans="1:23" ht="25.5" x14ac:dyDescent="0.25">
      <c r="A179" s="45" t="s">
        <v>270</v>
      </c>
      <c r="B179" s="46">
        <v>44221</v>
      </c>
      <c r="C179" s="45" t="s">
        <v>1207</v>
      </c>
      <c r="D179" s="46" t="s">
        <v>1079</v>
      </c>
      <c r="E179" s="72" t="s">
        <v>980</v>
      </c>
      <c r="F179" s="48" t="s">
        <v>1236</v>
      </c>
      <c r="G179" s="47" t="s">
        <v>1270</v>
      </c>
      <c r="H179" s="47" t="s">
        <v>1297</v>
      </c>
      <c r="I179" s="48" t="s">
        <v>970</v>
      </c>
      <c r="J179" s="48" t="s">
        <v>1107</v>
      </c>
      <c r="K179" s="49" t="s">
        <v>39</v>
      </c>
      <c r="L179" s="49" t="s">
        <v>40</v>
      </c>
      <c r="M179" s="49">
        <v>17</v>
      </c>
      <c r="N179" s="80">
        <f t="shared" si="29"/>
        <v>300</v>
      </c>
      <c r="O179" s="51">
        <v>200</v>
      </c>
      <c r="P179" s="81" t="str">
        <f t="shared" si="30"/>
        <v>OK</v>
      </c>
      <c r="Q179" s="142"/>
      <c r="R179" s="76"/>
      <c r="S179" s="81" t="str">
        <f t="shared" si="31"/>
        <v/>
      </c>
      <c r="T179" s="81" t="str">
        <f t="shared" si="32"/>
        <v/>
      </c>
      <c r="U179" s="46">
        <v>44243</v>
      </c>
      <c r="V179" s="50">
        <f t="shared" si="33"/>
        <v>200</v>
      </c>
      <c r="W179" s="53">
        <f t="shared" si="34"/>
        <v>0</v>
      </c>
    </row>
    <row r="180" spans="1:23" ht="25.5" x14ac:dyDescent="0.25">
      <c r="A180" s="35" t="s">
        <v>271</v>
      </c>
      <c r="B180" s="36">
        <v>44259</v>
      </c>
      <c r="C180" s="35" t="s">
        <v>1208</v>
      </c>
      <c r="D180" s="36" t="s">
        <v>659</v>
      </c>
      <c r="E180" s="73" t="s">
        <v>1073</v>
      </c>
      <c r="F180" s="38" t="s">
        <v>1237</v>
      </c>
      <c r="G180" s="37" t="s">
        <v>1271</v>
      </c>
      <c r="H180" s="37" t="s">
        <v>1165</v>
      </c>
      <c r="I180" s="38" t="s">
        <v>320</v>
      </c>
      <c r="J180" s="38" t="s">
        <v>317</v>
      </c>
      <c r="K180" s="39" t="s">
        <v>16</v>
      </c>
      <c r="L180" s="39" t="s">
        <v>27</v>
      </c>
      <c r="M180" s="39">
        <v>11</v>
      </c>
      <c r="N180" s="86">
        <f t="shared" si="29"/>
        <v>370</v>
      </c>
      <c r="O180" s="41">
        <v>370</v>
      </c>
      <c r="P180" s="86" t="str">
        <f t="shared" si="30"/>
        <v>OK</v>
      </c>
      <c r="Q180" s="143"/>
      <c r="R180" s="78"/>
      <c r="S180" s="87" t="str">
        <f t="shared" si="31"/>
        <v/>
      </c>
      <c r="T180" s="87" t="str">
        <f t="shared" si="32"/>
        <v/>
      </c>
      <c r="U180" s="36">
        <v>44259</v>
      </c>
      <c r="V180" s="40">
        <f t="shared" si="33"/>
        <v>370</v>
      </c>
      <c r="W180" s="43">
        <f t="shared" si="34"/>
        <v>0</v>
      </c>
    </row>
    <row r="181" spans="1:23" ht="25.5" x14ac:dyDescent="0.25">
      <c r="A181" s="45" t="s">
        <v>272</v>
      </c>
      <c r="B181" s="46">
        <v>44006</v>
      </c>
      <c r="C181" s="45" t="s">
        <v>1209</v>
      </c>
      <c r="D181" s="46" t="s">
        <v>1134</v>
      </c>
      <c r="E181" s="72" t="s">
        <v>1073</v>
      </c>
      <c r="F181" s="48" t="s">
        <v>1238</v>
      </c>
      <c r="G181" s="47" t="s">
        <v>1272</v>
      </c>
      <c r="H181" s="45" t="s">
        <v>1298</v>
      </c>
      <c r="I181" s="48" t="s">
        <v>320</v>
      </c>
      <c r="J181" s="49" t="s">
        <v>317</v>
      </c>
      <c r="K181" s="49" t="s">
        <v>16</v>
      </c>
      <c r="L181" s="49" t="s">
        <v>27</v>
      </c>
      <c r="M181" s="49">
        <v>11</v>
      </c>
      <c r="N181" s="80">
        <f t="shared" si="29"/>
        <v>370</v>
      </c>
      <c r="O181" s="51">
        <v>370</v>
      </c>
      <c r="P181" s="81" t="str">
        <f t="shared" si="30"/>
        <v>OK</v>
      </c>
      <c r="Q181" s="142"/>
      <c r="R181" s="76"/>
      <c r="S181" s="81" t="str">
        <f t="shared" si="31"/>
        <v/>
      </c>
      <c r="T181" s="81" t="str">
        <f t="shared" si="32"/>
        <v/>
      </c>
      <c r="U181" s="46">
        <v>44260</v>
      </c>
      <c r="V181" s="50">
        <f t="shared" si="33"/>
        <v>370</v>
      </c>
      <c r="W181" s="53">
        <f t="shared" si="34"/>
        <v>0</v>
      </c>
    </row>
    <row r="182" spans="1:23" ht="25.5" x14ac:dyDescent="0.25">
      <c r="A182" s="35" t="s">
        <v>273</v>
      </c>
      <c r="B182" s="36">
        <v>44259</v>
      </c>
      <c r="C182" s="35" t="s">
        <v>1210</v>
      </c>
      <c r="D182" s="36" t="s">
        <v>1211</v>
      </c>
      <c r="E182" s="73" t="s">
        <v>1071</v>
      </c>
      <c r="F182" s="38" t="s">
        <v>1239</v>
      </c>
      <c r="G182" s="37" t="s">
        <v>1273</v>
      </c>
      <c r="H182" s="37" t="s">
        <v>585</v>
      </c>
      <c r="I182" s="38" t="s">
        <v>320</v>
      </c>
      <c r="J182" s="38" t="s">
        <v>317</v>
      </c>
      <c r="K182" s="39" t="s">
        <v>432</v>
      </c>
      <c r="L182" s="39" t="s">
        <v>480</v>
      </c>
      <c r="M182" s="39">
        <v>1</v>
      </c>
      <c r="N182" s="86">
        <f t="shared" si="29"/>
        <v>300</v>
      </c>
      <c r="O182" s="41">
        <v>300</v>
      </c>
      <c r="P182" s="86" t="str">
        <f t="shared" si="30"/>
        <v>OK</v>
      </c>
      <c r="Q182" s="143"/>
      <c r="R182" s="78"/>
      <c r="S182" s="87" t="str">
        <f t="shared" si="31"/>
        <v/>
      </c>
      <c r="T182" s="87" t="str">
        <f t="shared" si="32"/>
        <v/>
      </c>
      <c r="U182" s="36">
        <v>44259</v>
      </c>
      <c r="V182" s="40">
        <f t="shared" si="33"/>
        <v>300</v>
      </c>
      <c r="W182" s="43">
        <f t="shared" si="34"/>
        <v>0</v>
      </c>
    </row>
    <row r="183" spans="1:23" ht="25.5" x14ac:dyDescent="0.25">
      <c r="A183" s="45" t="s">
        <v>274</v>
      </c>
      <c r="B183" s="46">
        <v>43061</v>
      </c>
      <c r="C183" s="45" t="s">
        <v>1212</v>
      </c>
      <c r="D183" s="46" t="s">
        <v>995</v>
      </c>
      <c r="E183" s="72" t="s">
        <v>1064</v>
      </c>
      <c r="F183" s="48" t="s">
        <v>1240</v>
      </c>
      <c r="G183" s="47" t="s">
        <v>1274</v>
      </c>
      <c r="H183" s="47" t="s">
        <v>1299</v>
      </c>
      <c r="I183" s="48" t="s">
        <v>1306</v>
      </c>
      <c r="J183" s="48" t="s">
        <v>1309</v>
      </c>
      <c r="K183" s="49" t="s">
        <v>39</v>
      </c>
      <c r="L183" s="49" t="s">
        <v>40</v>
      </c>
      <c r="M183" s="49">
        <v>17</v>
      </c>
      <c r="N183" s="80">
        <f t="shared" si="29"/>
        <v>300</v>
      </c>
      <c r="O183" s="51">
        <v>664.39</v>
      </c>
      <c r="P183" s="81" t="str">
        <f t="shared" si="30"/>
        <v>OK</v>
      </c>
      <c r="Q183" s="142"/>
      <c r="R183" s="76"/>
      <c r="S183" s="81" t="str">
        <f t="shared" si="31"/>
        <v/>
      </c>
      <c r="T183" s="81" t="str">
        <f t="shared" si="32"/>
        <v/>
      </c>
      <c r="U183" s="46">
        <v>43691</v>
      </c>
      <c r="V183" s="50">
        <f t="shared" si="33"/>
        <v>664.39</v>
      </c>
      <c r="W183" s="53">
        <f t="shared" si="34"/>
        <v>0</v>
      </c>
    </row>
    <row r="184" spans="1:23" ht="25.5" x14ac:dyDescent="0.25">
      <c r="A184" s="35" t="s">
        <v>275</v>
      </c>
      <c r="B184" s="36">
        <v>42935</v>
      </c>
      <c r="C184" s="35" t="s">
        <v>1213</v>
      </c>
      <c r="D184" s="36" t="s">
        <v>995</v>
      </c>
      <c r="E184" s="73" t="s">
        <v>1064</v>
      </c>
      <c r="F184" s="38" t="s">
        <v>1241</v>
      </c>
      <c r="G184" s="37" t="s">
        <v>1275</v>
      </c>
      <c r="H184" s="37" t="s">
        <v>1300</v>
      </c>
      <c r="I184" s="38" t="s">
        <v>736</v>
      </c>
      <c r="J184" s="38" t="s">
        <v>735</v>
      </c>
      <c r="K184" s="39" t="s">
        <v>39</v>
      </c>
      <c r="L184" s="39" t="s">
        <v>40</v>
      </c>
      <c r="M184" s="39">
        <v>17</v>
      </c>
      <c r="N184" s="86">
        <f t="shared" si="29"/>
        <v>300</v>
      </c>
      <c r="O184" s="41">
        <v>664.39</v>
      </c>
      <c r="P184" s="86" t="str">
        <f t="shared" si="30"/>
        <v>OK</v>
      </c>
      <c r="Q184" s="143"/>
      <c r="R184" s="78"/>
      <c r="S184" s="87" t="str">
        <f t="shared" si="31"/>
        <v/>
      </c>
      <c r="T184" s="87" t="str">
        <f t="shared" si="32"/>
        <v/>
      </c>
      <c r="U184" s="36">
        <v>44257</v>
      </c>
      <c r="V184" s="40">
        <f t="shared" si="33"/>
        <v>664.39</v>
      </c>
      <c r="W184" s="43">
        <f t="shared" si="34"/>
        <v>0</v>
      </c>
    </row>
    <row r="185" spans="1:23" ht="25.5" x14ac:dyDescent="0.25">
      <c r="A185" s="45" t="s">
        <v>276</v>
      </c>
      <c r="B185" s="46">
        <v>44095</v>
      </c>
      <c r="C185" s="45" t="s">
        <v>850</v>
      </c>
      <c r="D185" s="46" t="s">
        <v>990</v>
      </c>
      <c r="E185" s="72" t="s">
        <v>1064</v>
      </c>
      <c r="F185" s="48" t="s">
        <v>1242</v>
      </c>
      <c r="G185" s="47" t="s">
        <v>852</v>
      </c>
      <c r="H185" s="47" t="s">
        <v>853</v>
      </c>
      <c r="I185" s="48" t="s">
        <v>667</v>
      </c>
      <c r="J185" s="48" t="s">
        <v>668</v>
      </c>
      <c r="K185" s="49" t="s">
        <v>39</v>
      </c>
      <c r="L185" s="49" t="s">
        <v>40</v>
      </c>
      <c r="M185" s="49">
        <v>17</v>
      </c>
      <c r="N185" s="80">
        <f t="shared" si="29"/>
        <v>300</v>
      </c>
      <c r="O185" s="51">
        <v>300</v>
      </c>
      <c r="P185" s="81" t="str">
        <f t="shared" si="30"/>
        <v>OK</v>
      </c>
      <c r="Q185" s="142"/>
      <c r="R185" s="76"/>
      <c r="S185" s="81" t="str">
        <f t="shared" si="31"/>
        <v/>
      </c>
      <c r="T185" s="81" t="str">
        <f t="shared" si="32"/>
        <v/>
      </c>
      <c r="U185" s="46">
        <v>44267</v>
      </c>
      <c r="V185" s="50">
        <f t="shared" si="33"/>
        <v>300</v>
      </c>
      <c r="W185" s="53">
        <f t="shared" si="34"/>
        <v>0</v>
      </c>
    </row>
    <row r="186" spans="1:23" ht="25.5" x14ac:dyDescent="0.25">
      <c r="A186" s="35" t="s">
        <v>277</v>
      </c>
      <c r="B186" s="36">
        <v>43902</v>
      </c>
      <c r="C186" s="35" t="s">
        <v>854</v>
      </c>
      <c r="D186" s="36" t="s">
        <v>990</v>
      </c>
      <c r="E186" s="73" t="s">
        <v>1064</v>
      </c>
      <c r="F186" s="38" t="s">
        <v>1243</v>
      </c>
      <c r="G186" s="37" t="s">
        <v>856</v>
      </c>
      <c r="H186" s="37" t="s">
        <v>857</v>
      </c>
      <c r="I186" s="38" t="s">
        <v>352</v>
      </c>
      <c r="J186" s="38" t="s">
        <v>678</v>
      </c>
      <c r="K186" s="39" t="s">
        <v>39</v>
      </c>
      <c r="L186" s="39" t="s">
        <v>40</v>
      </c>
      <c r="M186" s="39">
        <v>17</v>
      </c>
      <c r="N186" s="86">
        <f t="shared" si="29"/>
        <v>300</v>
      </c>
      <c r="O186" s="41">
        <v>300</v>
      </c>
      <c r="P186" s="86" t="str">
        <f t="shared" si="30"/>
        <v>OK</v>
      </c>
      <c r="Q186" s="143"/>
      <c r="R186" s="78"/>
      <c r="S186" s="87" t="str">
        <f t="shared" si="31"/>
        <v/>
      </c>
      <c r="T186" s="87" t="str">
        <f t="shared" si="32"/>
        <v/>
      </c>
      <c r="U186" s="36">
        <v>44267</v>
      </c>
      <c r="V186" s="40">
        <f t="shared" si="33"/>
        <v>300</v>
      </c>
      <c r="W186" s="43">
        <f t="shared" si="34"/>
        <v>0</v>
      </c>
    </row>
    <row r="187" spans="1:23" ht="25.5" x14ac:dyDescent="0.25">
      <c r="A187" s="45" t="s">
        <v>278</v>
      </c>
      <c r="B187" s="46">
        <v>43893</v>
      </c>
      <c r="C187" s="45" t="s">
        <v>863</v>
      </c>
      <c r="D187" s="46" t="s">
        <v>990</v>
      </c>
      <c r="E187" s="72" t="s">
        <v>1064</v>
      </c>
      <c r="F187" s="48" t="s">
        <v>1244</v>
      </c>
      <c r="G187" s="47" t="s">
        <v>865</v>
      </c>
      <c r="H187" s="45" t="s">
        <v>866</v>
      </c>
      <c r="I187" s="48" t="s">
        <v>352</v>
      </c>
      <c r="J187" s="49" t="s">
        <v>678</v>
      </c>
      <c r="K187" s="49" t="s">
        <v>39</v>
      </c>
      <c r="L187" s="49" t="s">
        <v>40</v>
      </c>
      <c r="M187" s="49">
        <v>17</v>
      </c>
      <c r="N187" s="80">
        <f t="shared" si="29"/>
        <v>300</v>
      </c>
      <c r="O187" s="51">
        <v>300</v>
      </c>
      <c r="P187" s="81" t="str">
        <f t="shared" si="30"/>
        <v>OK</v>
      </c>
      <c r="Q187" s="142"/>
      <c r="R187" s="76"/>
      <c r="S187" s="81" t="str">
        <f t="shared" si="31"/>
        <v/>
      </c>
      <c r="T187" s="81" t="str">
        <f t="shared" si="32"/>
        <v/>
      </c>
      <c r="U187" s="46">
        <v>44267</v>
      </c>
      <c r="V187" s="50">
        <f t="shared" si="33"/>
        <v>300</v>
      </c>
      <c r="W187" s="53">
        <f t="shared" si="34"/>
        <v>0</v>
      </c>
    </row>
    <row r="188" spans="1:23" ht="38.25" customHeight="1" x14ac:dyDescent="0.25">
      <c r="A188" s="35" t="s">
        <v>279</v>
      </c>
      <c r="B188" s="36">
        <v>43873</v>
      </c>
      <c r="C188" s="35" t="s">
        <v>859</v>
      </c>
      <c r="D188" s="36" t="s">
        <v>990</v>
      </c>
      <c r="E188" s="73" t="s">
        <v>1064</v>
      </c>
      <c r="F188" s="38" t="s">
        <v>1245</v>
      </c>
      <c r="G188" s="37" t="s">
        <v>860</v>
      </c>
      <c r="H188" s="37" t="s">
        <v>861</v>
      </c>
      <c r="I188" s="38" t="s">
        <v>352</v>
      </c>
      <c r="J188" s="38" t="s">
        <v>678</v>
      </c>
      <c r="K188" s="39" t="s">
        <v>39</v>
      </c>
      <c r="L188" s="39" t="s">
        <v>40</v>
      </c>
      <c r="M188" s="39">
        <v>17</v>
      </c>
      <c r="N188" s="86">
        <f t="shared" si="29"/>
        <v>300</v>
      </c>
      <c r="O188" s="41">
        <v>300</v>
      </c>
      <c r="P188" s="86" t="str">
        <f t="shared" si="30"/>
        <v>OK</v>
      </c>
      <c r="Q188" s="143"/>
      <c r="R188" s="78"/>
      <c r="S188" s="87" t="str">
        <f t="shared" si="31"/>
        <v/>
      </c>
      <c r="T188" s="87" t="str">
        <f t="shared" si="32"/>
        <v/>
      </c>
      <c r="U188" s="36">
        <v>44267</v>
      </c>
      <c r="V188" s="40">
        <f t="shared" si="33"/>
        <v>300</v>
      </c>
      <c r="W188" s="43">
        <f t="shared" si="34"/>
        <v>0</v>
      </c>
    </row>
    <row r="189" spans="1:23" ht="38.25" x14ac:dyDescent="0.25">
      <c r="A189" s="45" t="s">
        <v>280</v>
      </c>
      <c r="B189" s="46">
        <v>44264</v>
      </c>
      <c r="C189" s="45" t="s">
        <v>424</v>
      </c>
      <c r="D189" s="46" t="s">
        <v>1005</v>
      </c>
      <c r="E189" s="72" t="s">
        <v>1080</v>
      </c>
      <c r="F189" s="48" t="s">
        <v>426</v>
      </c>
      <c r="G189" s="47" t="s">
        <v>427</v>
      </c>
      <c r="H189" s="47" t="s">
        <v>1301</v>
      </c>
      <c r="I189" s="48" t="s">
        <v>1153</v>
      </c>
      <c r="J189" s="48" t="s">
        <v>430</v>
      </c>
      <c r="K189" s="49" t="s">
        <v>5</v>
      </c>
      <c r="L189" s="49" t="s">
        <v>8</v>
      </c>
      <c r="M189" s="49">
        <v>2</v>
      </c>
      <c r="N189" s="80">
        <f t="shared" si="29"/>
        <v>370</v>
      </c>
      <c r="O189" s="51">
        <v>370</v>
      </c>
      <c r="P189" s="81" t="str">
        <f t="shared" si="30"/>
        <v>OK</v>
      </c>
      <c r="Q189" s="142"/>
      <c r="R189" s="76"/>
      <c r="S189" s="81" t="str">
        <f t="shared" si="31"/>
        <v/>
      </c>
      <c r="T189" s="81" t="str">
        <f t="shared" si="32"/>
        <v/>
      </c>
      <c r="U189" s="46">
        <v>44267</v>
      </c>
      <c r="V189" s="50">
        <f t="shared" si="33"/>
        <v>370</v>
      </c>
      <c r="W189" s="53">
        <f t="shared" si="34"/>
        <v>0</v>
      </c>
    </row>
    <row r="190" spans="1:23" ht="25.5" x14ac:dyDescent="0.25">
      <c r="A190" s="35" t="s">
        <v>281</v>
      </c>
      <c r="B190" s="36">
        <v>43697</v>
      </c>
      <c r="C190" s="35" t="s">
        <v>1214</v>
      </c>
      <c r="D190" s="36" t="s">
        <v>1215</v>
      </c>
      <c r="E190" s="73" t="s">
        <v>1080</v>
      </c>
      <c r="F190" s="38" t="s">
        <v>1246</v>
      </c>
      <c r="G190" s="37" t="s">
        <v>1276</v>
      </c>
      <c r="H190" s="37" t="s">
        <v>1302</v>
      </c>
      <c r="I190" s="38" t="s">
        <v>1307</v>
      </c>
      <c r="J190" s="38" t="s">
        <v>1310</v>
      </c>
      <c r="K190" s="39" t="s">
        <v>5</v>
      </c>
      <c r="L190" s="39" t="s">
        <v>8</v>
      </c>
      <c r="M190" s="39">
        <v>2</v>
      </c>
      <c r="N190" s="86">
        <f t="shared" si="29"/>
        <v>370</v>
      </c>
      <c r="O190" s="41">
        <v>370</v>
      </c>
      <c r="P190" s="86" t="str">
        <f t="shared" si="30"/>
        <v>OK</v>
      </c>
      <c r="Q190" s="143"/>
      <c r="R190" s="78"/>
      <c r="S190" s="87" t="str">
        <f t="shared" si="31"/>
        <v/>
      </c>
      <c r="T190" s="87" t="str">
        <f t="shared" si="32"/>
        <v/>
      </c>
      <c r="U190" s="36">
        <v>44270</v>
      </c>
      <c r="V190" s="40">
        <f t="shared" si="33"/>
        <v>370</v>
      </c>
      <c r="W190" s="43">
        <f t="shared" si="34"/>
        <v>0</v>
      </c>
    </row>
    <row r="191" spans="1:23" ht="38.25" x14ac:dyDescent="0.25">
      <c r="A191" s="45" t="s">
        <v>282</v>
      </c>
      <c r="B191" s="46">
        <v>44176</v>
      </c>
      <c r="C191" s="45" t="s">
        <v>813</v>
      </c>
      <c r="D191" s="46" t="s">
        <v>681</v>
      </c>
      <c r="E191" s="72" t="s">
        <v>1071</v>
      </c>
      <c r="F191" s="48" t="s">
        <v>1247</v>
      </c>
      <c r="G191" s="47" t="s">
        <v>1277</v>
      </c>
      <c r="H191" s="45" t="s">
        <v>1303</v>
      </c>
      <c r="I191" s="48" t="s">
        <v>320</v>
      </c>
      <c r="J191" s="49" t="s">
        <v>317</v>
      </c>
      <c r="K191" s="49" t="s">
        <v>432</v>
      </c>
      <c r="L191" s="49" t="s">
        <v>480</v>
      </c>
      <c r="M191" s="49">
        <v>1</v>
      </c>
      <c r="N191" s="80">
        <f t="shared" si="29"/>
        <v>300</v>
      </c>
      <c r="O191" s="51">
        <v>300</v>
      </c>
      <c r="P191" s="81" t="str">
        <f t="shared" si="30"/>
        <v>OK</v>
      </c>
      <c r="Q191" s="142"/>
      <c r="R191" s="76"/>
      <c r="S191" s="81" t="str">
        <f t="shared" si="31"/>
        <v/>
      </c>
      <c r="T191" s="81" t="str">
        <f t="shared" si="32"/>
        <v/>
      </c>
      <c r="U191" s="46">
        <v>44359</v>
      </c>
      <c r="V191" s="50">
        <f t="shared" si="33"/>
        <v>300</v>
      </c>
      <c r="W191" s="53">
        <f t="shared" si="34"/>
        <v>0</v>
      </c>
    </row>
    <row r="192" spans="1:23" ht="25.5" x14ac:dyDescent="0.25">
      <c r="A192" s="35" t="s">
        <v>283</v>
      </c>
      <c r="B192" s="36">
        <v>44403</v>
      </c>
      <c r="C192" s="35" t="s">
        <v>1313</v>
      </c>
      <c r="D192" s="36" t="s">
        <v>466</v>
      </c>
      <c r="E192" s="73" t="s">
        <v>1070</v>
      </c>
      <c r="F192" s="38" t="s">
        <v>1314</v>
      </c>
      <c r="G192" s="37" t="s">
        <v>1315</v>
      </c>
      <c r="H192" s="37" t="s">
        <v>1316</v>
      </c>
      <c r="I192" s="38" t="s">
        <v>320</v>
      </c>
      <c r="J192" s="39" t="s">
        <v>317</v>
      </c>
      <c r="K192" s="39" t="s">
        <v>16</v>
      </c>
      <c r="L192" s="39" t="s">
        <v>27</v>
      </c>
      <c r="M192" s="39">
        <v>11</v>
      </c>
      <c r="N192" s="86">
        <f t="shared" ref="N192:N254" si="35">IF(M192="","",IF(M192=1,300,IF(M192=2,370,IF(M192=3,630,IF(M192=4,830,IF(M192=5,370,IF(M192=6,430,IF(M192=7,530,IF(M192=8,370,IF(M192=9,700,IF(M192=10,870,IF(M192=11,370,IF(M192=12,370,IF(M192=13,370,IF(M192=13,370,IF(M192=14,370,IF(M192=15,370,IF(M192=16,300,IF(M192=17,300,IF(M192=18,170,IF(M192=19,330)))))))))))))))))))))</f>
        <v>370</v>
      </c>
      <c r="O192" s="41">
        <v>370</v>
      </c>
      <c r="P192" s="86" t="str">
        <f t="shared" ref="P192:P254" si="36">IF(M192="","",IF(O192&gt;(5*N192),"ACIMA","OK"))</f>
        <v>OK</v>
      </c>
      <c r="Q192" s="143"/>
      <c r="R192" s="78"/>
      <c r="S192" s="87" t="str">
        <f t="shared" si="31"/>
        <v/>
      </c>
      <c r="T192" s="87" t="str">
        <f t="shared" si="32"/>
        <v/>
      </c>
      <c r="U192" s="36">
        <v>44404</v>
      </c>
      <c r="V192" s="40">
        <f t="shared" si="33"/>
        <v>370</v>
      </c>
      <c r="W192" s="43">
        <f t="shared" si="34"/>
        <v>0</v>
      </c>
    </row>
    <row r="193" spans="1:23" ht="63.75" x14ac:dyDescent="0.25">
      <c r="A193" s="45" t="s">
        <v>284</v>
      </c>
      <c r="B193" s="46">
        <v>44403</v>
      </c>
      <c r="C193" s="45" t="s">
        <v>1317</v>
      </c>
      <c r="D193" s="46" t="s">
        <v>1211</v>
      </c>
      <c r="E193" s="72" t="s">
        <v>1071</v>
      </c>
      <c r="F193" s="48" t="s">
        <v>1319</v>
      </c>
      <c r="G193" s="47" t="s">
        <v>1318</v>
      </c>
      <c r="H193" s="47" t="s">
        <v>1320</v>
      </c>
      <c r="I193" s="48" t="s">
        <v>320</v>
      </c>
      <c r="J193" s="48" t="s">
        <v>317</v>
      </c>
      <c r="K193" s="49" t="s">
        <v>432</v>
      </c>
      <c r="L193" s="49" t="s">
        <v>480</v>
      </c>
      <c r="M193" s="49">
        <v>1</v>
      </c>
      <c r="N193" s="80">
        <f t="shared" si="35"/>
        <v>300</v>
      </c>
      <c r="O193" s="51">
        <v>300</v>
      </c>
      <c r="P193" s="81" t="str">
        <f t="shared" si="36"/>
        <v>OK</v>
      </c>
      <c r="Q193" s="142"/>
      <c r="R193" s="76"/>
      <c r="S193" s="81" t="str">
        <f t="shared" si="31"/>
        <v/>
      </c>
      <c r="T193" s="81" t="str">
        <f t="shared" si="32"/>
        <v/>
      </c>
      <c r="U193" s="46">
        <v>44404</v>
      </c>
      <c r="V193" s="50">
        <f t="shared" si="33"/>
        <v>300</v>
      </c>
      <c r="W193" s="53">
        <f t="shared" si="34"/>
        <v>0</v>
      </c>
    </row>
    <row r="194" spans="1:23" ht="38.25" x14ac:dyDescent="0.25">
      <c r="A194" s="35" t="s">
        <v>285</v>
      </c>
      <c r="B194" s="36">
        <v>44405</v>
      </c>
      <c r="C194" s="35" t="s">
        <v>1321</v>
      </c>
      <c r="D194" s="36" t="s">
        <v>1325</v>
      </c>
      <c r="E194" s="73" t="s">
        <v>1326</v>
      </c>
      <c r="F194" s="38" t="s">
        <v>1322</v>
      </c>
      <c r="G194" s="37" t="s">
        <v>1323</v>
      </c>
      <c r="H194" s="37" t="s">
        <v>1324</v>
      </c>
      <c r="I194" s="38" t="s">
        <v>1634</v>
      </c>
      <c r="J194" s="39" t="s">
        <v>1327</v>
      </c>
      <c r="K194" s="39" t="s">
        <v>16</v>
      </c>
      <c r="L194" s="39" t="s">
        <v>27</v>
      </c>
      <c r="M194" s="39">
        <v>11</v>
      </c>
      <c r="N194" s="86">
        <f>O193</f>
        <v>300</v>
      </c>
      <c r="O194" s="41">
        <v>370</v>
      </c>
      <c r="P194" s="86" t="str">
        <f t="shared" si="36"/>
        <v>OK</v>
      </c>
      <c r="Q194" s="143"/>
      <c r="R194" s="78"/>
      <c r="S194" s="87" t="str">
        <f t="shared" si="31"/>
        <v/>
      </c>
      <c r="T194" s="87" t="str">
        <f t="shared" si="32"/>
        <v/>
      </c>
      <c r="U194" s="36">
        <v>44406</v>
      </c>
      <c r="V194" s="40">
        <f t="shared" si="33"/>
        <v>370</v>
      </c>
      <c r="W194" s="43">
        <f t="shared" si="34"/>
        <v>0</v>
      </c>
    </row>
    <row r="195" spans="1:23" ht="38.25" x14ac:dyDescent="0.25">
      <c r="A195" s="45" t="s">
        <v>286</v>
      </c>
      <c r="B195" s="46">
        <v>44413</v>
      </c>
      <c r="C195" s="45" t="s">
        <v>1415</v>
      </c>
      <c r="D195" s="46" t="s">
        <v>659</v>
      </c>
      <c r="E195" s="72" t="s">
        <v>1073</v>
      </c>
      <c r="F195" s="48" t="s">
        <v>1416</v>
      </c>
      <c r="G195" s="47" t="s">
        <v>1417</v>
      </c>
      <c r="H195" s="47" t="s">
        <v>1418</v>
      </c>
      <c r="I195" s="48" t="s">
        <v>320</v>
      </c>
      <c r="J195" s="48" t="s">
        <v>317</v>
      </c>
      <c r="K195" s="49" t="s">
        <v>16</v>
      </c>
      <c r="L195" s="49" t="s">
        <v>27</v>
      </c>
      <c r="M195" s="49">
        <v>11</v>
      </c>
      <c r="N195" s="80">
        <v>370</v>
      </c>
      <c r="O195" s="51">
        <v>370</v>
      </c>
      <c r="P195" s="81" t="s">
        <v>1017</v>
      </c>
      <c r="Q195" s="142"/>
      <c r="R195" s="76"/>
      <c r="S195" s="81"/>
      <c r="T195" s="81"/>
      <c r="U195" s="46">
        <v>44414</v>
      </c>
      <c r="V195" s="50">
        <f t="shared" si="33"/>
        <v>370</v>
      </c>
      <c r="W195" s="53">
        <f t="shared" si="34"/>
        <v>0</v>
      </c>
    </row>
    <row r="196" spans="1:23" ht="25.5" x14ac:dyDescent="0.25">
      <c r="A196" s="35" t="s">
        <v>287</v>
      </c>
      <c r="B196" s="36">
        <v>44413</v>
      </c>
      <c r="C196" s="35" t="s">
        <v>1419</v>
      </c>
      <c r="D196" s="36" t="s">
        <v>1420</v>
      </c>
      <c r="E196" s="73" t="s">
        <v>1421</v>
      </c>
      <c r="F196" s="38" t="s">
        <v>1422</v>
      </c>
      <c r="G196" s="37" t="s">
        <v>1423</v>
      </c>
      <c r="H196" s="37" t="s">
        <v>1424</v>
      </c>
      <c r="I196" s="38" t="s">
        <v>1425</v>
      </c>
      <c r="J196" s="39" t="s">
        <v>1426</v>
      </c>
      <c r="K196" s="39" t="s">
        <v>432</v>
      </c>
      <c r="L196" s="39" t="s">
        <v>480</v>
      </c>
      <c r="M196" s="39">
        <v>1</v>
      </c>
      <c r="N196" s="86">
        <v>300</v>
      </c>
      <c r="O196" s="41">
        <v>300</v>
      </c>
      <c r="P196" s="86" t="s">
        <v>1017</v>
      </c>
      <c r="Q196" s="143"/>
      <c r="R196" s="78"/>
      <c r="S196" s="87"/>
      <c r="T196" s="87"/>
      <c r="U196" s="36">
        <v>44414</v>
      </c>
      <c r="V196" s="40">
        <f t="shared" si="33"/>
        <v>300</v>
      </c>
      <c r="W196" s="43">
        <f t="shared" si="34"/>
        <v>0</v>
      </c>
    </row>
    <row r="197" spans="1:23" ht="25.5" x14ac:dyDescent="0.25">
      <c r="A197" s="45" t="s">
        <v>288</v>
      </c>
      <c r="B197" s="46">
        <v>44078</v>
      </c>
      <c r="C197" s="45" t="s">
        <v>1436</v>
      </c>
      <c r="D197" s="46" t="s">
        <v>1001</v>
      </c>
      <c r="E197" s="72" t="s">
        <v>1080</v>
      </c>
      <c r="F197" s="48" t="s">
        <v>1437</v>
      </c>
      <c r="G197" s="47" t="s">
        <v>1438</v>
      </c>
      <c r="H197" s="47" t="s">
        <v>1439</v>
      </c>
      <c r="I197" s="48" t="s">
        <v>1440</v>
      </c>
      <c r="J197" s="48" t="s">
        <v>1441</v>
      </c>
      <c r="K197" s="49" t="s">
        <v>29</v>
      </c>
      <c r="L197" s="49" t="s">
        <v>1442</v>
      </c>
      <c r="M197" s="49">
        <v>1</v>
      </c>
      <c r="N197" s="80">
        <f t="shared" si="35"/>
        <v>300</v>
      </c>
      <c r="O197" s="51">
        <v>388.21</v>
      </c>
      <c r="P197" s="81" t="str">
        <f t="shared" si="36"/>
        <v>OK</v>
      </c>
      <c r="Q197" s="142"/>
      <c r="R197" s="76"/>
      <c r="S197" s="81" t="str">
        <f t="shared" ref="S197:S258" si="37">IF(R197="","",R197/O197)</f>
        <v/>
      </c>
      <c r="T197" s="81" t="str">
        <f t="shared" ref="T197:T258" si="38">IF(S197="","",IF(S197&gt;$Z$5,"ACIMA","OK"))</f>
        <v/>
      </c>
      <c r="U197" s="46">
        <v>44417</v>
      </c>
      <c r="V197" s="50">
        <f t="shared" ref="V197:V258" si="39">IF(M197="","",O197-R197)</f>
        <v>388.21</v>
      </c>
      <c r="W197" s="53">
        <f t="shared" ref="W197:W258" si="40">IF(M197="","",IF(AND(M197&gt;0,U197=""),V197,O197-(R197+V197)))</f>
        <v>0</v>
      </c>
    </row>
    <row r="198" spans="1:23" ht="38.25" x14ac:dyDescent="0.25">
      <c r="A198" s="35" t="s">
        <v>289</v>
      </c>
      <c r="B198" s="36">
        <v>44419</v>
      </c>
      <c r="C198" s="35" t="s">
        <v>1431</v>
      </c>
      <c r="D198" s="36" t="s">
        <v>1079</v>
      </c>
      <c r="E198" s="73" t="s">
        <v>980</v>
      </c>
      <c r="F198" s="38" t="s">
        <v>1432</v>
      </c>
      <c r="G198" s="37" t="s">
        <v>1433</v>
      </c>
      <c r="H198" s="37" t="s">
        <v>437</v>
      </c>
      <c r="I198" s="38" t="s">
        <v>1434</v>
      </c>
      <c r="J198" s="39" t="s">
        <v>1435</v>
      </c>
      <c r="K198" s="39" t="s">
        <v>39</v>
      </c>
      <c r="L198" s="39" t="s">
        <v>40</v>
      </c>
      <c r="M198" s="39">
        <v>17</v>
      </c>
      <c r="N198" s="86">
        <f t="shared" si="35"/>
        <v>300</v>
      </c>
      <c r="O198" s="41">
        <v>300</v>
      </c>
      <c r="P198" s="86" t="str">
        <f t="shared" si="36"/>
        <v>OK</v>
      </c>
      <c r="Q198" s="143"/>
      <c r="R198" s="78"/>
      <c r="S198" s="87" t="str">
        <f t="shared" si="37"/>
        <v/>
      </c>
      <c r="T198" s="87" t="str">
        <f t="shared" si="38"/>
        <v/>
      </c>
      <c r="U198" s="36">
        <v>44419</v>
      </c>
      <c r="V198" s="40">
        <f t="shared" si="39"/>
        <v>300</v>
      </c>
      <c r="W198" s="43">
        <f t="shared" si="40"/>
        <v>0</v>
      </c>
    </row>
    <row r="199" spans="1:23" ht="25.5" x14ac:dyDescent="0.25">
      <c r="A199" s="45" t="s">
        <v>290</v>
      </c>
      <c r="B199" s="46">
        <v>44420</v>
      </c>
      <c r="C199" s="45" t="s">
        <v>1444</v>
      </c>
      <c r="D199" s="46" t="s">
        <v>1079</v>
      </c>
      <c r="E199" s="72" t="s">
        <v>980</v>
      </c>
      <c r="F199" s="48" t="s">
        <v>1447</v>
      </c>
      <c r="G199" s="47" t="s">
        <v>1445</v>
      </c>
      <c r="H199" s="47" t="s">
        <v>1446</v>
      </c>
      <c r="I199" s="48" t="s">
        <v>970</v>
      </c>
      <c r="J199" s="48" t="s">
        <v>971</v>
      </c>
      <c r="K199" s="49" t="s">
        <v>39</v>
      </c>
      <c r="L199" s="49" t="s">
        <v>40</v>
      </c>
      <c r="M199" s="49">
        <v>17</v>
      </c>
      <c r="N199" s="80">
        <f t="shared" si="35"/>
        <v>300</v>
      </c>
      <c r="O199" s="51">
        <v>240</v>
      </c>
      <c r="P199" s="81" t="str">
        <f t="shared" si="36"/>
        <v>OK</v>
      </c>
      <c r="Q199" s="142"/>
      <c r="R199" s="76"/>
      <c r="S199" s="81" t="str">
        <f t="shared" si="37"/>
        <v/>
      </c>
      <c r="T199" s="81" t="str">
        <f t="shared" si="38"/>
        <v/>
      </c>
      <c r="U199" s="46">
        <v>44420</v>
      </c>
      <c r="V199" s="50">
        <f t="shared" si="39"/>
        <v>240</v>
      </c>
      <c r="W199" s="53">
        <f t="shared" si="40"/>
        <v>0</v>
      </c>
    </row>
    <row r="200" spans="1:23" ht="25.5" x14ac:dyDescent="0.25">
      <c r="A200" s="35" t="s">
        <v>291</v>
      </c>
      <c r="B200" s="36">
        <v>44420</v>
      </c>
      <c r="C200" s="35" t="s">
        <v>1448</v>
      </c>
      <c r="D200" s="36" t="s">
        <v>1079</v>
      </c>
      <c r="E200" s="73" t="s">
        <v>980</v>
      </c>
      <c r="F200" s="38" t="s">
        <v>1449</v>
      </c>
      <c r="G200" s="37" t="s">
        <v>1450</v>
      </c>
      <c r="H200" s="37" t="s">
        <v>1451</v>
      </c>
      <c r="I200" s="38" t="s">
        <v>970</v>
      </c>
      <c r="J200" s="39" t="s">
        <v>971</v>
      </c>
      <c r="K200" s="39" t="s">
        <v>39</v>
      </c>
      <c r="L200" s="39" t="s">
        <v>40</v>
      </c>
      <c r="M200" s="39">
        <v>17</v>
      </c>
      <c r="N200" s="86">
        <f t="shared" si="35"/>
        <v>300</v>
      </c>
      <c r="O200" s="41">
        <v>240</v>
      </c>
      <c r="P200" s="86" t="str">
        <f t="shared" si="36"/>
        <v>OK</v>
      </c>
      <c r="Q200" s="143"/>
      <c r="R200" s="78"/>
      <c r="S200" s="87" t="str">
        <f t="shared" si="37"/>
        <v/>
      </c>
      <c r="T200" s="87" t="str">
        <f t="shared" si="38"/>
        <v/>
      </c>
      <c r="U200" s="36">
        <v>44420</v>
      </c>
      <c r="V200" s="40">
        <f t="shared" si="39"/>
        <v>240</v>
      </c>
      <c r="W200" s="43">
        <f t="shared" si="40"/>
        <v>0</v>
      </c>
    </row>
    <row r="201" spans="1:23" ht="25.5" x14ac:dyDescent="0.25">
      <c r="A201" s="45" t="s">
        <v>292</v>
      </c>
      <c r="B201" s="46">
        <v>44424</v>
      </c>
      <c r="C201" s="45" t="s">
        <v>1452</v>
      </c>
      <c r="D201" s="46" t="s">
        <v>1077</v>
      </c>
      <c r="E201" s="72" t="s">
        <v>979</v>
      </c>
      <c r="F201" s="48" t="s">
        <v>1453</v>
      </c>
      <c r="G201" s="47" t="s">
        <v>1454</v>
      </c>
      <c r="H201" s="47" t="s">
        <v>1455</v>
      </c>
      <c r="I201" s="48" t="s">
        <v>320</v>
      </c>
      <c r="J201" s="48" t="s">
        <v>317</v>
      </c>
      <c r="K201" s="49" t="s">
        <v>16</v>
      </c>
      <c r="L201" s="49" t="s">
        <v>27</v>
      </c>
      <c r="M201" s="49">
        <v>11</v>
      </c>
      <c r="N201" s="80">
        <f t="shared" si="35"/>
        <v>370</v>
      </c>
      <c r="O201" s="51">
        <v>370</v>
      </c>
      <c r="P201" s="81" t="str">
        <f t="shared" si="36"/>
        <v>OK</v>
      </c>
      <c r="Q201" s="142"/>
      <c r="R201" s="76"/>
      <c r="S201" s="81" t="str">
        <f t="shared" si="37"/>
        <v/>
      </c>
      <c r="T201" s="81" t="str">
        <f t="shared" si="38"/>
        <v/>
      </c>
      <c r="U201" s="46">
        <v>44424</v>
      </c>
      <c r="V201" s="50">
        <f t="shared" si="39"/>
        <v>370</v>
      </c>
      <c r="W201" s="53">
        <f t="shared" si="40"/>
        <v>0</v>
      </c>
    </row>
    <row r="202" spans="1:23" ht="25.5" x14ac:dyDescent="0.25">
      <c r="A202" s="35" t="s">
        <v>293</v>
      </c>
      <c r="B202" s="36">
        <v>44424</v>
      </c>
      <c r="C202" s="35" t="s">
        <v>1456</v>
      </c>
      <c r="D202" s="36" t="s">
        <v>1077</v>
      </c>
      <c r="E202" s="73" t="s">
        <v>979</v>
      </c>
      <c r="F202" s="38" t="s">
        <v>1457</v>
      </c>
      <c r="G202" s="37" t="s">
        <v>1458</v>
      </c>
      <c r="H202" s="37" t="s">
        <v>1459</v>
      </c>
      <c r="I202" s="38" t="s">
        <v>320</v>
      </c>
      <c r="J202" s="39" t="s">
        <v>317</v>
      </c>
      <c r="K202" s="39" t="s">
        <v>16</v>
      </c>
      <c r="L202" s="39" t="s">
        <v>27</v>
      </c>
      <c r="M202" s="39">
        <v>11</v>
      </c>
      <c r="N202" s="86">
        <f t="shared" si="35"/>
        <v>370</v>
      </c>
      <c r="O202" s="41">
        <v>370</v>
      </c>
      <c r="P202" s="86" t="str">
        <f t="shared" si="36"/>
        <v>OK</v>
      </c>
      <c r="Q202" s="143"/>
      <c r="R202" s="78"/>
      <c r="S202" s="87" t="str">
        <f t="shared" si="37"/>
        <v/>
      </c>
      <c r="T202" s="87" t="str">
        <f t="shared" si="38"/>
        <v/>
      </c>
      <c r="U202" s="36">
        <v>44424</v>
      </c>
      <c r="V202" s="40">
        <f t="shared" si="39"/>
        <v>370</v>
      </c>
      <c r="W202" s="43">
        <f t="shared" si="40"/>
        <v>0</v>
      </c>
    </row>
    <row r="203" spans="1:23" ht="25.5" x14ac:dyDescent="0.25">
      <c r="A203" s="45" t="s">
        <v>294</v>
      </c>
      <c r="B203" s="46">
        <v>44424</v>
      </c>
      <c r="C203" s="45" t="s">
        <v>1460</v>
      </c>
      <c r="D203" s="46" t="s">
        <v>1077</v>
      </c>
      <c r="E203" s="72" t="s">
        <v>979</v>
      </c>
      <c r="F203" s="48" t="s">
        <v>1461</v>
      </c>
      <c r="G203" s="47" t="s">
        <v>1462</v>
      </c>
      <c r="H203" s="47" t="s">
        <v>1455</v>
      </c>
      <c r="I203" s="48" t="s">
        <v>320</v>
      </c>
      <c r="J203" s="48" t="s">
        <v>317</v>
      </c>
      <c r="K203" s="49" t="s">
        <v>16</v>
      </c>
      <c r="L203" s="49" t="s">
        <v>27</v>
      </c>
      <c r="M203" s="49">
        <v>11</v>
      </c>
      <c r="N203" s="80">
        <f t="shared" si="35"/>
        <v>370</v>
      </c>
      <c r="O203" s="51">
        <v>370</v>
      </c>
      <c r="P203" s="81" t="str">
        <f t="shared" si="36"/>
        <v>OK</v>
      </c>
      <c r="Q203" s="142"/>
      <c r="R203" s="76"/>
      <c r="S203" s="81" t="str">
        <f t="shared" si="37"/>
        <v/>
      </c>
      <c r="T203" s="81" t="str">
        <f t="shared" si="38"/>
        <v/>
      </c>
      <c r="U203" s="46">
        <v>44424</v>
      </c>
      <c r="V203" s="50">
        <f t="shared" si="39"/>
        <v>370</v>
      </c>
      <c r="W203" s="53">
        <f t="shared" si="40"/>
        <v>0</v>
      </c>
    </row>
    <row r="204" spans="1:23" ht="25.5" x14ac:dyDescent="0.25">
      <c r="A204" s="35" t="s">
        <v>295</v>
      </c>
      <c r="B204" s="36">
        <v>44424</v>
      </c>
      <c r="C204" s="35" t="s">
        <v>1463</v>
      </c>
      <c r="D204" s="36" t="s">
        <v>1077</v>
      </c>
      <c r="E204" s="73" t="s">
        <v>979</v>
      </c>
      <c r="F204" s="38" t="s">
        <v>1464</v>
      </c>
      <c r="G204" s="37" t="s">
        <v>1465</v>
      </c>
      <c r="H204" s="37" t="s">
        <v>1459</v>
      </c>
      <c r="I204" s="38" t="s">
        <v>320</v>
      </c>
      <c r="J204" s="39" t="s">
        <v>317</v>
      </c>
      <c r="K204" s="39" t="s">
        <v>16</v>
      </c>
      <c r="L204" s="39" t="s">
        <v>27</v>
      </c>
      <c r="M204" s="39">
        <v>11</v>
      </c>
      <c r="N204" s="86">
        <f t="shared" si="35"/>
        <v>370</v>
      </c>
      <c r="O204" s="41">
        <v>370</v>
      </c>
      <c r="P204" s="86" t="str">
        <f t="shared" si="36"/>
        <v>OK</v>
      </c>
      <c r="Q204" s="143"/>
      <c r="R204" s="78"/>
      <c r="S204" s="87" t="str">
        <f t="shared" si="37"/>
        <v/>
      </c>
      <c r="T204" s="87" t="str">
        <f t="shared" si="38"/>
        <v/>
      </c>
      <c r="U204" s="36">
        <v>44424</v>
      </c>
      <c r="V204" s="40">
        <f t="shared" si="39"/>
        <v>370</v>
      </c>
      <c r="W204" s="43">
        <f t="shared" si="40"/>
        <v>0</v>
      </c>
    </row>
    <row r="205" spans="1:23" ht="25.5" x14ac:dyDescent="0.25">
      <c r="A205" s="45" t="s">
        <v>296</v>
      </c>
      <c r="B205" s="46">
        <v>44424</v>
      </c>
      <c r="C205" s="45" t="s">
        <v>1466</v>
      </c>
      <c r="D205" s="46" t="s">
        <v>1077</v>
      </c>
      <c r="E205" s="72" t="s">
        <v>979</v>
      </c>
      <c r="F205" s="48" t="s">
        <v>1468</v>
      </c>
      <c r="G205" s="47" t="s">
        <v>1467</v>
      </c>
      <c r="H205" s="47" t="s">
        <v>1455</v>
      </c>
      <c r="I205" s="48" t="s">
        <v>320</v>
      </c>
      <c r="J205" s="48" t="s">
        <v>317</v>
      </c>
      <c r="K205" s="49" t="s">
        <v>16</v>
      </c>
      <c r="L205" s="49" t="s">
        <v>27</v>
      </c>
      <c r="M205" s="49">
        <v>11</v>
      </c>
      <c r="N205" s="80">
        <f t="shared" si="35"/>
        <v>370</v>
      </c>
      <c r="O205" s="51">
        <v>370</v>
      </c>
      <c r="P205" s="81" t="str">
        <f t="shared" si="36"/>
        <v>OK</v>
      </c>
      <c r="Q205" s="142"/>
      <c r="R205" s="76"/>
      <c r="S205" s="81" t="str">
        <f t="shared" si="37"/>
        <v/>
      </c>
      <c r="T205" s="81" t="str">
        <f t="shared" si="38"/>
        <v/>
      </c>
      <c r="U205" s="46">
        <v>44424</v>
      </c>
      <c r="V205" s="50">
        <f t="shared" si="39"/>
        <v>370</v>
      </c>
      <c r="W205" s="53">
        <f t="shared" si="40"/>
        <v>0</v>
      </c>
    </row>
    <row r="206" spans="1:23" ht="25.5" x14ac:dyDescent="0.25">
      <c r="A206" s="35" t="s">
        <v>297</v>
      </c>
      <c r="B206" s="36">
        <v>44424</v>
      </c>
      <c r="C206" s="35" t="s">
        <v>1469</v>
      </c>
      <c r="D206" s="36" t="s">
        <v>1077</v>
      </c>
      <c r="E206" s="73" t="s">
        <v>979</v>
      </c>
      <c r="F206" s="38" t="s">
        <v>1470</v>
      </c>
      <c r="G206" s="37" t="s">
        <v>1471</v>
      </c>
      <c r="H206" s="37" t="s">
        <v>1459</v>
      </c>
      <c r="I206" s="38" t="s">
        <v>320</v>
      </c>
      <c r="J206" s="39" t="s">
        <v>317</v>
      </c>
      <c r="K206" s="39" t="s">
        <v>16</v>
      </c>
      <c r="L206" s="39" t="s">
        <v>27</v>
      </c>
      <c r="M206" s="39">
        <v>11</v>
      </c>
      <c r="N206" s="86">
        <f t="shared" si="35"/>
        <v>370</v>
      </c>
      <c r="O206" s="41">
        <v>370</v>
      </c>
      <c r="P206" s="86" t="str">
        <f t="shared" si="36"/>
        <v>OK</v>
      </c>
      <c r="Q206" s="143"/>
      <c r="R206" s="78"/>
      <c r="S206" s="87" t="str">
        <f t="shared" si="37"/>
        <v/>
      </c>
      <c r="T206" s="87" t="str">
        <f t="shared" si="38"/>
        <v/>
      </c>
      <c r="U206" s="36">
        <v>44424</v>
      </c>
      <c r="V206" s="40">
        <f t="shared" si="39"/>
        <v>370</v>
      </c>
      <c r="W206" s="43">
        <f t="shared" si="40"/>
        <v>0</v>
      </c>
    </row>
    <row r="207" spans="1:23" ht="25.5" x14ac:dyDescent="0.25">
      <c r="A207" s="45" t="s">
        <v>298</v>
      </c>
      <c r="B207" s="46">
        <v>44424</v>
      </c>
      <c r="C207" s="45" t="s">
        <v>1472</v>
      </c>
      <c r="D207" s="46" t="s">
        <v>1077</v>
      </c>
      <c r="E207" s="72" t="s">
        <v>979</v>
      </c>
      <c r="F207" s="48" t="s">
        <v>1473</v>
      </c>
      <c r="G207" s="47" t="s">
        <v>1474</v>
      </c>
      <c r="H207" s="47" t="s">
        <v>1455</v>
      </c>
      <c r="I207" s="48" t="s">
        <v>320</v>
      </c>
      <c r="J207" s="48" t="s">
        <v>317</v>
      </c>
      <c r="K207" s="49" t="s">
        <v>16</v>
      </c>
      <c r="L207" s="49" t="s">
        <v>27</v>
      </c>
      <c r="M207" s="49">
        <v>11</v>
      </c>
      <c r="N207" s="80">
        <f t="shared" si="35"/>
        <v>370</v>
      </c>
      <c r="O207" s="51">
        <v>370</v>
      </c>
      <c r="P207" s="81" t="str">
        <f t="shared" si="36"/>
        <v>OK</v>
      </c>
      <c r="Q207" s="142"/>
      <c r="R207" s="76"/>
      <c r="S207" s="81" t="str">
        <f t="shared" si="37"/>
        <v/>
      </c>
      <c r="T207" s="81" t="str">
        <f t="shared" si="38"/>
        <v/>
      </c>
      <c r="U207" s="46">
        <v>44424</v>
      </c>
      <c r="V207" s="50">
        <f t="shared" si="39"/>
        <v>370</v>
      </c>
      <c r="W207" s="53">
        <f t="shared" si="40"/>
        <v>0</v>
      </c>
    </row>
    <row r="208" spans="1:23" ht="25.5" x14ac:dyDescent="0.25">
      <c r="A208" s="35" t="s">
        <v>299</v>
      </c>
      <c r="B208" s="36">
        <v>44424</v>
      </c>
      <c r="C208" s="35" t="s">
        <v>1475</v>
      </c>
      <c r="D208" s="36" t="s">
        <v>1077</v>
      </c>
      <c r="E208" s="73" t="s">
        <v>979</v>
      </c>
      <c r="F208" s="38" t="s">
        <v>1476</v>
      </c>
      <c r="G208" s="37" t="s">
        <v>1477</v>
      </c>
      <c r="H208" s="37" t="s">
        <v>1459</v>
      </c>
      <c r="I208" s="38" t="s">
        <v>320</v>
      </c>
      <c r="J208" s="39" t="s">
        <v>317</v>
      </c>
      <c r="K208" s="39" t="s">
        <v>16</v>
      </c>
      <c r="L208" s="39" t="s">
        <v>27</v>
      </c>
      <c r="M208" s="39">
        <v>11</v>
      </c>
      <c r="N208" s="86">
        <f t="shared" si="35"/>
        <v>370</v>
      </c>
      <c r="O208" s="41">
        <v>370</v>
      </c>
      <c r="P208" s="86" t="str">
        <f t="shared" si="36"/>
        <v>OK</v>
      </c>
      <c r="Q208" s="143"/>
      <c r="R208" s="78"/>
      <c r="S208" s="87" t="str">
        <f t="shared" si="37"/>
        <v/>
      </c>
      <c r="T208" s="87" t="str">
        <f t="shared" si="38"/>
        <v/>
      </c>
      <c r="U208" s="36">
        <v>44424</v>
      </c>
      <c r="V208" s="40">
        <f t="shared" si="39"/>
        <v>370</v>
      </c>
      <c r="W208" s="43">
        <f t="shared" si="40"/>
        <v>0</v>
      </c>
    </row>
    <row r="209" spans="1:23" ht="25.5" x14ac:dyDescent="0.25">
      <c r="A209" s="45" t="s">
        <v>300</v>
      </c>
      <c r="B209" s="46">
        <v>44421</v>
      </c>
      <c r="C209" s="45" t="s">
        <v>1478</v>
      </c>
      <c r="D209" s="46" t="s">
        <v>1079</v>
      </c>
      <c r="E209" s="72" t="s">
        <v>980</v>
      </c>
      <c r="F209" s="48" t="s">
        <v>1479</v>
      </c>
      <c r="G209" s="47" t="s">
        <v>1480</v>
      </c>
      <c r="H209" s="47" t="s">
        <v>1481</v>
      </c>
      <c r="I209" s="48" t="s">
        <v>970</v>
      </c>
      <c r="J209" s="48" t="s">
        <v>1107</v>
      </c>
      <c r="K209" s="49" t="s">
        <v>39</v>
      </c>
      <c r="L209" s="49" t="s">
        <v>40</v>
      </c>
      <c r="M209" s="49">
        <v>17</v>
      </c>
      <c r="N209" s="80">
        <f t="shared" si="35"/>
        <v>300</v>
      </c>
      <c r="O209" s="51">
        <v>240</v>
      </c>
      <c r="P209" s="81" t="str">
        <f t="shared" si="36"/>
        <v>OK</v>
      </c>
      <c r="Q209" s="142"/>
      <c r="R209" s="76"/>
      <c r="S209" s="81" t="str">
        <f t="shared" si="37"/>
        <v/>
      </c>
      <c r="T209" s="81" t="str">
        <f t="shared" si="38"/>
        <v/>
      </c>
      <c r="U209" s="46">
        <v>44422</v>
      </c>
      <c r="V209" s="50">
        <f t="shared" si="39"/>
        <v>240</v>
      </c>
      <c r="W209" s="53">
        <f t="shared" si="40"/>
        <v>0</v>
      </c>
    </row>
    <row r="210" spans="1:23" ht="25.5" x14ac:dyDescent="0.25">
      <c r="A210" s="35" t="s">
        <v>301</v>
      </c>
      <c r="B210" s="36">
        <v>44420</v>
      </c>
      <c r="C210" s="35" t="s">
        <v>1482</v>
      </c>
      <c r="D210" s="36" t="s">
        <v>1134</v>
      </c>
      <c r="E210" s="73" t="s">
        <v>1073</v>
      </c>
      <c r="F210" s="38" t="s">
        <v>1483</v>
      </c>
      <c r="G210" s="37" t="s">
        <v>1484</v>
      </c>
      <c r="H210" s="37" t="s">
        <v>1165</v>
      </c>
      <c r="I210" s="38" t="s">
        <v>320</v>
      </c>
      <c r="J210" s="39" t="s">
        <v>317</v>
      </c>
      <c r="K210" s="39" t="s">
        <v>16</v>
      </c>
      <c r="L210" s="39" t="s">
        <v>27</v>
      </c>
      <c r="M210" s="39">
        <v>11</v>
      </c>
      <c r="N210" s="86">
        <f t="shared" si="35"/>
        <v>370</v>
      </c>
      <c r="O210" s="41">
        <v>370</v>
      </c>
      <c r="P210" s="86" t="str">
        <f t="shared" si="36"/>
        <v>OK</v>
      </c>
      <c r="Q210" s="143"/>
      <c r="R210" s="78"/>
      <c r="S210" s="87" t="str">
        <f t="shared" si="37"/>
        <v/>
      </c>
      <c r="T210" s="87" t="str">
        <f t="shared" si="38"/>
        <v/>
      </c>
      <c r="U210" s="36">
        <v>44422</v>
      </c>
      <c r="V210" s="40">
        <f t="shared" si="39"/>
        <v>370</v>
      </c>
      <c r="W210" s="43">
        <f t="shared" si="40"/>
        <v>0</v>
      </c>
    </row>
    <row r="211" spans="1:23" ht="25.5" x14ac:dyDescent="0.25">
      <c r="A211" s="45" t="s">
        <v>302</v>
      </c>
      <c r="B211" s="46">
        <v>44420</v>
      </c>
      <c r="C211" s="45" t="s">
        <v>1485</v>
      </c>
      <c r="D211" s="46" t="s">
        <v>1134</v>
      </c>
      <c r="E211" s="72" t="s">
        <v>1073</v>
      </c>
      <c r="F211" s="48" t="s">
        <v>1486</v>
      </c>
      <c r="G211" s="47" t="s">
        <v>1487</v>
      </c>
      <c r="H211" s="47" t="s">
        <v>1044</v>
      </c>
      <c r="I211" s="48" t="s">
        <v>320</v>
      </c>
      <c r="J211" s="48" t="s">
        <v>317</v>
      </c>
      <c r="K211" s="49" t="s">
        <v>432</v>
      </c>
      <c r="L211" s="49" t="s">
        <v>480</v>
      </c>
      <c r="M211" s="49">
        <v>1</v>
      </c>
      <c r="N211" s="80">
        <f t="shared" si="35"/>
        <v>300</v>
      </c>
      <c r="O211" s="51">
        <v>300</v>
      </c>
      <c r="P211" s="81" t="str">
        <f t="shared" si="36"/>
        <v>OK</v>
      </c>
      <c r="Q211" s="142"/>
      <c r="R211" s="76"/>
      <c r="S211" s="81" t="str">
        <f t="shared" si="37"/>
        <v/>
      </c>
      <c r="T211" s="81" t="str">
        <f t="shared" si="38"/>
        <v/>
      </c>
      <c r="U211" s="46">
        <v>44422</v>
      </c>
      <c r="V211" s="50">
        <f t="shared" si="39"/>
        <v>300</v>
      </c>
      <c r="W211" s="53">
        <f t="shared" si="40"/>
        <v>0</v>
      </c>
    </row>
    <row r="212" spans="1:23" ht="25.5" x14ac:dyDescent="0.25">
      <c r="A212" s="35" t="s">
        <v>303</v>
      </c>
      <c r="B212" s="36">
        <v>44420</v>
      </c>
      <c r="C212" s="35" t="s">
        <v>1488</v>
      </c>
      <c r="D212" s="36" t="s">
        <v>1134</v>
      </c>
      <c r="E212" s="73" t="s">
        <v>1073</v>
      </c>
      <c r="F212" s="38" t="s">
        <v>1489</v>
      </c>
      <c r="G212" s="37" t="s">
        <v>1490</v>
      </c>
      <c r="H212" s="37" t="s">
        <v>1491</v>
      </c>
      <c r="I212" s="38" t="s">
        <v>320</v>
      </c>
      <c r="J212" s="39" t="s">
        <v>317</v>
      </c>
      <c r="K212" s="39" t="s">
        <v>432</v>
      </c>
      <c r="L212" s="39" t="s">
        <v>480</v>
      </c>
      <c r="M212" s="39">
        <v>1</v>
      </c>
      <c r="N212" s="86">
        <f t="shared" si="35"/>
        <v>300</v>
      </c>
      <c r="O212" s="41">
        <v>370</v>
      </c>
      <c r="P212" s="86" t="str">
        <f t="shared" si="36"/>
        <v>OK</v>
      </c>
      <c r="Q212" s="143"/>
      <c r="R212" s="78"/>
      <c r="S212" s="87" t="str">
        <f t="shared" si="37"/>
        <v/>
      </c>
      <c r="T212" s="87" t="str">
        <f t="shared" si="38"/>
        <v/>
      </c>
      <c r="U212" s="36">
        <v>44422</v>
      </c>
      <c r="V212" s="40">
        <f t="shared" si="39"/>
        <v>370</v>
      </c>
      <c r="W212" s="43">
        <f t="shared" si="40"/>
        <v>0</v>
      </c>
    </row>
    <row r="213" spans="1:23" ht="25.5" x14ac:dyDescent="0.25">
      <c r="A213" s="45" t="s">
        <v>304</v>
      </c>
      <c r="B213" s="46">
        <v>44420</v>
      </c>
      <c r="C213" s="45" t="s">
        <v>1492</v>
      </c>
      <c r="D213" s="46" t="s">
        <v>1173</v>
      </c>
      <c r="E213" s="72" t="s">
        <v>1311</v>
      </c>
      <c r="F213" s="48" t="s">
        <v>1493</v>
      </c>
      <c r="G213" s="47" t="s">
        <v>1494</v>
      </c>
      <c r="H213" s="47" t="s">
        <v>1495</v>
      </c>
      <c r="I213" s="48" t="s">
        <v>390</v>
      </c>
      <c r="J213" s="48" t="s">
        <v>743</v>
      </c>
      <c r="K213" s="49" t="s">
        <v>31</v>
      </c>
      <c r="L213" s="49" t="s">
        <v>32</v>
      </c>
      <c r="M213" s="49">
        <v>13</v>
      </c>
      <c r="N213" s="80">
        <f t="shared" si="35"/>
        <v>370</v>
      </c>
      <c r="O213" s="51">
        <v>370</v>
      </c>
      <c r="P213" s="81" t="str">
        <f t="shared" si="36"/>
        <v>OK</v>
      </c>
      <c r="Q213" s="142"/>
      <c r="R213" s="76"/>
      <c r="S213" s="81" t="str">
        <f t="shared" si="37"/>
        <v/>
      </c>
      <c r="T213" s="81" t="str">
        <f t="shared" si="38"/>
        <v/>
      </c>
      <c r="U213" s="46">
        <v>44422</v>
      </c>
      <c r="V213" s="50">
        <f t="shared" si="39"/>
        <v>370</v>
      </c>
      <c r="W213" s="53">
        <f t="shared" si="40"/>
        <v>0</v>
      </c>
    </row>
    <row r="214" spans="1:23" ht="51" x14ac:dyDescent="0.25">
      <c r="A214" s="35" t="s">
        <v>305</v>
      </c>
      <c r="B214" s="36">
        <v>44406</v>
      </c>
      <c r="C214" s="35" t="s">
        <v>1496</v>
      </c>
      <c r="D214" s="36" t="s">
        <v>659</v>
      </c>
      <c r="E214" s="73" t="s">
        <v>1073</v>
      </c>
      <c r="F214" s="38" t="s">
        <v>1497</v>
      </c>
      <c r="G214" s="37" t="s">
        <v>1498</v>
      </c>
      <c r="H214" s="37" t="s">
        <v>1499</v>
      </c>
      <c r="I214" s="38" t="s">
        <v>320</v>
      </c>
      <c r="J214" s="39" t="s">
        <v>317</v>
      </c>
      <c r="K214" s="39" t="s">
        <v>432</v>
      </c>
      <c r="L214" s="39" t="s">
        <v>480</v>
      </c>
      <c r="M214" s="39">
        <v>1</v>
      </c>
      <c r="N214" s="86">
        <f t="shared" si="35"/>
        <v>300</v>
      </c>
      <c r="O214" s="41">
        <v>370</v>
      </c>
      <c r="P214" s="86" t="str">
        <f t="shared" si="36"/>
        <v>OK</v>
      </c>
      <c r="Q214" s="143"/>
      <c r="R214" s="78"/>
      <c r="S214" s="87" t="str">
        <f t="shared" si="37"/>
        <v/>
      </c>
      <c r="T214" s="87" t="str">
        <f t="shared" si="38"/>
        <v/>
      </c>
      <c r="U214" s="36">
        <v>44422</v>
      </c>
      <c r="V214" s="40">
        <f t="shared" si="39"/>
        <v>370</v>
      </c>
      <c r="W214" s="43">
        <f t="shared" si="40"/>
        <v>0</v>
      </c>
    </row>
    <row r="215" spans="1:23" ht="38.25" x14ac:dyDescent="0.25">
      <c r="A215" s="45" t="s">
        <v>306</v>
      </c>
      <c r="B215" s="46">
        <v>44406</v>
      </c>
      <c r="C215" s="45" t="s">
        <v>1500</v>
      </c>
      <c r="D215" s="46" t="s">
        <v>659</v>
      </c>
      <c r="E215" s="72" t="s">
        <v>1073</v>
      </c>
      <c r="F215" s="48" t="s">
        <v>1501</v>
      </c>
      <c r="G215" s="47" t="s">
        <v>1502</v>
      </c>
      <c r="H215" s="47" t="s">
        <v>1503</v>
      </c>
      <c r="I215" s="48" t="s">
        <v>320</v>
      </c>
      <c r="J215" s="48" t="s">
        <v>317</v>
      </c>
      <c r="K215" s="49" t="s">
        <v>432</v>
      </c>
      <c r="L215" s="49" t="s">
        <v>480</v>
      </c>
      <c r="M215" s="49">
        <v>1</v>
      </c>
      <c r="N215" s="80">
        <f t="shared" si="35"/>
        <v>300</v>
      </c>
      <c r="O215" s="51">
        <v>370</v>
      </c>
      <c r="P215" s="81" t="str">
        <f t="shared" si="36"/>
        <v>OK</v>
      </c>
      <c r="Q215" s="142"/>
      <c r="R215" s="76"/>
      <c r="S215" s="81" t="str">
        <f t="shared" si="37"/>
        <v/>
      </c>
      <c r="T215" s="81" t="str">
        <f t="shared" si="38"/>
        <v/>
      </c>
      <c r="U215" s="46">
        <v>44422</v>
      </c>
      <c r="V215" s="50">
        <f t="shared" si="39"/>
        <v>370</v>
      </c>
      <c r="W215" s="53">
        <f t="shared" si="40"/>
        <v>0</v>
      </c>
    </row>
    <row r="216" spans="1:23" ht="25.5" x14ac:dyDescent="0.25">
      <c r="A216" s="35" t="s">
        <v>307</v>
      </c>
      <c r="B216" s="36">
        <v>44406</v>
      </c>
      <c r="C216" s="35" t="s">
        <v>1504</v>
      </c>
      <c r="D216" s="36" t="s">
        <v>659</v>
      </c>
      <c r="E216" s="73" t="s">
        <v>1073</v>
      </c>
      <c r="F216" s="38" t="s">
        <v>1505</v>
      </c>
      <c r="G216" s="37" t="s">
        <v>1506</v>
      </c>
      <c r="H216" s="37" t="s">
        <v>504</v>
      </c>
      <c r="I216" s="38" t="s">
        <v>320</v>
      </c>
      <c r="J216" s="39" t="s">
        <v>317</v>
      </c>
      <c r="K216" s="39" t="s">
        <v>432</v>
      </c>
      <c r="L216" s="39" t="s">
        <v>480</v>
      </c>
      <c r="M216" s="39">
        <v>1</v>
      </c>
      <c r="N216" s="86">
        <f t="shared" si="35"/>
        <v>300</v>
      </c>
      <c r="O216" s="41">
        <v>370</v>
      </c>
      <c r="P216" s="86" t="str">
        <f t="shared" si="36"/>
        <v>OK</v>
      </c>
      <c r="Q216" s="143"/>
      <c r="R216" s="78"/>
      <c r="S216" s="87" t="str">
        <f t="shared" si="37"/>
        <v/>
      </c>
      <c r="T216" s="87" t="str">
        <f t="shared" si="38"/>
        <v/>
      </c>
      <c r="U216" s="36">
        <v>44422</v>
      </c>
      <c r="V216" s="40">
        <f t="shared" si="39"/>
        <v>370</v>
      </c>
      <c r="W216" s="43">
        <f t="shared" si="40"/>
        <v>0</v>
      </c>
    </row>
    <row r="217" spans="1:23" ht="25.5" x14ac:dyDescent="0.25">
      <c r="A217" s="45" t="s">
        <v>308</v>
      </c>
      <c r="B217" s="46">
        <v>44406</v>
      </c>
      <c r="C217" s="45" t="s">
        <v>1507</v>
      </c>
      <c r="D217" s="46" t="s">
        <v>1134</v>
      </c>
      <c r="E217" s="72" t="s">
        <v>1073</v>
      </c>
      <c r="F217" s="48" t="s">
        <v>1508</v>
      </c>
      <c r="G217" s="47" t="s">
        <v>1509</v>
      </c>
      <c r="H217" s="47" t="s">
        <v>1510</v>
      </c>
      <c r="I217" s="48" t="s">
        <v>320</v>
      </c>
      <c r="J217" s="48" t="s">
        <v>317</v>
      </c>
      <c r="K217" s="49" t="s">
        <v>432</v>
      </c>
      <c r="L217" s="49" t="s">
        <v>480</v>
      </c>
      <c r="M217" s="49">
        <v>1</v>
      </c>
      <c r="N217" s="80">
        <f t="shared" si="35"/>
        <v>300</v>
      </c>
      <c r="O217" s="51">
        <v>370</v>
      </c>
      <c r="P217" s="81" t="str">
        <f t="shared" si="36"/>
        <v>OK</v>
      </c>
      <c r="Q217" s="142"/>
      <c r="R217" s="76"/>
      <c r="S217" s="81" t="str">
        <f t="shared" si="37"/>
        <v/>
      </c>
      <c r="T217" s="81" t="str">
        <f t="shared" si="38"/>
        <v/>
      </c>
      <c r="U217" s="46">
        <v>44423</v>
      </c>
      <c r="V217" s="50">
        <f t="shared" si="39"/>
        <v>370</v>
      </c>
      <c r="W217" s="53">
        <f t="shared" si="40"/>
        <v>0</v>
      </c>
    </row>
    <row r="218" spans="1:23" ht="38.25" x14ac:dyDescent="0.25">
      <c r="A218" s="35" t="s">
        <v>309</v>
      </c>
      <c r="B218" s="36">
        <v>44392</v>
      </c>
      <c r="C218" s="35" t="s">
        <v>1511</v>
      </c>
      <c r="D218" s="36" t="s">
        <v>1211</v>
      </c>
      <c r="E218" s="73" t="s">
        <v>1071</v>
      </c>
      <c r="F218" s="38" t="s">
        <v>1512</v>
      </c>
      <c r="G218" s="37" t="s">
        <v>1513</v>
      </c>
      <c r="H218" s="37" t="s">
        <v>1514</v>
      </c>
      <c r="I218" s="38" t="s">
        <v>1515</v>
      </c>
      <c r="J218" s="39" t="s">
        <v>1516</v>
      </c>
      <c r="K218" s="39" t="s">
        <v>5</v>
      </c>
      <c r="L218" s="39" t="s">
        <v>8</v>
      </c>
      <c r="M218" s="39">
        <v>2</v>
      </c>
      <c r="N218" s="86">
        <f t="shared" si="35"/>
        <v>370</v>
      </c>
      <c r="O218" s="41">
        <v>1185.8699999999999</v>
      </c>
      <c r="P218" s="86" t="str">
        <f t="shared" si="36"/>
        <v>OK</v>
      </c>
      <c r="Q218" s="143"/>
      <c r="R218" s="78"/>
      <c r="S218" s="87" t="str">
        <f t="shared" si="37"/>
        <v/>
      </c>
      <c r="T218" s="87" t="str">
        <f t="shared" si="38"/>
        <v/>
      </c>
      <c r="U218" s="36">
        <v>44421</v>
      </c>
      <c r="V218" s="40">
        <f t="shared" si="39"/>
        <v>1185.8699999999999</v>
      </c>
      <c r="W218" s="43">
        <f t="shared" si="40"/>
        <v>0</v>
      </c>
    </row>
    <row r="219" spans="1:23" ht="25.5" x14ac:dyDescent="0.25">
      <c r="A219" s="45" t="s">
        <v>310</v>
      </c>
      <c r="B219" s="46">
        <v>44379</v>
      </c>
      <c r="C219" s="45" t="s">
        <v>1517</v>
      </c>
      <c r="D219" s="46" t="s">
        <v>1134</v>
      </c>
      <c r="E219" s="72" t="s">
        <v>1073</v>
      </c>
      <c r="F219" s="48" t="s">
        <v>1518</v>
      </c>
      <c r="G219" s="47" t="s">
        <v>1519</v>
      </c>
      <c r="H219" s="47" t="s">
        <v>1520</v>
      </c>
      <c r="I219" s="48" t="s">
        <v>320</v>
      </c>
      <c r="J219" s="48" t="s">
        <v>317</v>
      </c>
      <c r="K219" s="49" t="s">
        <v>432</v>
      </c>
      <c r="L219" s="49" t="s">
        <v>480</v>
      </c>
      <c r="M219" s="49">
        <v>1</v>
      </c>
      <c r="N219" s="80">
        <f t="shared" si="35"/>
        <v>300</v>
      </c>
      <c r="O219" s="51">
        <v>370</v>
      </c>
      <c r="P219" s="81" t="str">
        <f t="shared" si="36"/>
        <v>OK</v>
      </c>
      <c r="Q219" s="142"/>
      <c r="R219" s="76"/>
      <c r="S219" s="81" t="str">
        <f t="shared" si="37"/>
        <v/>
      </c>
      <c r="T219" s="81" t="str">
        <f t="shared" si="38"/>
        <v/>
      </c>
      <c r="U219" s="46">
        <v>44421</v>
      </c>
      <c r="V219" s="50">
        <f t="shared" si="39"/>
        <v>370</v>
      </c>
      <c r="W219" s="53">
        <f t="shared" si="40"/>
        <v>0</v>
      </c>
    </row>
    <row r="220" spans="1:23" ht="25.5" x14ac:dyDescent="0.25">
      <c r="A220" s="35" t="s">
        <v>1216</v>
      </c>
      <c r="B220" s="36">
        <v>44377</v>
      </c>
      <c r="C220" s="35" t="s">
        <v>1521</v>
      </c>
      <c r="D220" s="36" t="s">
        <v>802</v>
      </c>
      <c r="E220" s="73" t="s">
        <v>1068</v>
      </c>
      <c r="F220" s="38" t="s">
        <v>1522</v>
      </c>
      <c r="G220" s="37" t="s">
        <v>1523</v>
      </c>
      <c r="H220" s="37" t="s">
        <v>437</v>
      </c>
      <c r="I220" s="38" t="s">
        <v>806</v>
      </c>
      <c r="J220" s="39" t="s">
        <v>807</v>
      </c>
      <c r="K220" s="39" t="s">
        <v>31</v>
      </c>
      <c r="L220" s="39" t="s">
        <v>1413</v>
      </c>
      <c r="M220" s="39">
        <v>15</v>
      </c>
      <c r="N220" s="86">
        <f t="shared" si="35"/>
        <v>370</v>
      </c>
      <c r="O220" s="41">
        <v>600</v>
      </c>
      <c r="P220" s="86" t="str">
        <f t="shared" si="36"/>
        <v>OK</v>
      </c>
      <c r="Q220" s="143"/>
      <c r="R220" s="78"/>
      <c r="S220" s="87" t="str">
        <f t="shared" si="37"/>
        <v/>
      </c>
      <c r="T220" s="87" t="str">
        <f t="shared" si="38"/>
        <v/>
      </c>
      <c r="U220" s="36">
        <v>44421</v>
      </c>
      <c r="V220" s="40">
        <f t="shared" si="39"/>
        <v>600</v>
      </c>
      <c r="W220" s="43">
        <f t="shared" si="40"/>
        <v>0</v>
      </c>
    </row>
    <row r="221" spans="1:23" ht="25.5" x14ac:dyDescent="0.25">
      <c r="A221" s="45" t="s">
        <v>1328</v>
      </c>
      <c r="B221" s="46">
        <v>44369</v>
      </c>
      <c r="C221" s="45" t="s">
        <v>1524</v>
      </c>
      <c r="D221" s="46" t="s">
        <v>996</v>
      </c>
      <c r="E221" s="72" t="s">
        <v>1064</v>
      </c>
      <c r="F221" s="48" t="s">
        <v>1525</v>
      </c>
      <c r="G221" s="47" t="s">
        <v>1526</v>
      </c>
      <c r="H221" s="47" t="s">
        <v>1527</v>
      </c>
      <c r="I221" s="48" t="s">
        <v>763</v>
      </c>
      <c r="J221" s="48" t="s">
        <v>764</v>
      </c>
      <c r="K221" s="49" t="s">
        <v>16</v>
      </c>
      <c r="L221" s="49" t="s">
        <v>765</v>
      </c>
      <c r="M221" s="49">
        <v>8</v>
      </c>
      <c r="N221" s="80">
        <f t="shared" si="35"/>
        <v>370</v>
      </c>
      <c r="O221" s="51">
        <v>740</v>
      </c>
      <c r="P221" s="81" t="str">
        <f t="shared" si="36"/>
        <v>OK</v>
      </c>
      <c r="Q221" s="142"/>
      <c r="R221" s="76"/>
      <c r="S221" s="81" t="str">
        <f t="shared" si="37"/>
        <v/>
      </c>
      <c r="T221" s="81" t="str">
        <f t="shared" si="38"/>
        <v/>
      </c>
      <c r="U221" s="46">
        <v>44421</v>
      </c>
      <c r="V221" s="50">
        <f t="shared" si="39"/>
        <v>740</v>
      </c>
      <c r="W221" s="53">
        <f t="shared" si="40"/>
        <v>0</v>
      </c>
    </row>
    <row r="222" spans="1:23" ht="25.5" x14ac:dyDescent="0.25">
      <c r="A222" s="35" t="s">
        <v>1329</v>
      </c>
      <c r="B222" s="36">
        <v>44368</v>
      </c>
      <c r="C222" s="35" t="s">
        <v>1528</v>
      </c>
      <c r="D222" s="36" t="s">
        <v>802</v>
      </c>
      <c r="E222" s="73" t="s">
        <v>1068</v>
      </c>
      <c r="F222" s="38" t="s">
        <v>1529</v>
      </c>
      <c r="G222" s="37" t="s">
        <v>1530</v>
      </c>
      <c r="H222" s="37" t="s">
        <v>437</v>
      </c>
      <c r="I222" s="38" t="s">
        <v>806</v>
      </c>
      <c r="J222" s="39" t="s">
        <v>807</v>
      </c>
      <c r="K222" s="39" t="s">
        <v>31</v>
      </c>
      <c r="L222" s="39" t="s">
        <v>1413</v>
      </c>
      <c r="M222" s="39">
        <v>15</v>
      </c>
      <c r="N222" s="86">
        <f t="shared" si="35"/>
        <v>370</v>
      </c>
      <c r="O222" s="41">
        <v>600</v>
      </c>
      <c r="P222" s="86" t="str">
        <f t="shared" si="36"/>
        <v>OK</v>
      </c>
      <c r="Q222" s="143"/>
      <c r="R222" s="78"/>
      <c r="S222" s="87" t="str">
        <f t="shared" si="37"/>
        <v/>
      </c>
      <c r="T222" s="87" t="str">
        <f t="shared" si="38"/>
        <v/>
      </c>
      <c r="U222" s="36">
        <v>44421</v>
      </c>
      <c r="V222" s="40">
        <f t="shared" si="39"/>
        <v>600</v>
      </c>
      <c r="W222" s="43">
        <f t="shared" si="40"/>
        <v>0</v>
      </c>
    </row>
    <row r="223" spans="1:23" ht="38.25" x14ac:dyDescent="0.25">
      <c r="A223" s="45" t="s">
        <v>1330</v>
      </c>
      <c r="B223" s="46">
        <v>44357</v>
      </c>
      <c r="C223" s="45" t="s">
        <v>1531</v>
      </c>
      <c r="D223" s="46" t="s">
        <v>1532</v>
      </c>
      <c r="E223" s="72" t="s">
        <v>1064</v>
      </c>
      <c r="F223" s="48" t="s">
        <v>1533</v>
      </c>
      <c r="G223" s="47" t="s">
        <v>1534</v>
      </c>
      <c r="H223" s="47" t="s">
        <v>1535</v>
      </c>
      <c r="I223" s="48" t="s">
        <v>2042</v>
      </c>
      <c r="J223" s="48" t="s">
        <v>1536</v>
      </c>
      <c r="K223" s="49" t="s">
        <v>5</v>
      </c>
      <c r="L223" s="49" t="s">
        <v>8</v>
      </c>
      <c r="M223" s="49">
        <v>2</v>
      </c>
      <c r="N223" s="80">
        <f t="shared" si="35"/>
        <v>370</v>
      </c>
      <c r="O223" s="51">
        <v>900</v>
      </c>
      <c r="P223" s="81" t="str">
        <f t="shared" si="36"/>
        <v>OK</v>
      </c>
      <c r="Q223" s="142"/>
      <c r="R223" s="76"/>
      <c r="S223" s="81" t="str">
        <f t="shared" si="37"/>
        <v/>
      </c>
      <c r="T223" s="81" t="str">
        <f t="shared" si="38"/>
        <v/>
      </c>
      <c r="U223" s="46">
        <v>44421</v>
      </c>
      <c r="V223" s="50">
        <f t="shared" si="39"/>
        <v>900</v>
      </c>
      <c r="W223" s="53">
        <f t="shared" si="40"/>
        <v>0</v>
      </c>
    </row>
    <row r="224" spans="1:23" ht="25.5" x14ac:dyDescent="0.25">
      <c r="A224" s="35" t="s">
        <v>1331</v>
      </c>
      <c r="B224" s="36">
        <v>44355</v>
      </c>
      <c r="C224" s="35" t="s">
        <v>1537</v>
      </c>
      <c r="D224" s="36" t="s">
        <v>501</v>
      </c>
      <c r="E224" s="73" t="s">
        <v>1072</v>
      </c>
      <c r="F224" s="38" t="s">
        <v>1538</v>
      </c>
      <c r="G224" s="37" t="s">
        <v>1539</v>
      </c>
      <c r="H224" s="37" t="s">
        <v>1540</v>
      </c>
      <c r="I224" s="38" t="s">
        <v>320</v>
      </c>
      <c r="J224" s="39" t="s">
        <v>317</v>
      </c>
      <c r="K224" s="39" t="s">
        <v>432</v>
      </c>
      <c r="L224" s="39" t="s">
        <v>480</v>
      </c>
      <c r="M224" s="39">
        <v>1</v>
      </c>
      <c r="N224" s="86">
        <f t="shared" si="35"/>
        <v>300</v>
      </c>
      <c r="O224" s="41">
        <v>1000</v>
      </c>
      <c r="P224" s="86" t="str">
        <f t="shared" si="36"/>
        <v>OK</v>
      </c>
      <c r="Q224" s="143"/>
      <c r="R224" s="78"/>
      <c r="S224" s="87" t="str">
        <f t="shared" si="37"/>
        <v/>
      </c>
      <c r="T224" s="87" t="str">
        <f t="shared" si="38"/>
        <v/>
      </c>
      <c r="U224" s="36">
        <v>44421</v>
      </c>
      <c r="V224" s="40">
        <f t="shared" si="39"/>
        <v>1000</v>
      </c>
      <c r="W224" s="43">
        <f t="shared" si="40"/>
        <v>0</v>
      </c>
    </row>
    <row r="225" spans="1:23" ht="38.25" x14ac:dyDescent="0.25">
      <c r="A225" s="45" t="s">
        <v>1332</v>
      </c>
      <c r="B225" s="46">
        <v>44351</v>
      </c>
      <c r="C225" s="45" t="s">
        <v>1541</v>
      </c>
      <c r="D225" s="46" t="s">
        <v>1622</v>
      </c>
      <c r="E225" s="72" t="s">
        <v>1080</v>
      </c>
      <c r="F225" s="48" t="s">
        <v>1542</v>
      </c>
      <c r="G225" s="47" t="s">
        <v>1543</v>
      </c>
      <c r="H225" s="47" t="s">
        <v>1544</v>
      </c>
      <c r="I225" s="48" t="s">
        <v>1545</v>
      </c>
      <c r="J225" s="48"/>
      <c r="K225" s="49" t="s">
        <v>5</v>
      </c>
      <c r="L225" s="49" t="s">
        <v>8</v>
      </c>
      <c r="M225" s="49">
        <v>2</v>
      </c>
      <c r="N225" s="80">
        <f t="shared" si="35"/>
        <v>370</v>
      </c>
      <c r="O225" s="51">
        <v>1850</v>
      </c>
      <c r="P225" s="81" t="str">
        <f t="shared" si="36"/>
        <v>OK</v>
      </c>
      <c r="Q225" s="142"/>
      <c r="R225" s="76"/>
      <c r="S225" s="81" t="str">
        <f t="shared" si="37"/>
        <v/>
      </c>
      <c r="T225" s="81" t="str">
        <f t="shared" si="38"/>
        <v/>
      </c>
      <c r="U225" s="46">
        <v>44421</v>
      </c>
      <c r="V225" s="50">
        <f t="shared" si="39"/>
        <v>1850</v>
      </c>
      <c r="W225" s="53">
        <f t="shared" si="40"/>
        <v>0</v>
      </c>
    </row>
    <row r="226" spans="1:23" ht="38.25" x14ac:dyDescent="0.25">
      <c r="A226" s="35" t="s">
        <v>1333</v>
      </c>
      <c r="B226" s="36">
        <v>44348</v>
      </c>
      <c r="C226" s="35" t="s">
        <v>1546</v>
      </c>
      <c r="D226" s="36" t="s">
        <v>1078</v>
      </c>
      <c r="E226" s="73" t="s">
        <v>981</v>
      </c>
      <c r="F226" s="38" t="s">
        <v>1547</v>
      </c>
      <c r="G226" s="37" t="s">
        <v>1548</v>
      </c>
      <c r="H226" s="37" t="s">
        <v>752</v>
      </c>
      <c r="I226" s="38" t="s">
        <v>758</v>
      </c>
      <c r="J226" s="39" t="s">
        <v>754</v>
      </c>
      <c r="K226" s="39" t="s">
        <v>31</v>
      </c>
      <c r="L226" s="39" t="s">
        <v>29</v>
      </c>
      <c r="M226" s="39">
        <v>15</v>
      </c>
      <c r="N226" s="86">
        <f t="shared" si="35"/>
        <v>370</v>
      </c>
      <c r="O226" s="41">
        <v>500</v>
      </c>
      <c r="P226" s="86" t="str">
        <f t="shared" si="36"/>
        <v>OK</v>
      </c>
      <c r="Q226" s="143"/>
      <c r="R226" s="78"/>
      <c r="S226" s="87" t="str">
        <f t="shared" si="37"/>
        <v/>
      </c>
      <c r="T226" s="87" t="str">
        <f t="shared" si="38"/>
        <v/>
      </c>
      <c r="U226" s="36">
        <v>44421</v>
      </c>
      <c r="V226" s="40">
        <f t="shared" si="39"/>
        <v>500</v>
      </c>
      <c r="W226" s="43">
        <f t="shared" si="40"/>
        <v>0</v>
      </c>
    </row>
    <row r="227" spans="1:23" ht="38.25" x14ac:dyDescent="0.25">
      <c r="A227" s="45" t="s">
        <v>1334</v>
      </c>
      <c r="B227" s="46">
        <v>44348</v>
      </c>
      <c r="C227" s="45" t="s">
        <v>1549</v>
      </c>
      <c r="D227" s="46" t="s">
        <v>1078</v>
      </c>
      <c r="E227" s="72" t="s">
        <v>981</v>
      </c>
      <c r="F227" s="48" t="s">
        <v>1550</v>
      </c>
      <c r="G227" s="47" t="s">
        <v>1551</v>
      </c>
      <c r="H227" s="47" t="s">
        <v>752</v>
      </c>
      <c r="I227" s="48" t="s">
        <v>758</v>
      </c>
      <c r="J227" s="48" t="s">
        <v>754</v>
      </c>
      <c r="K227" s="49" t="s">
        <v>31</v>
      </c>
      <c r="L227" s="49" t="s">
        <v>29</v>
      </c>
      <c r="M227" s="49">
        <v>15</v>
      </c>
      <c r="N227" s="80">
        <f t="shared" si="35"/>
        <v>370</v>
      </c>
      <c r="O227" s="51">
        <v>500</v>
      </c>
      <c r="P227" s="81" t="str">
        <f t="shared" si="36"/>
        <v>OK</v>
      </c>
      <c r="Q227" s="142"/>
      <c r="R227" s="76"/>
      <c r="S227" s="81" t="str">
        <f t="shared" si="37"/>
        <v/>
      </c>
      <c r="T227" s="81" t="str">
        <f t="shared" si="38"/>
        <v/>
      </c>
      <c r="U227" s="46">
        <v>44421</v>
      </c>
      <c r="V227" s="50">
        <f t="shared" si="39"/>
        <v>500</v>
      </c>
      <c r="W227" s="53">
        <f t="shared" si="40"/>
        <v>0</v>
      </c>
    </row>
    <row r="228" spans="1:23" ht="38.25" x14ac:dyDescent="0.25">
      <c r="A228" s="35" t="s">
        <v>1335</v>
      </c>
      <c r="B228" s="36">
        <v>44348</v>
      </c>
      <c r="C228" s="35" t="s">
        <v>1552</v>
      </c>
      <c r="D228" s="36" t="s">
        <v>802</v>
      </c>
      <c r="E228" s="73" t="s">
        <v>1068</v>
      </c>
      <c r="F228" s="38" t="s">
        <v>1553</v>
      </c>
      <c r="G228" s="37" t="s">
        <v>1554</v>
      </c>
      <c r="H228" s="37" t="s">
        <v>1555</v>
      </c>
      <c r="I228" s="38" t="s">
        <v>806</v>
      </c>
      <c r="J228" s="39" t="s">
        <v>807</v>
      </c>
      <c r="K228" s="39" t="s">
        <v>31</v>
      </c>
      <c r="L228" s="39" t="s">
        <v>1413</v>
      </c>
      <c r="M228" s="39">
        <v>15</v>
      </c>
      <c r="N228" s="86">
        <f t="shared" si="35"/>
        <v>370</v>
      </c>
      <c r="O228" s="41">
        <v>622</v>
      </c>
      <c r="P228" s="86" t="str">
        <f t="shared" si="36"/>
        <v>OK</v>
      </c>
      <c r="Q228" s="143"/>
      <c r="R228" s="78"/>
      <c r="S228" s="87" t="str">
        <f t="shared" si="37"/>
        <v/>
      </c>
      <c r="T228" s="87" t="str">
        <f t="shared" si="38"/>
        <v/>
      </c>
      <c r="U228" s="36">
        <v>44421</v>
      </c>
      <c r="V228" s="40">
        <f t="shared" si="39"/>
        <v>622</v>
      </c>
      <c r="W228" s="43">
        <f t="shared" si="40"/>
        <v>0</v>
      </c>
    </row>
    <row r="229" spans="1:23" ht="25.5" x14ac:dyDescent="0.25">
      <c r="A229" s="45" t="s">
        <v>1336</v>
      </c>
      <c r="B229" s="46">
        <v>44344</v>
      </c>
      <c r="C229" s="45" t="s">
        <v>1556</v>
      </c>
      <c r="D229" s="46" t="s">
        <v>681</v>
      </c>
      <c r="E229" s="72" t="s">
        <v>1071</v>
      </c>
      <c r="F229" s="48" t="s">
        <v>1557</v>
      </c>
      <c r="G229" s="47" t="s">
        <v>1558</v>
      </c>
      <c r="H229" s="47" t="s">
        <v>1559</v>
      </c>
      <c r="I229" s="48" t="s">
        <v>320</v>
      </c>
      <c r="J229" s="48" t="s">
        <v>317</v>
      </c>
      <c r="K229" s="49" t="s">
        <v>16</v>
      </c>
      <c r="L229" s="49" t="s">
        <v>765</v>
      </c>
      <c r="M229" s="49">
        <v>8</v>
      </c>
      <c r="N229" s="80">
        <f t="shared" si="35"/>
        <v>370</v>
      </c>
      <c r="O229" s="51">
        <v>500</v>
      </c>
      <c r="P229" s="81" t="str">
        <f t="shared" si="36"/>
        <v>OK</v>
      </c>
      <c r="Q229" s="142"/>
      <c r="R229" s="76"/>
      <c r="S229" s="81" t="str">
        <f t="shared" si="37"/>
        <v/>
      </c>
      <c r="T229" s="81" t="str">
        <f t="shared" si="38"/>
        <v/>
      </c>
      <c r="U229" s="46">
        <v>44421</v>
      </c>
      <c r="V229" s="50">
        <f t="shared" si="39"/>
        <v>500</v>
      </c>
      <c r="W229" s="53">
        <f t="shared" si="40"/>
        <v>0</v>
      </c>
    </row>
    <row r="230" spans="1:23" ht="25.5" x14ac:dyDescent="0.25">
      <c r="A230" s="35" t="s">
        <v>1337</v>
      </c>
      <c r="B230" s="36">
        <v>44343</v>
      </c>
      <c r="C230" s="35" t="s">
        <v>1560</v>
      </c>
      <c r="D230" s="36" t="s">
        <v>868</v>
      </c>
      <c r="E230" s="73" t="s">
        <v>1070</v>
      </c>
      <c r="F230" s="38" t="s">
        <v>1561</v>
      </c>
      <c r="G230" s="37" t="s">
        <v>1562</v>
      </c>
      <c r="H230" s="37" t="s">
        <v>585</v>
      </c>
      <c r="I230" s="38" t="s">
        <v>320</v>
      </c>
      <c r="J230" s="39" t="s">
        <v>317</v>
      </c>
      <c r="K230" s="39" t="s">
        <v>432</v>
      </c>
      <c r="L230" s="39" t="s">
        <v>480</v>
      </c>
      <c r="M230" s="39">
        <v>1</v>
      </c>
      <c r="N230" s="86">
        <f t="shared" si="35"/>
        <v>300</v>
      </c>
      <c r="O230" s="41">
        <v>1000</v>
      </c>
      <c r="P230" s="86" t="str">
        <f t="shared" si="36"/>
        <v>OK</v>
      </c>
      <c r="Q230" s="143"/>
      <c r="R230" s="78"/>
      <c r="S230" s="87" t="str">
        <f t="shared" si="37"/>
        <v/>
      </c>
      <c r="T230" s="87" t="str">
        <f t="shared" si="38"/>
        <v/>
      </c>
      <c r="U230" s="36">
        <v>44426</v>
      </c>
      <c r="V230" s="40">
        <f t="shared" si="39"/>
        <v>1000</v>
      </c>
      <c r="W230" s="43">
        <f t="shared" si="40"/>
        <v>0</v>
      </c>
    </row>
    <row r="231" spans="1:23" ht="25.5" x14ac:dyDescent="0.25">
      <c r="A231" s="45" t="s">
        <v>1338</v>
      </c>
      <c r="B231" s="46">
        <v>44333</v>
      </c>
      <c r="C231" s="45" t="s">
        <v>1563</v>
      </c>
      <c r="D231" s="46" t="s">
        <v>501</v>
      </c>
      <c r="E231" s="72" t="s">
        <v>1072</v>
      </c>
      <c r="F231" s="48" t="s">
        <v>1564</v>
      </c>
      <c r="G231" s="47" t="s">
        <v>1565</v>
      </c>
      <c r="H231" s="47" t="s">
        <v>1566</v>
      </c>
      <c r="I231" s="48" t="s">
        <v>320</v>
      </c>
      <c r="J231" s="48" t="s">
        <v>317</v>
      </c>
      <c r="K231" s="49" t="s">
        <v>432</v>
      </c>
      <c r="L231" s="49" t="s">
        <v>480</v>
      </c>
      <c r="M231" s="49">
        <v>1</v>
      </c>
      <c r="N231" s="80">
        <f t="shared" si="35"/>
        <v>300</v>
      </c>
      <c r="O231" s="51">
        <v>1000</v>
      </c>
      <c r="P231" s="81" t="str">
        <f t="shared" si="36"/>
        <v>OK</v>
      </c>
      <c r="Q231" s="142"/>
      <c r="R231" s="76"/>
      <c r="S231" s="81" t="str">
        <f t="shared" si="37"/>
        <v/>
      </c>
      <c r="T231" s="81" t="str">
        <f t="shared" si="38"/>
        <v/>
      </c>
      <c r="U231" s="46">
        <v>44426</v>
      </c>
      <c r="V231" s="50">
        <f t="shared" si="39"/>
        <v>1000</v>
      </c>
      <c r="W231" s="53">
        <f t="shared" si="40"/>
        <v>0</v>
      </c>
    </row>
    <row r="232" spans="1:23" ht="25.5" x14ac:dyDescent="0.25">
      <c r="A232" s="35" t="s">
        <v>1339</v>
      </c>
      <c r="B232" s="36">
        <v>44333</v>
      </c>
      <c r="C232" s="35" t="s">
        <v>1567</v>
      </c>
      <c r="D232" s="36" t="s">
        <v>802</v>
      </c>
      <c r="E232" s="73" t="s">
        <v>1068</v>
      </c>
      <c r="F232" s="38" t="s">
        <v>1568</v>
      </c>
      <c r="G232" s="37" t="s">
        <v>1569</v>
      </c>
      <c r="H232" s="37" t="s">
        <v>1570</v>
      </c>
      <c r="I232" s="38" t="s">
        <v>806</v>
      </c>
      <c r="J232" s="39" t="s">
        <v>807</v>
      </c>
      <c r="K232" s="39" t="s">
        <v>31</v>
      </c>
      <c r="L232" s="39" t="s">
        <v>1413</v>
      </c>
      <c r="M232" s="39">
        <v>15</v>
      </c>
      <c r="N232" s="86">
        <f t="shared" si="35"/>
        <v>370</v>
      </c>
      <c r="O232" s="41">
        <v>600</v>
      </c>
      <c r="P232" s="86" t="str">
        <f t="shared" si="36"/>
        <v>OK</v>
      </c>
      <c r="Q232" s="143"/>
      <c r="R232" s="78"/>
      <c r="S232" s="87" t="str">
        <f t="shared" si="37"/>
        <v/>
      </c>
      <c r="T232" s="87" t="str">
        <f t="shared" si="38"/>
        <v/>
      </c>
      <c r="U232" s="36">
        <v>44421</v>
      </c>
      <c r="V232" s="40">
        <f t="shared" si="39"/>
        <v>600</v>
      </c>
      <c r="W232" s="43">
        <f t="shared" si="40"/>
        <v>0</v>
      </c>
    </row>
    <row r="233" spans="1:23" ht="38.25" x14ac:dyDescent="0.25">
      <c r="A233" s="45" t="s">
        <v>1340</v>
      </c>
      <c r="B233" s="46">
        <v>44330</v>
      </c>
      <c r="C233" s="45" t="s">
        <v>755</v>
      </c>
      <c r="D233" s="46" t="s">
        <v>1078</v>
      </c>
      <c r="E233" s="72" t="s">
        <v>981</v>
      </c>
      <c r="F233" s="48" t="s">
        <v>756</v>
      </c>
      <c r="G233" s="47" t="s">
        <v>757</v>
      </c>
      <c r="H233" s="47" t="s">
        <v>752</v>
      </c>
      <c r="I233" s="48" t="s">
        <v>724</v>
      </c>
      <c r="J233" s="48" t="s">
        <v>725</v>
      </c>
      <c r="K233" s="49" t="s">
        <v>31</v>
      </c>
      <c r="L233" s="49" t="s">
        <v>1413</v>
      </c>
      <c r="M233" s="49">
        <v>15</v>
      </c>
      <c r="N233" s="80">
        <f t="shared" si="35"/>
        <v>370</v>
      </c>
      <c r="O233" s="51">
        <v>500</v>
      </c>
      <c r="P233" s="81" t="str">
        <f t="shared" si="36"/>
        <v>OK</v>
      </c>
      <c r="Q233" s="142"/>
      <c r="R233" s="76"/>
      <c r="S233" s="81" t="str">
        <f t="shared" si="37"/>
        <v/>
      </c>
      <c r="T233" s="81" t="str">
        <f t="shared" si="38"/>
        <v/>
      </c>
      <c r="U233" s="46">
        <v>44421</v>
      </c>
      <c r="V233" s="50">
        <f t="shared" si="39"/>
        <v>500</v>
      </c>
      <c r="W233" s="53">
        <f t="shared" si="40"/>
        <v>0</v>
      </c>
    </row>
    <row r="234" spans="1:23" ht="25.5" x14ac:dyDescent="0.25">
      <c r="A234" s="35" t="s">
        <v>1341</v>
      </c>
      <c r="B234" s="36">
        <v>44330</v>
      </c>
      <c r="C234" s="35" t="s">
        <v>1571</v>
      </c>
      <c r="D234" s="36" t="s">
        <v>501</v>
      </c>
      <c r="E234" s="73" t="s">
        <v>1072</v>
      </c>
      <c r="F234" s="38" t="s">
        <v>1572</v>
      </c>
      <c r="G234" s="37" t="s">
        <v>1565</v>
      </c>
      <c r="H234" s="37" t="s">
        <v>1573</v>
      </c>
      <c r="I234" s="38" t="s">
        <v>320</v>
      </c>
      <c r="J234" s="39" t="s">
        <v>317</v>
      </c>
      <c r="K234" s="39" t="s">
        <v>432</v>
      </c>
      <c r="L234" s="39" t="s">
        <v>480</v>
      </c>
      <c r="M234" s="39">
        <v>1</v>
      </c>
      <c r="N234" s="86">
        <f t="shared" si="35"/>
        <v>300</v>
      </c>
      <c r="O234" s="41">
        <v>1000</v>
      </c>
      <c r="P234" s="86" t="str">
        <f t="shared" si="36"/>
        <v>OK</v>
      </c>
      <c r="Q234" s="143"/>
      <c r="R234" s="78"/>
      <c r="S234" s="87" t="str">
        <f t="shared" si="37"/>
        <v/>
      </c>
      <c r="T234" s="87" t="str">
        <f t="shared" si="38"/>
        <v/>
      </c>
      <c r="U234" s="36">
        <v>44421</v>
      </c>
      <c r="V234" s="40">
        <f t="shared" si="39"/>
        <v>1000</v>
      </c>
      <c r="W234" s="43">
        <f t="shared" si="40"/>
        <v>0</v>
      </c>
    </row>
    <row r="235" spans="1:23" ht="25.5" x14ac:dyDescent="0.25">
      <c r="A235" s="45" t="s">
        <v>1342</v>
      </c>
      <c r="B235" s="46">
        <v>44313</v>
      </c>
      <c r="C235" s="45" t="s">
        <v>1574</v>
      </c>
      <c r="D235" s="46" t="s">
        <v>990</v>
      </c>
      <c r="E235" s="72" t="s">
        <v>1064</v>
      </c>
      <c r="F235" s="48" t="s">
        <v>1575</v>
      </c>
      <c r="G235" s="47" t="s">
        <v>1576</v>
      </c>
      <c r="H235" s="47" t="s">
        <v>1577</v>
      </c>
      <c r="I235" s="48" t="s">
        <v>667</v>
      </c>
      <c r="J235" s="48" t="s">
        <v>668</v>
      </c>
      <c r="K235" s="49" t="s">
        <v>39</v>
      </c>
      <c r="L235" s="49" t="s">
        <v>40</v>
      </c>
      <c r="M235" s="49">
        <v>17</v>
      </c>
      <c r="N235" s="80">
        <f t="shared" si="35"/>
        <v>300</v>
      </c>
      <c r="O235" s="51">
        <v>450</v>
      </c>
      <c r="P235" s="81" t="str">
        <f t="shared" si="36"/>
        <v>OK</v>
      </c>
      <c r="Q235" s="142"/>
      <c r="R235" s="76"/>
      <c r="S235" s="81" t="str">
        <f t="shared" si="37"/>
        <v/>
      </c>
      <c r="T235" s="81" t="str">
        <f t="shared" si="38"/>
        <v/>
      </c>
      <c r="U235" s="46">
        <v>44421</v>
      </c>
      <c r="V235" s="50">
        <f t="shared" si="39"/>
        <v>450</v>
      </c>
      <c r="W235" s="53">
        <f t="shared" si="40"/>
        <v>0</v>
      </c>
    </row>
    <row r="236" spans="1:23" ht="38.25" x14ac:dyDescent="0.25">
      <c r="A236" s="35" t="s">
        <v>1343</v>
      </c>
      <c r="B236" s="36">
        <v>44300</v>
      </c>
      <c r="C236" s="35" t="s">
        <v>1578</v>
      </c>
      <c r="D236" s="36" t="s">
        <v>501</v>
      </c>
      <c r="E236" s="73" t="s">
        <v>1072</v>
      </c>
      <c r="F236" s="38" t="s">
        <v>1579</v>
      </c>
      <c r="G236" s="37" t="s">
        <v>1580</v>
      </c>
      <c r="H236" s="37" t="s">
        <v>1581</v>
      </c>
      <c r="I236" s="38" t="s">
        <v>320</v>
      </c>
      <c r="J236" s="39" t="s">
        <v>317</v>
      </c>
      <c r="K236" s="39" t="s">
        <v>432</v>
      </c>
      <c r="L236" s="39" t="s">
        <v>480</v>
      </c>
      <c r="M236" s="39">
        <v>1</v>
      </c>
      <c r="N236" s="86">
        <f t="shared" si="35"/>
        <v>300</v>
      </c>
      <c r="O236" s="41">
        <v>1000</v>
      </c>
      <c r="P236" s="86" t="str">
        <f t="shared" si="36"/>
        <v>OK</v>
      </c>
      <c r="Q236" s="143"/>
      <c r="R236" s="78"/>
      <c r="S236" s="87" t="str">
        <f t="shared" si="37"/>
        <v/>
      </c>
      <c r="T236" s="87" t="str">
        <f t="shared" si="38"/>
        <v/>
      </c>
      <c r="U236" s="36">
        <v>44421</v>
      </c>
      <c r="V236" s="40">
        <f t="shared" si="39"/>
        <v>1000</v>
      </c>
      <c r="W236" s="43">
        <f t="shared" si="40"/>
        <v>0</v>
      </c>
    </row>
    <row r="237" spans="1:23" ht="25.5" x14ac:dyDescent="0.25">
      <c r="A237" s="45" t="s">
        <v>1344</v>
      </c>
      <c r="B237" s="46">
        <v>44300</v>
      </c>
      <c r="C237" s="45" t="s">
        <v>1582</v>
      </c>
      <c r="D237" s="46" t="s">
        <v>501</v>
      </c>
      <c r="E237" s="72" t="s">
        <v>1072</v>
      </c>
      <c r="F237" s="48" t="s">
        <v>1583</v>
      </c>
      <c r="G237" s="47" t="s">
        <v>1584</v>
      </c>
      <c r="H237" s="47" t="s">
        <v>1585</v>
      </c>
      <c r="I237" s="48" t="s">
        <v>320</v>
      </c>
      <c r="J237" s="48" t="s">
        <v>317</v>
      </c>
      <c r="K237" s="49" t="s">
        <v>432</v>
      </c>
      <c r="L237" s="49" t="s">
        <v>480</v>
      </c>
      <c r="M237" s="49">
        <v>1</v>
      </c>
      <c r="N237" s="80">
        <f t="shared" si="35"/>
        <v>300</v>
      </c>
      <c r="O237" s="51">
        <v>1000</v>
      </c>
      <c r="P237" s="81" t="str">
        <f t="shared" si="36"/>
        <v>OK</v>
      </c>
      <c r="Q237" s="142"/>
      <c r="R237" s="76"/>
      <c r="S237" s="81" t="str">
        <f t="shared" si="37"/>
        <v/>
      </c>
      <c r="T237" s="81" t="str">
        <f t="shared" si="38"/>
        <v/>
      </c>
      <c r="U237" s="46">
        <v>44421</v>
      </c>
      <c r="V237" s="50">
        <f t="shared" si="39"/>
        <v>1000</v>
      </c>
      <c r="W237" s="53">
        <f t="shared" si="40"/>
        <v>0</v>
      </c>
    </row>
    <row r="238" spans="1:23" ht="25.5" x14ac:dyDescent="0.25">
      <c r="A238" s="35" t="s">
        <v>1345</v>
      </c>
      <c r="B238" s="36">
        <v>44266</v>
      </c>
      <c r="C238" s="35" t="s">
        <v>1586</v>
      </c>
      <c r="D238" s="36" t="s">
        <v>1007</v>
      </c>
      <c r="E238" s="73" t="s">
        <v>1080</v>
      </c>
      <c r="F238" s="38" t="s">
        <v>1587</v>
      </c>
      <c r="G238" s="37" t="s">
        <v>1588</v>
      </c>
      <c r="H238" s="37" t="s">
        <v>1589</v>
      </c>
      <c r="I238" s="38" t="s">
        <v>928</v>
      </c>
      <c r="J238" s="39" t="s">
        <v>929</v>
      </c>
      <c r="K238" s="39" t="s">
        <v>5</v>
      </c>
      <c r="L238" s="39" t="s">
        <v>14</v>
      </c>
      <c r="M238" s="39">
        <v>15</v>
      </c>
      <c r="N238" s="86">
        <f t="shared" si="35"/>
        <v>370</v>
      </c>
      <c r="O238" s="41">
        <v>1500</v>
      </c>
      <c r="P238" s="86" t="str">
        <f t="shared" si="36"/>
        <v>OK</v>
      </c>
      <c r="Q238" s="143"/>
      <c r="R238" s="78"/>
      <c r="S238" s="87" t="str">
        <f t="shared" si="37"/>
        <v/>
      </c>
      <c r="T238" s="87" t="str">
        <f t="shared" si="38"/>
        <v/>
      </c>
      <c r="U238" s="36">
        <v>44421</v>
      </c>
      <c r="V238" s="40">
        <f t="shared" si="39"/>
        <v>1500</v>
      </c>
      <c r="W238" s="43">
        <f t="shared" si="40"/>
        <v>0</v>
      </c>
    </row>
    <row r="239" spans="1:23" ht="25.5" x14ac:dyDescent="0.25">
      <c r="A239" s="45" t="s">
        <v>1346</v>
      </c>
      <c r="B239" s="46">
        <v>44266</v>
      </c>
      <c r="C239" s="45" t="s">
        <v>1590</v>
      </c>
      <c r="D239" s="46" t="s">
        <v>1007</v>
      </c>
      <c r="E239" s="72" t="s">
        <v>1080</v>
      </c>
      <c r="F239" s="48" t="s">
        <v>1591</v>
      </c>
      <c r="G239" s="47" t="s">
        <v>1593</v>
      </c>
      <c r="H239" s="47" t="s">
        <v>585</v>
      </c>
      <c r="I239" s="48" t="s">
        <v>1592</v>
      </c>
      <c r="J239" s="48" t="s">
        <v>1594</v>
      </c>
      <c r="K239" s="49" t="s">
        <v>432</v>
      </c>
      <c r="L239" s="49" t="s">
        <v>480</v>
      </c>
      <c r="M239" s="49">
        <v>1</v>
      </c>
      <c r="N239" s="80">
        <f t="shared" si="35"/>
        <v>300</v>
      </c>
      <c r="O239" s="51">
        <v>700</v>
      </c>
      <c r="P239" s="81" t="str">
        <f t="shared" si="36"/>
        <v>OK</v>
      </c>
      <c r="Q239" s="142"/>
      <c r="R239" s="76"/>
      <c r="S239" s="81" t="str">
        <f t="shared" si="37"/>
        <v/>
      </c>
      <c r="T239" s="81" t="str">
        <f t="shared" si="38"/>
        <v/>
      </c>
      <c r="U239" s="46">
        <v>44421</v>
      </c>
      <c r="V239" s="50">
        <f t="shared" si="39"/>
        <v>700</v>
      </c>
      <c r="W239" s="53">
        <f t="shared" si="40"/>
        <v>0</v>
      </c>
    </row>
    <row r="240" spans="1:23" ht="38.25" x14ac:dyDescent="0.25">
      <c r="A240" s="35" t="s">
        <v>1347</v>
      </c>
      <c r="B240" s="36">
        <v>44249</v>
      </c>
      <c r="C240" s="35" t="s">
        <v>1595</v>
      </c>
      <c r="D240" s="36" t="s">
        <v>1007</v>
      </c>
      <c r="E240" s="73" t="s">
        <v>1080</v>
      </c>
      <c r="F240" s="38" t="s">
        <v>1598</v>
      </c>
      <c r="G240" s="37" t="s">
        <v>1596</v>
      </c>
      <c r="H240" s="37" t="s">
        <v>1597</v>
      </c>
      <c r="I240" s="38" t="s">
        <v>1592</v>
      </c>
      <c r="J240" s="39" t="s">
        <v>1594</v>
      </c>
      <c r="K240" s="39" t="s">
        <v>432</v>
      </c>
      <c r="L240" s="39" t="s">
        <v>480</v>
      </c>
      <c r="M240" s="39">
        <v>1</v>
      </c>
      <c r="N240" s="86">
        <f t="shared" si="35"/>
        <v>300</v>
      </c>
      <c r="O240" s="41">
        <v>1500</v>
      </c>
      <c r="P240" s="86" t="str">
        <f t="shared" si="36"/>
        <v>OK</v>
      </c>
      <c r="Q240" s="143"/>
      <c r="R240" s="78"/>
      <c r="S240" s="87" t="str">
        <f t="shared" si="37"/>
        <v/>
      </c>
      <c r="T240" s="87" t="str">
        <f t="shared" si="38"/>
        <v/>
      </c>
      <c r="U240" s="36">
        <v>44421</v>
      </c>
      <c r="V240" s="40">
        <f t="shared" si="39"/>
        <v>1500</v>
      </c>
      <c r="W240" s="43">
        <f t="shared" si="40"/>
        <v>0</v>
      </c>
    </row>
    <row r="241" spans="1:23" ht="25.5" x14ac:dyDescent="0.25">
      <c r="A241" s="45" t="s">
        <v>1348</v>
      </c>
      <c r="B241" s="46">
        <v>44159</v>
      </c>
      <c r="C241" s="45" t="s">
        <v>825</v>
      </c>
      <c r="D241" s="46" t="s">
        <v>541</v>
      </c>
      <c r="E241" s="72" t="s">
        <v>1070</v>
      </c>
      <c r="F241" s="48" t="s">
        <v>826</v>
      </c>
      <c r="G241" s="47" t="s">
        <v>828</v>
      </c>
      <c r="H241" s="47" t="s">
        <v>829</v>
      </c>
      <c r="I241" s="48" t="s">
        <v>545</v>
      </c>
      <c r="J241" s="48" t="s">
        <v>546</v>
      </c>
      <c r="K241" s="49" t="s">
        <v>16</v>
      </c>
      <c r="L241" s="49" t="s">
        <v>25</v>
      </c>
      <c r="M241" s="49">
        <v>10</v>
      </c>
      <c r="N241" s="80">
        <f t="shared" si="35"/>
        <v>870</v>
      </c>
      <c r="O241" s="51">
        <v>1500</v>
      </c>
      <c r="P241" s="81" t="str">
        <f t="shared" si="36"/>
        <v>OK</v>
      </c>
      <c r="Q241" s="142"/>
      <c r="R241" s="76"/>
      <c r="S241" s="81" t="str">
        <f t="shared" si="37"/>
        <v/>
      </c>
      <c r="T241" s="81" t="str">
        <f t="shared" si="38"/>
        <v/>
      </c>
      <c r="U241" s="46">
        <v>44421</v>
      </c>
      <c r="V241" s="50">
        <f t="shared" si="39"/>
        <v>1500</v>
      </c>
      <c r="W241" s="53">
        <f t="shared" si="40"/>
        <v>0</v>
      </c>
    </row>
    <row r="242" spans="1:23" ht="25.5" x14ac:dyDescent="0.25">
      <c r="A242" s="35" t="s">
        <v>1349</v>
      </c>
      <c r="B242" s="36">
        <v>44111</v>
      </c>
      <c r="C242" s="35" t="s">
        <v>1599</v>
      </c>
      <c r="D242" s="36" t="s">
        <v>1600</v>
      </c>
      <c r="E242" s="73" t="s">
        <v>1080</v>
      </c>
      <c r="F242" s="38" t="s">
        <v>1601</v>
      </c>
      <c r="G242" s="37" t="s">
        <v>1602</v>
      </c>
      <c r="H242" s="37" t="s">
        <v>782</v>
      </c>
      <c r="I242" s="38" t="s">
        <v>1603</v>
      </c>
      <c r="J242" s="39" t="s">
        <v>1604</v>
      </c>
      <c r="K242" s="39" t="s">
        <v>432</v>
      </c>
      <c r="L242" s="39" t="s">
        <v>480</v>
      </c>
      <c r="M242" s="39">
        <v>1</v>
      </c>
      <c r="N242" s="86">
        <f t="shared" si="35"/>
        <v>300</v>
      </c>
      <c r="O242" s="41">
        <v>622</v>
      </c>
      <c r="P242" s="86" t="str">
        <f t="shared" si="36"/>
        <v>OK</v>
      </c>
      <c r="Q242" s="143"/>
      <c r="R242" s="78"/>
      <c r="S242" s="87" t="str">
        <f t="shared" si="37"/>
        <v/>
      </c>
      <c r="T242" s="87" t="str">
        <f t="shared" si="38"/>
        <v/>
      </c>
      <c r="U242" s="36">
        <v>44421</v>
      </c>
      <c r="V242" s="40">
        <f t="shared" si="39"/>
        <v>622</v>
      </c>
      <c r="W242" s="43">
        <f t="shared" si="40"/>
        <v>0</v>
      </c>
    </row>
    <row r="243" spans="1:23" ht="38.25" x14ac:dyDescent="0.25">
      <c r="A243" s="45" t="s">
        <v>1350</v>
      </c>
      <c r="B243" s="46">
        <v>43994</v>
      </c>
      <c r="C243" s="45" t="s">
        <v>1605</v>
      </c>
      <c r="D243" s="46" t="s">
        <v>1001</v>
      </c>
      <c r="E243" s="72" t="s">
        <v>1080</v>
      </c>
      <c r="F243" s="48" t="s">
        <v>1606</v>
      </c>
      <c r="G243" s="47" t="s">
        <v>1607</v>
      </c>
      <c r="H243" s="47" t="s">
        <v>1608</v>
      </c>
      <c r="I243" s="48" t="s">
        <v>1609</v>
      </c>
      <c r="J243" s="48" t="s">
        <v>1610</v>
      </c>
      <c r="K243" s="49" t="s">
        <v>31</v>
      </c>
      <c r="L243" s="49" t="s">
        <v>29</v>
      </c>
      <c r="M243" s="49">
        <v>15</v>
      </c>
      <c r="N243" s="80">
        <f t="shared" si="35"/>
        <v>370</v>
      </c>
      <c r="O243" s="51">
        <v>1650</v>
      </c>
      <c r="P243" s="81" t="str">
        <f t="shared" si="36"/>
        <v>OK</v>
      </c>
      <c r="Q243" s="142"/>
      <c r="R243" s="76"/>
      <c r="S243" s="81" t="str">
        <f t="shared" si="37"/>
        <v/>
      </c>
      <c r="T243" s="81" t="str">
        <f t="shared" si="38"/>
        <v/>
      </c>
      <c r="U243" s="46">
        <v>44421</v>
      </c>
      <c r="V243" s="50">
        <f t="shared" si="39"/>
        <v>1650</v>
      </c>
      <c r="W243" s="53">
        <f t="shared" si="40"/>
        <v>0</v>
      </c>
    </row>
    <row r="244" spans="1:23" ht="25.5" x14ac:dyDescent="0.25">
      <c r="A244" s="35" t="s">
        <v>1351</v>
      </c>
      <c r="B244" s="36">
        <v>43865</v>
      </c>
      <c r="C244" s="35" t="s">
        <v>937</v>
      </c>
      <c r="D244" s="36" t="s">
        <v>1005</v>
      </c>
      <c r="E244" s="73" t="s">
        <v>1080</v>
      </c>
      <c r="F244" s="38" t="s">
        <v>1611</v>
      </c>
      <c r="G244" s="37" t="s">
        <v>1612</v>
      </c>
      <c r="H244" s="37" t="s">
        <v>1613</v>
      </c>
      <c r="I244" s="38" t="s">
        <v>941</v>
      </c>
      <c r="J244" s="39" t="s">
        <v>912</v>
      </c>
      <c r="K244" s="39" t="s">
        <v>5</v>
      </c>
      <c r="L244" s="39" t="s">
        <v>8</v>
      </c>
      <c r="M244" s="39">
        <v>2</v>
      </c>
      <c r="N244" s="86">
        <f t="shared" si="35"/>
        <v>370</v>
      </c>
      <c r="O244" s="41">
        <v>1200</v>
      </c>
      <c r="P244" s="86" t="str">
        <f t="shared" si="36"/>
        <v>OK</v>
      </c>
      <c r="Q244" s="143"/>
      <c r="R244" s="78"/>
      <c r="S244" s="87" t="str">
        <f t="shared" si="37"/>
        <v/>
      </c>
      <c r="T244" s="87" t="str">
        <f t="shared" si="38"/>
        <v/>
      </c>
      <c r="U244" s="36">
        <v>44421</v>
      </c>
      <c r="V244" s="40">
        <f t="shared" si="39"/>
        <v>1200</v>
      </c>
      <c r="W244" s="43">
        <f t="shared" si="40"/>
        <v>0</v>
      </c>
    </row>
    <row r="245" spans="1:23" ht="25.5" x14ac:dyDescent="0.25">
      <c r="A245" s="45" t="s">
        <v>1352</v>
      </c>
      <c r="B245" s="46">
        <v>43790</v>
      </c>
      <c r="C245" s="45" t="s">
        <v>1614</v>
      </c>
      <c r="D245" s="46" t="s">
        <v>1615</v>
      </c>
      <c r="E245" s="72" t="s">
        <v>1080</v>
      </c>
      <c r="F245" s="48" t="s">
        <v>1616</v>
      </c>
      <c r="G245" s="47" t="s">
        <v>1617</v>
      </c>
      <c r="H245" s="47" t="s">
        <v>1618</v>
      </c>
      <c r="I245" s="48" t="s">
        <v>1619</v>
      </c>
      <c r="J245" s="48" t="s">
        <v>1620</v>
      </c>
      <c r="K245" s="49" t="s">
        <v>16</v>
      </c>
      <c r="L245" s="49" t="s">
        <v>1413</v>
      </c>
      <c r="M245" s="49">
        <v>12</v>
      </c>
      <c r="N245" s="80">
        <f t="shared" si="35"/>
        <v>370</v>
      </c>
      <c r="O245" s="51">
        <v>750</v>
      </c>
      <c r="P245" s="81" t="str">
        <f t="shared" si="36"/>
        <v>OK</v>
      </c>
      <c r="Q245" s="142"/>
      <c r="R245" s="76"/>
      <c r="S245" s="81" t="str">
        <f t="shared" si="37"/>
        <v/>
      </c>
      <c r="T245" s="81" t="str">
        <f t="shared" si="38"/>
        <v/>
      </c>
      <c r="U245" s="46">
        <v>44421</v>
      </c>
      <c r="V245" s="50">
        <f t="shared" si="39"/>
        <v>750</v>
      </c>
      <c r="W245" s="53">
        <f t="shared" si="40"/>
        <v>0</v>
      </c>
    </row>
    <row r="246" spans="1:23" ht="25.5" x14ac:dyDescent="0.25">
      <c r="A246" s="35" t="s">
        <v>1353</v>
      </c>
      <c r="B246" s="36">
        <v>43665</v>
      </c>
      <c r="C246" s="35" t="s">
        <v>1621</v>
      </c>
      <c r="D246" s="36" t="s">
        <v>1622</v>
      </c>
      <c r="E246" s="73" t="s">
        <v>1080</v>
      </c>
      <c r="F246" s="38" t="s">
        <v>1623</v>
      </c>
      <c r="G246" s="37" t="s">
        <v>1624</v>
      </c>
      <c r="H246" s="37" t="s">
        <v>1625</v>
      </c>
      <c r="I246" s="38" t="s">
        <v>1626</v>
      </c>
      <c r="J246" s="39" t="s">
        <v>1627</v>
      </c>
      <c r="K246" s="39" t="s">
        <v>5</v>
      </c>
      <c r="L246" s="39" t="s">
        <v>8</v>
      </c>
      <c r="M246" s="39">
        <v>2</v>
      </c>
      <c r="N246" s="86">
        <f t="shared" si="35"/>
        <v>370</v>
      </c>
      <c r="O246" s="41">
        <v>1850</v>
      </c>
      <c r="P246" s="86" t="str">
        <f t="shared" si="36"/>
        <v>OK</v>
      </c>
      <c r="Q246" s="143"/>
      <c r="R246" s="78"/>
      <c r="S246" s="87" t="str">
        <f t="shared" si="37"/>
        <v/>
      </c>
      <c r="T246" s="87" t="str">
        <f t="shared" si="38"/>
        <v/>
      </c>
      <c r="U246" s="36">
        <v>44421</v>
      </c>
      <c r="V246" s="40">
        <f t="shared" si="39"/>
        <v>1850</v>
      </c>
      <c r="W246" s="43">
        <f t="shared" si="40"/>
        <v>0</v>
      </c>
    </row>
    <row r="247" spans="1:23" ht="38.25" x14ac:dyDescent="0.25">
      <c r="A247" s="45" t="s">
        <v>1354</v>
      </c>
      <c r="B247" s="46">
        <v>44015</v>
      </c>
      <c r="C247" s="45" t="s">
        <v>1628</v>
      </c>
      <c r="D247" s="46" t="s">
        <v>998</v>
      </c>
      <c r="E247" s="72" t="s">
        <v>1064</v>
      </c>
      <c r="F247" s="48" t="s">
        <v>1629</v>
      </c>
      <c r="G247" s="47" t="s">
        <v>1630</v>
      </c>
      <c r="H247" s="47" t="s">
        <v>1631</v>
      </c>
      <c r="I247" s="48" t="s">
        <v>1632</v>
      </c>
      <c r="J247" s="48" t="s">
        <v>645</v>
      </c>
      <c r="K247" s="49" t="s">
        <v>39</v>
      </c>
      <c r="L247" s="49" t="s">
        <v>40</v>
      </c>
      <c r="M247" s="49">
        <v>17</v>
      </c>
      <c r="N247" s="80">
        <f t="shared" si="35"/>
        <v>300</v>
      </c>
      <c r="O247" s="51">
        <v>300</v>
      </c>
      <c r="P247" s="81" t="str">
        <f t="shared" si="36"/>
        <v>OK</v>
      </c>
      <c r="Q247" s="142"/>
      <c r="R247" s="76"/>
      <c r="S247" s="81" t="str">
        <f t="shared" si="37"/>
        <v/>
      </c>
      <c r="T247" s="81" t="str">
        <f t="shared" si="38"/>
        <v/>
      </c>
      <c r="U247" s="46">
        <v>44421</v>
      </c>
      <c r="V247" s="50">
        <f t="shared" si="39"/>
        <v>300</v>
      </c>
      <c r="W247" s="53">
        <f t="shared" si="40"/>
        <v>0</v>
      </c>
    </row>
    <row r="248" spans="1:23" ht="25.5" x14ac:dyDescent="0.25">
      <c r="A248" s="35" t="s">
        <v>1355</v>
      </c>
      <c r="B248" s="36">
        <v>44428</v>
      </c>
      <c r="C248" s="35" t="s">
        <v>1636</v>
      </c>
      <c r="D248" s="36" t="s">
        <v>652</v>
      </c>
      <c r="E248" s="73" t="s">
        <v>1068</v>
      </c>
      <c r="F248" s="38" t="s">
        <v>1635</v>
      </c>
      <c r="G248" s="37" t="s">
        <v>1637</v>
      </c>
      <c r="H248" s="37" t="s">
        <v>1638</v>
      </c>
      <c r="I248" s="38" t="s">
        <v>1639</v>
      </c>
      <c r="J248" s="39" t="s">
        <v>1640</v>
      </c>
      <c r="K248" s="39" t="s">
        <v>16</v>
      </c>
      <c r="L248" s="39" t="s">
        <v>27</v>
      </c>
      <c r="M248" s="39">
        <v>11</v>
      </c>
      <c r="N248" s="86">
        <f t="shared" si="35"/>
        <v>370</v>
      </c>
      <c r="O248" s="41">
        <v>370</v>
      </c>
      <c r="P248" s="86" t="str">
        <f t="shared" si="36"/>
        <v>OK</v>
      </c>
      <c r="Q248" s="143"/>
      <c r="R248" s="78"/>
      <c r="S248" s="87" t="str">
        <f t="shared" si="37"/>
        <v/>
      </c>
      <c r="T248" s="87" t="str">
        <f t="shared" si="38"/>
        <v/>
      </c>
      <c r="U248" s="36">
        <v>44431</v>
      </c>
      <c r="V248" s="40">
        <f t="shared" si="39"/>
        <v>370</v>
      </c>
      <c r="W248" s="43">
        <f>IF(M248="","",IF(AND(M248&gt;0,U248=""),V248,O248-(R248+V248)))</f>
        <v>0</v>
      </c>
    </row>
    <row r="249" spans="1:23" ht="25.5" x14ac:dyDescent="0.25">
      <c r="A249" s="45" t="s">
        <v>1356</v>
      </c>
      <c r="B249" s="46">
        <v>44428</v>
      </c>
      <c r="C249" s="45" t="s">
        <v>1641</v>
      </c>
      <c r="D249" s="46" t="s">
        <v>652</v>
      </c>
      <c r="E249" s="72" t="s">
        <v>1068</v>
      </c>
      <c r="F249" s="48" t="s">
        <v>1642</v>
      </c>
      <c r="G249" s="47" t="s">
        <v>1643</v>
      </c>
      <c r="H249" s="47" t="s">
        <v>1638</v>
      </c>
      <c r="I249" s="48" t="s">
        <v>1639</v>
      </c>
      <c r="J249" s="48" t="s">
        <v>1640</v>
      </c>
      <c r="K249" s="49" t="s">
        <v>16</v>
      </c>
      <c r="L249" s="49" t="s">
        <v>27</v>
      </c>
      <c r="M249" s="49">
        <v>11</v>
      </c>
      <c r="N249" s="80">
        <f t="shared" si="35"/>
        <v>370</v>
      </c>
      <c r="O249" s="51">
        <v>370</v>
      </c>
      <c r="P249" s="81" t="str">
        <f t="shared" si="36"/>
        <v>OK</v>
      </c>
      <c r="Q249" s="142"/>
      <c r="R249" s="76"/>
      <c r="S249" s="81" t="str">
        <f t="shared" si="37"/>
        <v/>
      </c>
      <c r="T249" s="81" t="str">
        <f t="shared" si="38"/>
        <v/>
      </c>
      <c r="U249" s="46">
        <v>44431</v>
      </c>
      <c r="V249" s="50">
        <f t="shared" si="39"/>
        <v>370</v>
      </c>
      <c r="W249" s="53">
        <f>IF(M249="","",IF(AND(M249&gt;0,U249=""),V249,O249-(R249+V249)))</f>
        <v>0</v>
      </c>
    </row>
    <row r="250" spans="1:23" ht="25.5" x14ac:dyDescent="0.25">
      <c r="A250" s="35" t="s">
        <v>1357</v>
      </c>
      <c r="B250" s="36">
        <v>44428</v>
      </c>
      <c r="C250" s="35" t="s">
        <v>1644</v>
      </c>
      <c r="D250" s="36" t="s">
        <v>659</v>
      </c>
      <c r="E250" s="73" t="s">
        <v>1073</v>
      </c>
      <c r="F250" s="38" t="s">
        <v>1645</v>
      </c>
      <c r="G250" s="37" t="s">
        <v>1646</v>
      </c>
      <c r="H250" s="37" t="s">
        <v>504</v>
      </c>
      <c r="I250" s="38" t="s">
        <v>320</v>
      </c>
      <c r="J250" s="39" t="s">
        <v>317</v>
      </c>
      <c r="K250" s="39" t="s">
        <v>432</v>
      </c>
      <c r="L250" s="39" t="s">
        <v>480</v>
      </c>
      <c r="M250" s="39">
        <v>1</v>
      </c>
      <c r="N250" s="86">
        <f t="shared" si="35"/>
        <v>300</v>
      </c>
      <c r="O250" s="41">
        <v>370</v>
      </c>
      <c r="P250" s="86" t="str">
        <f t="shared" si="36"/>
        <v>OK</v>
      </c>
      <c r="Q250" s="143"/>
      <c r="R250" s="78"/>
      <c r="S250" s="87" t="str">
        <f t="shared" si="37"/>
        <v/>
      </c>
      <c r="T250" s="87" t="str">
        <f t="shared" si="38"/>
        <v/>
      </c>
      <c r="U250" s="36">
        <v>44431</v>
      </c>
      <c r="V250" s="40">
        <f t="shared" si="39"/>
        <v>370</v>
      </c>
      <c r="W250" s="43">
        <f>IF(M250="","",IF(AND(M250&gt;0,U250=""),V250,O250-(R250+V250)))</f>
        <v>0</v>
      </c>
    </row>
    <row r="251" spans="1:23" ht="25.5" x14ac:dyDescent="0.25">
      <c r="A251" s="45" t="s">
        <v>1358</v>
      </c>
      <c r="B251" s="46">
        <v>44431</v>
      </c>
      <c r="C251" s="45" t="s">
        <v>1647</v>
      </c>
      <c r="D251" s="46" t="s">
        <v>1079</v>
      </c>
      <c r="E251" s="72" t="s">
        <v>980</v>
      </c>
      <c r="F251" s="48" t="s">
        <v>1648</v>
      </c>
      <c r="G251" s="47" t="s">
        <v>1649</v>
      </c>
      <c r="H251" s="47" t="s">
        <v>1148</v>
      </c>
      <c r="I251" s="48" t="s">
        <v>1434</v>
      </c>
      <c r="J251" s="48" t="s">
        <v>1435</v>
      </c>
      <c r="K251" s="49" t="s">
        <v>39</v>
      </c>
      <c r="L251" s="49" t="s">
        <v>40</v>
      </c>
      <c r="M251" s="49">
        <v>17</v>
      </c>
      <c r="N251" s="80">
        <f t="shared" si="35"/>
        <v>300</v>
      </c>
      <c r="O251" s="51">
        <v>200</v>
      </c>
      <c r="P251" s="81" t="str">
        <f t="shared" si="36"/>
        <v>OK</v>
      </c>
      <c r="Q251" s="142"/>
      <c r="R251" s="76"/>
      <c r="S251" s="81" t="str">
        <f t="shared" si="37"/>
        <v/>
      </c>
      <c r="T251" s="81" t="str">
        <f t="shared" si="38"/>
        <v/>
      </c>
      <c r="U251" s="46">
        <v>44431</v>
      </c>
      <c r="V251" s="50">
        <f t="shared" si="39"/>
        <v>200</v>
      </c>
      <c r="W251" s="53">
        <f t="shared" si="40"/>
        <v>0</v>
      </c>
    </row>
    <row r="252" spans="1:23" ht="25.5" x14ac:dyDescent="0.25">
      <c r="A252" s="35" t="s">
        <v>1359</v>
      </c>
      <c r="B252" s="36">
        <v>44434</v>
      </c>
      <c r="C252" s="35" t="s">
        <v>1650</v>
      </c>
      <c r="D252" s="36" t="s">
        <v>1079</v>
      </c>
      <c r="E252" s="73" t="s">
        <v>980</v>
      </c>
      <c r="F252" s="38" t="s">
        <v>1652</v>
      </c>
      <c r="G252" s="37" t="s">
        <v>1651</v>
      </c>
      <c r="H252" s="37" t="s">
        <v>1148</v>
      </c>
      <c r="I252" s="38" t="s">
        <v>1653</v>
      </c>
      <c r="J252" s="39" t="s">
        <v>1654</v>
      </c>
      <c r="K252" s="39" t="s">
        <v>39</v>
      </c>
      <c r="L252" s="39" t="s">
        <v>40</v>
      </c>
      <c r="M252" s="39">
        <v>17</v>
      </c>
      <c r="N252" s="86">
        <f t="shared" si="35"/>
        <v>300</v>
      </c>
      <c r="O252" s="41">
        <v>200</v>
      </c>
      <c r="P252" s="86" t="str">
        <f t="shared" si="36"/>
        <v>OK</v>
      </c>
      <c r="Q252" s="143"/>
      <c r="R252" s="78"/>
      <c r="S252" s="87" t="str">
        <f t="shared" si="37"/>
        <v/>
      </c>
      <c r="T252" s="87" t="str">
        <f t="shared" si="38"/>
        <v/>
      </c>
      <c r="U252" s="36">
        <v>44434</v>
      </c>
      <c r="V252" s="40">
        <f t="shared" si="39"/>
        <v>200</v>
      </c>
      <c r="W252" s="43">
        <f t="shared" si="40"/>
        <v>0</v>
      </c>
    </row>
    <row r="253" spans="1:23" ht="38.25" x14ac:dyDescent="0.25">
      <c r="A253" s="45" t="s">
        <v>1360</v>
      </c>
      <c r="B253" s="46">
        <v>44435</v>
      </c>
      <c r="C253" s="45" t="s">
        <v>1655</v>
      </c>
      <c r="D253" s="46" t="s">
        <v>1134</v>
      </c>
      <c r="E253" s="72" t="s">
        <v>1073</v>
      </c>
      <c r="F253" s="48" t="s">
        <v>1656</v>
      </c>
      <c r="G253" s="47" t="s">
        <v>1657</v>
      </c>
      <c r="H253" s="47" t="s">
        <v>1658</v>
      </c>
      <c r="I253" s="48" t="s">
        <v>320</v>
      </c>
      <c r="J253" s="48" t="s">
        <v>317</v>
      </c>
      <c r="K253" s="49" t="s">
        <v>432</v>
      </c>
      <c r="L253" s="49" t="s">
        <v>480</v>
      </c>
      <c r="M253" s="49">
        <v>1</v>
      </c>
      <c r="N253" s="80">
        <f t="shared" si="35"/>
        <v>300</v>
      </c>
      <c r="O253" s="51">
        <v>300</v>
      </c>
      <c r="P253" s="81" t="str">
        <f t="shared" si="36"/>
        <v>OK</v>
      </c>
      <c r="Q253" s="142"/>
      <c r="R253" s="76"/>
      <c r="S253" s="81" t="str">
        <f t="shared" si="37"/>
        <v/>
      </c>
      <c r="T253" s="81" t="str">
        <f t="shared" si="38"/>
        <v/>
      </c>
      <c r="U253" s="46">
        <v>44438</v>
      </c>
      <c r="V253" s="50">
        <f t="shared" si="39"/>
        <v>300</v>
      </c>
      <c r="W253" s="53">
        <f t="shared" si="40"/>
        <v>0</v>
      </c>
    </row>
    <row r="254" spans="1:23" ht="25.5" x14ac:dyDescent="0.25">
      <c r="A254" s="35" t="s">
        <v>1361</v>
      </c>
      <c r="B254" s="36">
        <v>44435</v>
      </c>
      <c r="C254" s="35" t="s">
        <v>1659</v>
      </c>
      <c r="D254" s="36" t="s">
        <v>1134</v>
      </c>
      <c r="E254" s="73" t="s">
        <v>1073</v>
      </c>
      <c r="F254" s="38" t="s">
        <v>1660</v>
      </c>
      <c r="G254" s="37" t="s">
        <v>1661</v>
      </c>
      <c r="H254" s="37" t="s">
        <v>1044</v>
      </c>
      <c r="I254" s="38" t="s">
        <v>320</v>
      </c>
      <c r="J254" s="39" t="s">
        <v>317</v>
      </c>
      <c r="K254" s="39" t="s">
        <v>432</v>
      </c>
      <c r="L254" s="39" t="s">
        <v>480</v>
      </c>
      <c r="M254" s="39">
        <v>1</v>
      </c>
      <c r="N254" s="86">
        <f t="shared" si="35"/>
        <v>300</v>
      </c>
      <c r="O254" s="41">
        <v>300</v>
      </c>
      <c r="P254" s="86" t="str">
        <f t="shared" si="36"/>
        <v>OK</v>
      </c>
      <c r="Q254" s="143"/>
      <c r="R254" s="78"/>
      <c r="S254" s="87" t="str">
        <f t="shared" si="37"/>
        <v/>
      </c>
      <c r="T254" s="87" t="str">
        <f t="shared" si="38"/>
        <v/>
      </c>
      <c r="U254" s="36">
        <v>44438</v>
      </c>
      <c r="V254" s="40">
        <f t="shared" si="39"/>
        <v>300</v>
      </c>
      <c r="W254" s="43">
        <f t="shared" si="40"/>
        <v>0</v>
      </c>
    </row>
    <row r="255" spans="1:23" ht="25.5" x14ac:dyDescent="0.25">
      <c r="A255" s="45" t="s">
        <v>1362</v>
      </c>
      <c r="B255" s="46">
        <v>44435</v>
      </c>
      <c r="C255" s="45" t="s">
        <v>1662</v>
      </c>
      <c r="D255" s="46" t="s">
        <v>1134</v>
      </c>
      <c r="E255" s="72" t="s">
        <v>1073</v>
      </c>
      <c r="F255" s="48" t="s">
        <v>1663</v>
      </c>
      <c r="G255" s="47" t="s">
        <v>1664</v>
      </c>
      <c r="H255" s="47" t="s">
        <v>1665</v>
      </c>
      <c r="I255" s="48" t="s">
        <v>320</v>
      </c>
      <c r="J255" s="48" t="s">
        <v>317</v>
      </c>
      <c r="K255" s="49" t="s">
        <v>432</v>
      </c>
      <c r="L255" s="49" t="s">
        <v>480</v>
      </c>
      <c r="M255" s="49">
        <v>1</v>
      </c>
      <c r="N255" s="80">
        <v>300</v>
      </c>
      <c r="O255" s="51">
        <v>300</v>
      </c>
      <c r="P255" s="81" t="s">
        <v>1017</v>
      </c>
      <c r="Q255" s="142"/>
      <c r="R255" s="76"/>
      <c r="S255" s="81" t="s">
        <v>415</v>
      </c>
      <c r="T255" s="81" t="s">
        <v>415</v>
      </c>
      <c r="U255" s="46">
        <v>44438</v>
      </c>
      <c r="V255" s="50">
        <f t="shared" si="39"/>
        <v>300</v>
      </c>
      <c r="W255" s="53">
        <f t="shared" si="40"/>
        <v>0</v>
      </c>
    </row>
    <row r="256" spans="1:23" ht="25.5" x14ac:dyDescent="0.25">
      <c r="A256" s="35" t="s">
        <v>1363</v>
      </c>
      <c r="B256" s="36">
        <v>44435</v>
      </c>
      <c r="C256" s="35" t="s">
        <v>1666</v>
      </c>
      <c r="D256" s="36" t="s">
        <v>1134</v>
      </c>
      <c r="E256" s="73" t="s">
        <v>1073</v>
      </c>
      <c r="F256" s="38" t="s">
        <v>1667</v>
      </c>
      <c r="G256" s="37" t="s">
        <v>1668</v>
      </c>
      <c r="H256" s="37" t="s">
        <v>504</v>
      </c>
      <c r="I256" s="38" t="s">
        <v>320</v>
      </c>
      <c r="J256" s="39" t="s">
        <v>317</v>
      </c>
      <c r="K256" s="39" t="s">
        <v>432</v>
      </c>
      <c r="L256" s="39" t="s">
        <v>480</v>
      </c>
      <c r="M256" s="39">
        <v>1</v>
      </c>
      <c r="N256" s="86">
        <v>300</v>
      </c>
      <c r="O256" s="41">
        <v>300</v>
      </c>
      <c r="P256" s="86" t="s">
        <v>1017</v>
      </c>
      <c r="Q256" s="143"/>
      <c r="R256" s="78"/>
      <c r="S256" s="87" t="s">
        <v>415</v>
      </c>
      <c r="T256" s="87" t="s">
        <v>415</v>
      </c>
      <c r="U256" s="36">
        <v>44438</v>
      </c>
      <c r="V256" s="40">
        <f t="shared" si="39"/>
        <v>300</v>
      </c>
      <c r="W256" s="43">
        <f t="shared" si="40"/>
        <v>0</v>
      </c>
    </row>
    <row r="257" spans="1:23" ht="25.5" x14ac:dyDescent="0.25">
      <c r="A257" s="45" t="s">
        <v>1364</v>
      </c>
      <c r="B257" s="46">
        <v>44435</v>
      </c>
      <c r="C257" s="45" t="s">
        <v>1669</v>
      </c>
      <c r="D257" s="46" t="s">
        <v>501</v>
      </c>
      <c r="E257" s="72" t="s">
        <v>1072</v>
      </c>
      <c r="F257" s="48" t="s">
        <v>1670</v>
      </c>
      <c r="G257" s="47" t="s">
        <v>1671</v>
      </c>
      <c r="H257" s="47" t="s">
        <v>1672</v>
      </c>
      <c r="I257" s="48" t="s">
        <v>320</v>
      </c>
      <c r="J257" s="48" t="s">
        <v>317</v>
      </c>
      <c r="K257" s="49" t="s">
        <v>432</v>
      </c>
      <c r="L257" s="49" t="s">
        <v>480</v>
      </c>
      <c r="M257" s="49">
        <v>1</v>
      </c>
      <c r="N257" s="80">
        <f t="shared" ref="N257:N286" si="41">IF(M257="","",IF(M257=1,300,IF(M257=2,370,IF(M257=3,630,IF(M257=4,830,IF(M257=5,370,IF(M257=6,430,IF(M257=7,530,IF(M257=8,370,IF(M257=9,700,IF(M257=10,870,IF(M257=11,370,IF(M257=12,370,IF(M257=13,370,IF(M257=13,370,IF(M257=14,370,IF(M257=15,370,IF(M257=16,300,IF(M257=17,300,IF(M257=18,170,IF(M257=19,330)))))))))))))))))))))</f>
        <v>300</v>
      </c>
      <c r="O257" s="51">
        <v>300</v>
      </c>
      <c r="P257" s="81" t="str">
        <f t="shared" ref="P257:P286" si="42">IF(M257="","",IF(O257&gt;(5*N257),"ACIMA","OK"))</f>
        <v>OK</v>
      </c>
      <c r="Q257" s="142"/>
      <c r="R257" s="76"/>
      <c r="S257" s="81" t="str">
        <f t="shared" si="37"/>
        <v/>
      </c>
      <c r="T257" s="81" t="str">
        <f t="shared" si="38"/>
        <v/>
      </c>
      <c r="U257" s="46">
        <v>44438</v>
      </c>
      <c r="V257" s="50">
        <f t="shared" si="39"/>
        <v>300</v>
      </c>
      <c r="W257" s="53">
        <f t="shared" si="40"/>
        <v>0</v>
      </c>
    </row>
    <row r="258" spans="1:23" ht="38.25" x14ac:dyDescent="0.25">
      <c r="A258" s="35" t="s">
        <v>1365</v>
      </c>
      <c r="B258" s="36">
        <v>44435</v>
      </c>
      <c r="C258" s="35" t="s">
        <v>1673</v>
      </c>
      <c r="D258" s="36" t="s">
        <v>989</v>
      </c>
      <c r="E258" s="73" t="s">
        <v>1064</v>
      </c>
      <c r="F258" s="38" t="s">
        <v>1674</v>
      </c>
      <c r="G258" s="37" t="s">
        <v>1675</v>
      </c>
      <c r="H258" s="37" t="s">
        <v>534</v>
      </c>
      <c r="I258" s="38" t="s">
        <v>1676</v>
      </c>
      <c r="J258" s="39" t="s">
        <v>1677</v>
      </c>
      <c r="K258" s="39" t="s">
        <v>16</v>
      </c>
      <c r="L258" s="39" t="s">
        <v>765</v>
      </c>
      <c r="M258" s="39">
        <v>8</v>
      </c>
      <c r="N258" s="86">
        <f t="shared" si="41"/>
        <v>370</v>
      </c>
      <c r="O258" s="41">
        <v>370</v>
      </c>
      <c r="P258" s="86" t="str">
        <f t="shared" si="42"/>
        <v>OK</v>
      </c>
      <c r="Q258" s="143"/>
      <c r="R258" s="78"/>
      <c r="S258" s="87" t="str">
        <f t="shared" si="37"/>
        <v/>
      </c>
      <c r="T258" s="87" t="str">
        <f t="shared" si="38"/>
        <v/>
      </c>
      <c r="U258" s="36">
        <v>44438</v>
      </c>
      <c r="V258" s="40">
        <f t="shared" si="39"/>
        <v>370</v>
      </c>
      <c r="W258" s="43">
        <f t="shared" si="40"/>
        <v>0</v>
      </c>
    </row>
    <row r="259" spans="1:23" ht="25.5" x14ac:dyDescent="0.25">
      <c r="A259" s="45" t="s">
        <v>1366</v>
      </c>
      <c r="B259" s="46">
        <v>44438</v>
      </c>
      <c r="C259" s="45" t="s">
        <v>1678</v>
      </c>
      <c r="D259" s="46" t="s">
        <v>501</v>
      </c>
      <c r="E259" s="72" t="s">
        <v>1072</v>
      </c>
      <c r="F259" s="48" t="s">
        <v>1679</v>
      </c>
      <c r="G259" s="47" t="s">
        <v>1680</v>
      </c>
      <c r="H259" s="47" t="s">
        <v>1681</v>
      </c>
      <c r="I259" s="48" t="s">
        <v>320</v>
      </c>
      <c r="J259" s="48" t="s">
        <v>317</v>
      </c>
      <c r="K259" s="49" t="s">
        <v>432</v>
      </c>
      <c r="L259" s="49" t="s">
        <v>480</v>
      </c>
      <c r="M259" s="49">
        <v>1</v>
      </c>
      <c r="N259" s="80">
        <f t="shared" si="41"/>
        <v>300</v>
      </c>
      <c r="O259" s="51">
        <v>300</v>
      </c>
      <c r="P259" s="81" t="str">
        <f t="shared" si="42"/>
        <v>OK</v>
      </c>
      <c r="Q259" s="142"/>
      <c r="R259" s="76"/>
      <c r="S259" s="81" t="str">
        <f t="shared" ref="S259:S286" si="43">IF(R259="","",R259/O259)</f>
        <v/>
      </c>
      <c r="T259" s="81" t="str">
        <f t="shared" ref="T259:T286" si="44">IF(S259="","",IF(S259&gt;$Z$5,"ACIMA","OK"))</f>
        <v/>
      </c>
      <c r="U259" s="46">
        <v>44438</v>
      </c>
      <c r="V259" s="50">
        <f t="shared" ref="V259:V286" si="45">IF(M259="","",O259-R259)</f>
        <v>300</v>
      </c>
      <c r="W259" s="53">
        <f t="shared" ref="W259:W286" si="46">IF(M259="","",IF(AND(M259&gt;0,U259=""),V259,O259-(R259+V259)))</f>
        <v>0</v>
      </c>
    </row>
    <row r="260" spans="1:23" ht="25.5" x14ac:dyDescent="0.25">
      <c r="A260" s="35" t="s">
        <v>1367</v>
      </c>
      <c r="B260" s="36">
        <v>44439</v>
      </c>
      <c r="C260" s="35" t="s">
        <v>1682</v>
      </c>
      <c r="D260" s="36" t="s">
        <v>659</v>
      </c>
      <c r="E260" s="73" t="s">
        <v>1073</v>
      </c>
      <c r="F260" s="38" t="s">
        <v>1683</v>
      </c>
      <c r="G260" s="37" t="s">
        <v>1684</v>
      </c>
      <c r="H260" s="37" t="s">
        <v>1685</v>
      </c>
      <c r="I260" s="38" t="s">
        <v>320</v>
      </c>
      <c r="J260" s="39" t="s">
        <v>317</v>
      </c>
      <c r="K260" s="39" t="s">
        <v>432</v>
      </c>
      <c r="L260" s="39" t="s">
        <v>480</v>
      </c>
      <c r="M260" s="39">
        <v>1</v>
      </c>
      <c r="N260" s="86">
        <f t="shared" si="41"/>
        <v>300</v>
      </c>
      <c r="O260" s="41">
        <v>300</v>
      </c>
      <c r="P260" s="86" t="str">
        <f t="shared" si="42"/>
        <v>OK</v>
      </c>
      <c r="Q260" s="143"/>
      <c r="R260" s="78"/>
      <c r="S260" s="87" t="str">
        <f t="shared" si="43"/>
        <v/>
      </c>
      <c r="T260" s="87" t="str">
        <f t="shared" si="44"/>
        <v/>
      </c>
      <c r="U260" s="36">
        <v>44440</v>
      </c>
      <c r="V260" s="40">
        <f t="shared" si="45"/>
        <v>300</v>
      </c>
      <c r="W260" s="43">
        <f t="shared" si="46"/>
        <v>0</v>
      </c>
    </row>
    <row r="261" spans="1:23" ht="25.5" x14ac:dyDescent="0.25">
      <c r="A261" s="45" t="s">
        <v>1368</v>
      </c>
      <c r="B261" s="46">
        <v>44439</v>
      </c>
      <c r="C261" s="45" t="s">
        <v>1686</v>
      </c>
      <c r="D261" s="46" t="s">
        <v>1134</v>
      </c>
      <c r="E261" s="72" t="s">
        <v>1073</v>
      </c>
      <c r="F261" s="48" t="s">
        <v>1687</v>
      </c>
      <c r="G261" s="47" t="s">
        <v>1688</v>
      </c>
      <c r="H261" s="47" t="s">
        <v>1689</v>
      </c>
      <c r="I261" s="48" t="s">
        <v>320</v>
      </c>
      <c r="J261" s="48" t="s">
        <v>317</v>
      </c>
      <c r="K261" s="49" t="s">
        <v>432</v>
      </c>
      <c r="L261" s="49" t="s">
        <v>480</v>
      </c>
      <c r="M261" s="49">
        <v>1</v>
      </c>
      <c r="N261" s="80">
        <f t="shared" si="41"/>
        <v>300</v>
      </c>
      <c r="O261" s="51">
        <v>300</v>
      </c>
      <c r="P261" s="81" t="str">
        <f t="shared" si="42"/>
        <v>OK</v>
      </c>
      <c r="Q261" s="142"/>
      <c r="R261" s="76"/>
      <c r="S261" s="81" t="str">
        <f t="shared" si="43"/>
        <v/>
      </c>
      <c r="T261" s="81" t="str">
        <f t="shared" si="44"/>
        <v/>
      </c>
      <c r="U261" s="46">
        <v>44440</v>
      </c>
      <c r="V261" s="50">
        <f t="shared" si="45"/>
        <v>300</v>
      </c>
      <c r="W261" s="53">
        <f t="shared" si="46"/>
        <v>0</v>
      </c>
    </row>
    <row r="262" spans="1:23" ht="25.5" x14ac:dyDescent="0.25">
      <c r="A262" s="35" t="s">
        <v>1369</v>
      </c>
      <c r="B262" s="36">
        <v>44439</v>
      </c>
      <c r="C262" s="35" t="s">
        <v>1690</v>
      </c>
      <c r="D262" s="36" t="s">
        <v>1134</v>
      </c>
      <c r="E262" s="73" t="s">
        <v>1073</v>
      </c>
      <c r="F262" s="38" t="s">
        <v>1691</v>
      </c>
      <c r="G262" s="37" t="s">
        <v>1692</v>
      </c>
      <c r="H262" s="37" t="s">
        <v>1303</v>
      </c>
      <c r="I262" s="38" t="s">
        <v>320</v>
      </c>
      <c r="J262" s="39" t="s">
        <v>317</v>
      </c>
      <c r="K262" s="39" t="s">
        <v>432</v>
      </c>
      <c r="L262" s="39" t="s">
        <v>480</v>
      </c>
      <c r="M262" s="39">
        <v>1</v>
      </c>
      <c r="N262" s="86">
        <f t="shared" si="41"/>
        <v>300</v>
      </c>
      <c r="O262" s="41">
        <v>300</v>
      </c>
      <c r="P262" s="86" t="str">
        <f t="shared" si="42"/>
        <v>OK</v>
      </c>
      <c r="Q262" s="143"/>
      <c r="R262" s="78"/>
      <c r="S262" s="87" t="str">
        <f t="shared" si="43"/>
        <v/>
      </c>
      <c r="T262" s="87" t="str">
        <f t="shared" si="44"/>
        <v/>
      </c>
      <c r="U262" s="36">
        <v>44440</v>
      </c>
      <c r="V262" s="40">
        <f t="shared" si="45"/>
        <v>300</v>
      </c>
      <c r="W262" s="43">
        <f t="shared" si="46"/>
        <v>0</v>
      </c>
    </row>
    <row r="263" spans="1:23" ht="25.5" x14ac:dyDescent="0.25">
      <c r="A263" s="45" t="s">
        <v>1370</v>
      </c>
      <c r="B263" s="46">
        <v>44440</v>
      </c>
      <c r="C263" s="45" t="s">
        <v>1693</v>
      </c>
      <c r="D263" s="46" t="s">
        <v>995</v>
      </c>
      <c r="E263" s="72" t="s">
        <v>1064</v>
      </c>
      <c r="F263" s="48" t="s">
        <v>1694</v>
      </c>
      <c r="G263" s="47" t="s">
        <v>1695</v>
      </c>
      <c r="H263" s="47" t="s">
        <v>1696</v>
      </c>
      <c r="I263" s="48" t="s">
        <v>1095</v>
      </c>
      <c r="J263" s="48" t="s">
        <v>1096</v>
      </c>
      <c r="K263" s="49" t="s">
        <v>39</v>
      </c>
      <c r="L263" s="49" t="s">
        <v>40</v>
      </c>
      <c r="M263" s="49">
        <v>17</v>
      </c>
      <c r="N263" s="80">
        <f t="shared" si="41"/>
        <v>300</v>
      </c>
      <c r="O263" s="51">
        <v>300</v>
      </c>
      <c r="P263" s="81" t="str">
        <f t="shared" si="42"/>
        <v>OK</v>
      </c>
      <c r="Q263" s="142"/>
      <c r="R263" s="76"/>
      <c r="S263" s="81" t="str">
        <f t="shared" si="43"/>
        <v/>
      </c>
      <c r="T263" s="81" t="str">
        <f t="shared" si="44"/>
        <v/>
      </c>
      <c r="U263" s="46">
        <v>44442</v>
      </c>
      <c r="V263" s="50">
        <f t="shared" si="45"/>
        <v>300</v>
      </c>
      <c r="W263" s="53">
        <f t="shared" si="46"/>
        <v>0</v>
      </c>
    </row>
    <row r="264" spans="1:23" ht="25.5" x14ac:dyDescent="0.25">
      <c r="A264" s="35" t="s">
        <v>1371</v>
      </c>
      <c r="B264" s="36">
        <v>44441</v>
      </c>
      <c r="C264" s="35" t="s">
        <v>1697</v>
      </c>
      <c r="D264" s="36" t="s">
        <v>1079</v>
      </c>
      <c r="E264" s="73" t="s">
        <v>980</v>
      </c>
      <c r="F264" s="38" t="s">
        <v>1698</v>
      </c>
      <c r="G264" s="37" t="s">
        <v>1699</v>
      </c>
      <c r="H264" s="37" t="s">
        <v>1700</v>
      </c>
      <c r="I264" s="38" t="s">
        <v>1434</v>
      </c>
      <c r="J264" s="39" t="s">
        <v>1701</v>
      </c>
      <c r="K264" s="39" t="s">
        <v>39</v>
      </c>
      <c r="L264" s="39" t="s">
        <v>40</v>
      </c>
      <c r="M264" s="39">
        <v>17</v>
      </c>
      <c r="N264" s="86">
        <f t="shared" si="41"/>
        <v>300</v>
      </c>
      <c r="O264" s="41">
        <v>300</v>
      </c>
      <c r="P264" s="86" t="str">
        <f t="shared" si="42"/>
        <v>OK</v>
      </c>
      <c r="Q264" s="143"/>
      <c r="R264" s="78"/>
      <c r="S264" s="87" t="str">
        <f t="shared" si="43"/>
        <v/>
      </c>
      <c r="T264" s="87" t="str">
        <f t="shared" si="44"/>
        <v/>
      </c>
      <c r="U264" s="36">
        <v>44441</v>
      </c>
      <c r="V264" s="40">
        <f t="shared" si="45"/>
        <v>300</v>
      </c>
      <c r="W264" s="43">
        <f t="shared" si="46"/>
        <v>0</v>
      </c>
    </row>
    <row r="265" spans="1:23" ht="25.5" x14ac:dyDescent="0.25">
      <c r="A265" s="45" t="s">
        <v>1372</v>
      </c>
      <c r="B265" s="46">
        <v>44441</v>
      </c>
      <c r="C265" s="45" t="s">
        <v>1702</v>
      </c>
      <c r="D265" s="46" t="s">
        <v>1079</v>
      </c>
      <c r="E265" s="72" t="s">
        <v>980</v>
      </c>
      <c r="F265" s="48" t="s">
        <v>1704</v>
      </c>
      <c r="G265" s="47" t="s">
        <v>1703</v>
      </c>
      <c r="H265" s="47" t="s">
        <v>1148</v>
      </c>
      <c r="I265" s="48" t="s">
        <v>1434</v>
      </c>
      <c r="J265" s="48" t="s">
        <v>1701</v>
      </c>
      <c r="K265" s="49" t="s">
        <v>39</v>
      </c>
      <c r="L265" s="49" t="s">
        <v>40</v>
      </c>
      <c r="M265" s="49">
        <v>17</v>
      </c>
      <c r="N265" s="80">
        <v>300</v>
      </c>
      <c r="O265" s="51">
        <v>200</v>
      </c>
      <c r="P265" s="81" t="s">
        <v>1017</v>
      </c>
      <c r="Q265" s="142"/>
      <c r="R265" s="76"/>
      <c r="S265" s="81" t="s">
        <v>415</v>
      </c>
      <c r="T265" s="81" t="s">
        <v>415</v>
      </c>
      <c r="U265" s="46">
        <v>44441</v>
      </c>
      <c r="V265" s="50">
        <f t="shared" si="45"/>
        <v>200</v>
      </c>
      <c r="W265" s="53">
        <f t="shared" si="46"/>
        <v>0</v>
      </c>
    </row>
    <row r="266" spans="1:23" ht="25.5" x14ac:dyDescent="0.25">
      <c r="A266" s="35" t="s">
        <v>1373</v>
      </c>
      <c r="B266" s="36">
        <v>44442</v>
      </c>
      <c r="C266" s="35" t="s">
        <v>1705</v>
      </c>
      <c r="D266" s="36" t="s">
        <v>466</v>
      </c>
      <c r="E266" s="73" t="s">
        <v>1070</v>
      </c>
      <c r="F266" s="38" t="s">
        <v>1706</v>
      </c>
      <c r="G266" s="37" t="s">
        <v>1707</v>
      </c>
      <c r="H266" s="37" t="s">
        <v>1708</v>
      </c>
      <c r="I266" s="38" t="s">
        <v>320</v>
      </c>
      <c r="J266" s="39" t="s">
        <v>317</v>
      </c>
      <c r="K266" s="39" t="s">
        <v>16</v>
      </c>
      <c r="L266" s="39" t="s">
        <v>27</v>
      </c>
      <c r="M266" s="39">
        <v>11</v>
      </c>
      <c r="N266" s="86">
        <f t="shared" si="41"/>
        <v>370</v>
      </c>
      <c r="O266" s="41">
        <v>370</v>
      </c>
      <c r="P266" s="86" t="str">
        <f t="shared" si="42"/>
        <v>OK</v>
      </c>
      <c r="Q266" s="143"/>
      <c r="R266" s="78"/>
      <c r="S266" s="87" t="str">
        <f t="shared" si="43"/>
        <v/>
      </c>
      <c r="T266" s="87" t="str">
        <f t="shared" si="44"/>
        <v/>
      </c>
      <c r="U266" s="36">
        <v>44444</v>
      </c>
      <c r="V266" s="40">
        <f t="shared" si="45"/>
        <v>370</v>
      </c>
      <c r="W266" s="43">
        <f t="shared" si="46"/>
        <v>0</v>
      </c>
    </row>
    <row r="267" spans="1:23" ht="38.25" x14ac:dyDescent="0.25">
      <c r="A267" s="45" t="s">
        <v>1374</v>
      </c>
      <c r="B267" s="46">
        <v>44442</v>
      </c>
      <c r="C267" s="45" t="s">
        <v>1709</v>
      </c>
      <c r="D267" s="46" t="s">
        <v>1134</v>
      </c>
      <c r="E267" s="72" t="s">
        <v>1073</v>
      </c>
      <c r="F267" s="48" t="s">
        <v>1710</v>
      </c>
      <c r="G267" s="47" t="s">
        <v>1711</v>
      </c>
      <c r="H267" s="47" t="s">
        <v>1712</v>
      </c>
      <c r="I267" s="48" t="s">
        <v>320</v>
      </c>
      <c r="J267" s="48" t="s">
        <v>317</v>
      </c>
      <c r="K267" s="49" t="s">
        <v>432</v>
      </c>
      <c r="L267" s="49" t="s">
        <v>480</v>
      </c>
      <c r="M267" s="49">
        <v>1</v>
      </c>
      <c r="N267" s="80">
        <v>370</v>
      </c>
      <c r="O267" s="51">
        <v>300</v>
      </c>
      <c r="P267" s="81" t="s">
        <v>1017</v>
      </c>
      <c r="Q267" s="142"/>
      <c r="R267" s="76"/>
      <c r="S267" s="81" t="s">
        <v>415</v>
      </c>
      <c r="T267" s="81" t="s">
        <v>415</v>
      </c>
      <c r="U267" s="46">
        <v>44444</v>
      </c>
      <c r="V267" s="50">
        <f t="shared" si="45"/>
        <v>300</v>
      </c>
      <c r="W267" s="53">
        <f t="shared" si="46"/>
        <v>0</v>
      </c>
    </row>
    <row r="268" spans="1:23" ht="51" x14ac:dyDescent="0.25">
      <c r="A268" s="35" t="s">
        <v>1375</v>
      </c>
      <c r="B268" s="36">
        <v>44442</v>
      </c>
      <c r="C268" s="35" t="s">
        <v>1713</v>
      </c>
      <c r="D268" s="36" t="s">
        <v>466</v>
      </c>
      <c r="E268" s="73" t="s">
        <v>1070</v>
      </c>
      <c r="F268" s="38" t="s">
        <v>1714</v>
      </c>
      <c r="G268" s="37" t="s">
        <v>1715</v>
      </c>
      <c r="H268" s="37" t="s">
        <v>1316</v>
      </c>
      <c r="I268" s="38" t="s">
        <v>320</v>
      </c>
      <c r="J268" s="39" t="s">
        <v>317</v>
      </c>
      <c r="K268" s="39" t="s">
        <v>16</v>
      </c>
      <c r="L268" s="39" t="s">
        <v>27</v>
      </c>
      <c r="M268" s="39">
        <v>11</v>
      </c>
      <c r="N268" s="86">
        <v>370</v>
      </c>
      <c r="O268" s="41">
        <v>370</v>
      </c>
      <c r="P268" s="86" t="s">
        <v>1017</v>
      </c>
      <c r="Q268" s="143"/>
      <c r="R268" s="78"/>
      <c r="S268" s="87" t="s">
        <v>415</v>
      </c>
      <c r="T268" s="87" t="s">
        <v>415</v>
      </c>
      <c r="U268" s="36">
        <v>44444</v>
      </c>
      <c r="V268" s="40">
        <f t="shared" si="45"/>
        <v>370</v>
      </c>
      <c r="W268" s="43">
        <f t="shared" si="46"/>
        <v>0</v>
      </c>
    </row>
    <row r="269" spans="1:23" ht="63.75" x14ac:dyDescent="0.25">
      <c r="A269" s="45" t="s">
        <v>1376</v>
      </c>
      <c r="B269" s="46">
        <v>44442</v>
      </c>
      <c r="C269" s="45" t="s">
        <v>1716</v>
      </c>
      <c r="D269" s="46" t="s">
        <v>767</v>
      </c>
      <c r="E269" s="72" t="s">
        <v>1067</v>
      </c>
      <c r="F269" s="48" t="s">
        <v>1717</v>
      </c>
      <c r="G269" s="47" t="s">
        <v>1718</v>
      </c>
      <c r="H269" s="47" t="s">
        <v>1719</v>
      </c>
      <c r="I269" s="48" t="s">
        <v>771</v>
      </c>
      <c r="J269" s="48" t="s">
        <v>1720</v>
      </c>
      <c r="K269" s="49" t="s">
        <v>31</v>
      </c>
      <c r="L269" s="49" t="s">
        <v>32</v>
      </c>
      <c r="M269" s="49">
        <v>13</v>
      </c>
      <c r="N269" s="80">
        <v>370</v>
      </c>
      <c r="O269" s="51">
        <v>370</v>
      </c>
      <c r="P269" s="81" t="s">
        <v>1017</v>
      </c>
      <c r="Q269" s="142"/>
      <c r="R269" s="76"/>
      <c r="S269" s="81" t="s">
        <v>415</v>
      </c>
      <c r="T269" s="81" t="s">
        <v>415</v>
      </c>
      <c r="U269" s="46">
        <v>44444</v>
      </c>
      <c r="V269" s="50">
        <f t="shared" si="45"/>
        <v>370</v>
      </c>
      <c r="W269" s="53">
        <f t="shared" si="46"/>
        <v>0</v>
      </c>
    </row>
    <row r="270" spans="1:23" ht="25.5" x14ac:dyDescent="0.25">
      <c r="A270" s="35" t="s">
        <v>1377</v>
      </c>
      <c r="B270" s="36">
        <v>44445</v>
      </c>
      <c r="C270" s="35" t="s">
        <v>1721</v>
      </c>
      <c r="D270" s="36" t="s">
        <v>1173</v>
      </c>
      <c r="E270" s="73" t="s">
        <v>1311</v>
      </c>
      <c r="F270" s="38" t="s">
        <v>1722</v>
      </c>
      <c r="G270" s="37" t="s">
        <v>1723</v>
      </c>
      <c r="H270" s="37" t="s">
        <v>1724</v>
      </c>
      <c r="I270" s="38" t="s">
        <v>390</v>
      </c>
      <c r="J270" s="39" t="s">
        <v>743</v>
      </c>
      <c r="K270" s="39" t="s">
        <v>31</v>
      </c>
      <c r="L270" s="39" t="s">
        <v>32</v>
      </c>
      <c r="M270" s="39">
        <v>13</v>
      </c>
      <c r="N270" s="86">
        <f t="shared" si="41"/>
        <v>370</v>
      </c>
      <c r="O270" s="41">
        <v>370</v>
      </c>
      <c r="P270" s="86" t="str">
        <f t="shared" si="42"/>
        <v>OK</v>
      </c>
      <c r="Q270" s="143"/>
      <c r="R270" s="78"/>
      <c r="S270" s="87" t="str">
        <f t="shared" si="43"/>
        <v/>
      </c>
      <c r="T270" s="87" t="str">
        <f t="shared" si="44"/>
        <v/>
      </c>
      <c r="U270" s="36">
        <v>44446</v>
      </c>
      <c r="V270" s="40">
        <f t="shared" si="45"/>
        <v>370</v>
      </c>
      <c r="W270" s="43">
        <f t="shared" si="46"/>
        <v>0</v>
      </c>
    </row>
    <row r="271" spans="1:23" ht="25.5" x14ac:dyDescent="0.25">
      <c r="A271" s="45" t="s">
        <v>1378</v>
      </c>
      <c r="B271" s="46">
        <v>44274</v>
      </c>
      <c r="C271" s="45" t="s">
        <v>1725</v>
      </c>
      <c r="D271" s="72" t="s">
        <v>1804</v>
      </c>
      <c r="E271" s="72" t="s">
        <v>1726</v>
      </c>
      <c r="F271" s="48" t="s">
        <v>1727</v>
      </c>
      <c r="G271" s="47" t="s">
        <v>1728</v>
      </c>
      <c r="H271" s="47" t="s">
        <v>437</v>
      </c>
      <c r="I271" s="48" t="s">
        <v>1729</v>
      </c>
      <c r="J271" s="48" t="s">
        <v>2167</v>
      </c>
      <c r="K271" s="49" t="s">
        <v>31</v>
      </c>
      <c r="L271" s="49" t="s">
        <v>1413</v>
      </c>
      <c r="M271" s="49">
        <v>15</v>
      </c>
      <c r="N271" s="80">
        <f t="shared" si="41"/>
        <v>370</v>
      </c>
      <c r="O271" s="51">
        <v>300</v>
      </c>
      <c r="P271" s="81" t="str">
        <f t="shared" si="42"/>
        <v>OK</v>
      </c>
      <c r="Q271" s="142"/>
      <c r="R271" s="76"/>
      <c r="S271" s="81" t="str">
        <f t="shared" si="43"/>
        <v/>
      </c>
      <c r="T271" s="81" t="str">
        <f t="shared" si="44"/>
        <v/>
      </c>
      <c r="U271" s="46">
        <v>44448</v>
      </c>
      <c r="V271" s="50">
        <f t="shared" si="45"/>
        <v>300</v>
      </c>
      <c r="W271" s="53">
        <f t="shared" si="46"/>
        <v>0</v>
      </c>
    </row>
    <row r="272" spans="1:23" ht="25.5" x14ac:dyDescent="0.25">
      <c r="A272" s="35" t="s">
        <v>1379</v>
      </c>
      <c r="B272" s="36">
        <v>44449</v>
      </c>
      <c r="C272" s="35" t="s">
        <v>1730</v>
      </c>
      <c r="D272" s="36" t="s">
        <v>501</v>
      </c>
      <c r="E272" s="73" t="s">
        <v>1072</v>
      </c>
      <c r="F272" s="38" t="s">
        <v>1731</v>
      </c>
      <c r="G272" s="37" t="s">
        <v>1732</v>
      </c>
      <c r="H272" s="37" t="s">
        <v>1658</v>
      </c>
      <c r="I272" s="38" t="s">
        <v>320</v>
      </c>
      <c r="J272" s="39" t="s">
        <v>317</v>
      </c>
      <c r="K272" s="39" t="s">
        <v>432</v>
      </c>
      <c r="L272" s="39" t="s">
        <v>480</v>
      </c>
      <c r="M272" s="39">
        <v>1</v>
      </c>
      <c r="N272" s="86">
        <f t="shared" si="41"/>
        <v>300</v>
      </c>
      <c r="O272" s="41">
        <v>300</v>
      </c>
      <c r="P272" s="86" t="str">
        <f t="shared" si="42"/>
        <v>OK</v>
      </c>
      <c r="Q272" s="143"/>
      <c r="R272" s="78"/>
      <c r="S272" s="87" t="str">
        <f t="shared" si="43"/>
        <v/>
      </c>
      <c r="T272" s="87" t="str">
        <f t="shared" si="44"/>
        <v/>
      </c>
      <c r="U272" s="36">
        <v>44452</v>
      </c>
      <c r="V272" s="40">
        <f t="shared" si="45"/>
        <v>300</v>
      </c>
      <c r="W272" s="43">
        <f t="shared" si="46"/>
        <v>0</v>
      </c>
    </row>
    <row r="273" spans="1:23" ht="25.5" x14ac:dyDescent="0.25">
      <c r="A273" s="45" t="s">
        <v>1380</v>
      </c>
      <c r="B273" s="46">
        <v>44449</v>
      </c>
      <c r="C273" s="45" t="s">
        <v>1736</v>
      </c>
      <c r="D273" s="46" t="s">
        <v>1134</v>
      </c>
      <c r="E273" s="72" t="s">
        <v>1073</v>
      </c>
      <c r="F273" s="48" t="s">
        <v>1733</v>
      </c>
      <c r="G273" s="47" t="s">
        <v>1734</v>
      </c>
      <c r="H273" s="47" t="s">
        <v>1735</v>
      </c>
      <c r="I273" s="48" t="s">
        <v>320</v>
      </c>
      <c r="J273" s="48" t="s">
        <v>317</v>
      </c>
      <c r="K273" s="49" t="s">
        <v>432</v>
      </c>
      <c r="L273" s="49" t="s">
        <v>480</v>
      </c>
      <c r="M273" s="49">
        <v>1</v>
      </c>
      <c r="N273" s="80">
        <f t="shared" si="41"/>
        <v>300</v>
      </c>
      <c r="O273" s="51">
        <v>300</v>
      </c>
      <c r="P273" s="81" t="str">
        <f t="shared" si="42"/>
        <v>OK</v>
      </c>
      <c r="Q273" s="142"/>
      <c r="R273" s="76"/>
      <c r="S273" s="81" t="str">
        <f t="shared" si="43"/>
        <v/>
      </c>
      <c r="T273" s="81" t="str">
        <f t="shared" si="44"/>
        <v/>
      </c>
      <c r="U273" s="46">
        <v>44452</v>
      </c>
      <c r="V273" s="50">
        <f t="shared" si="45"/>
        <v>300</v>
      </c>
      <c r="W273" s="53">
        <f t="shared" si="46"/>
        <v>0</v>
      </c>
    </row>
    <row r="274" spans="1:23" ht="38.25" x14ac:dyDescent="0.25">
      <c r="A274" s="35" t="s">
        <v>1381</v>
      </c>
      <c r="B274" s="36">
        <v>44369</v>
      </c>
      <c r="C274" s="35" t="s">
        <v>1737</v>
      </c>
      <c r="D274" s="36" t="s">
        <v>501</v>
      </c>
      <c r="E274" s="73" t="s">
        <v>1072</v>
      </c>
      <c r="F274" s="38" t="s">
        <v>1738</v>
      </c>
      <c r="G274" s="37" t="s">
        <v>1739</v>
      </c>
      <c r="H274" s="37" t="s">
        <v>1740</v>
      </c>
      <c r="I274" s="38" t="s">
        <v>320</v>
      </c>
      <c r="J274" s="39" t="s">
        <v>317</v>
      </c>
      <c r="K274" s="39" t="s">
        <v>432</v>
      </c>
      <c r="L274" s="39" t="s">
        <v>480</v>
      </c>
      <c r="M274" s="39">
        <v>1</v>
      </c>
      <c r="N274" s="86">
        <v>300</v>
      </c>
      <c r="O274" s="41">
        <v>1000</v>
      </c>
      <c r="P274" s="86" t="s">
        <v>1017</v>
      </c>
      <c r="Q274" s="143"/>
      <c r="R274" s="78"/>
      <c r="S274" s="87" t="s">
        <v>415</v>
      </c>
      <c r="T274" s="87" t="s">
        <v>415</v>
      </c>
      <c r="U274" s="36">
        <v>44449</v>
      </c>
      <c r="V274" s="40">
        <f t="shared" si="45"/>
        <v>1000</v>
      </c>
      <c r="W274" s="43">
        <f t="shared" si="46"/>
        <v>0</v>
      </c>
    </row>
    <row r="275" spans="1:23" ht="25.5" x14ac:dyDescent="0.25">
      <c r="A275" s="45" t="s">
        <v>1382</v>
      </c>
      <c r="B275" s="46">
        <v>43691</v>
      </c>
      <c r="C275" s="45" t="s">
        <v>1741</v>
      </c>
      <c r="D275" s="46" t="s">
        <v>868</v>
      </c>
      <c r="E275" s="72" t="s">
        <v>1070</v>
      </c>
      <c r="F275" s="48" t="s">
        <v>1742</v>
      </c>
      <c r="G275" s="47" t="s">
        <v>1743</v>
      </c>
      <c r="H275" s="47" t="s">
        <v>1744</v>
      </c>
      <c r="I275" s="48" t="s">
        <v>320</v>
      </c>
      <c r="J275" s="48" t="s">
        <v>317</v>
      </c>
      <c r="K275" s="49" t="s">
        <v>16</v>
      </c>
      <c r="L275" s="49" t="s">
        <v>27</v>
      </c>
      <c r="M275" s="49">
        <v>11</v>
      </c>
      <c r="N275" s="80">
        <f t="shared" si="41"/>
        <v>370</v>
      </c>
      <c r="O275" s="51">
        <v>622</v>
      </c>
      <c r="P275" s="81" t="str">
        <f t="shared" si="42"/>
        <v>OK</v>
      </c>
      <c r="Q275" s="142"/>
      <c r="R275" s="76"/>
      <c r="S275" s="81" t="str">
        <f t="shared" si="43"/>
        <v/>
      </c>
      <c r="T275" s="81" t="str">
        <f t="shared" si="44"/>
        <v/>
      </c>
      <c r="U275" s="46">
        <v>44449</v>
      </c>
      <c r="V275" s="50">
        <f t="shared" si="45"/>
        <v>622</v>
      </c>
      <c r="W275" s="53">
        <f t="shared" si="46"/>
        <v>0</v>
      </c>
    </row>
    <row r="276" spans="1:23" ht="25.5" x14ac:dyDescent="0.25">
      <c r="A276" s="35" t="s">
        <v>1383</v>
      </c>
      <c r="B276" s="36">
        <v>44452</v>
      </c>
      <c r="C276" s="35" t="s">
        <v>1745</v>
      </c>
      <c r="D276" s="36" t="s">
        <v>659</v>
      </c>
      <c r="E276" s="73" t="s">
        <v>1073</v>
      </c>
      <c r="F276" s="38" t="s">
        <v>1746</v>
      </c>
      <c r="G276" s="37" t="s">
        <v>1747</v>
      </c>
      <c r="H276" s="37" t="s">
        <v>987</v>
      </c>
      <c r="I276" s="38" t="s">
        <v>320</v>
      </c>
      <c r="J276" s="39" t="s">
        <v>317</v>
      </c>
      <c r="K276" s="39" t="s">
        <v>16</v>
      </c>
      <c r="L276" s="39" t="s">
        <v>27</v>
      </c>
      <c r="M276" s="39">
        <v>11</v>
      </c>
      <c r="N276" s="86">
        <f t="shared" si="41"/>
        <v>370</v>
      </c>
      <c r="O276" s="41">
        <v>370</v>
      </c>
      <c r="P276" s="86" t="str">
        <f t="shared" si="42"/>
        <v>OK</v>
      </c>
      <c r="Q276" s="143"/>
      <c r="R276" s="78"/>
      <c r="S276" s="87" t="str">
        <f t="shared" si="43"/>
        <v/>
      </c>
      <c r="T276" s="87" t="str">
        <f t="shared" si="44"/>
        <v/>
      </c>
      <c r="U276" s="36">
        <v>44453</v>
      </c>
      <c r="V276" s="40">
        <f t="shared" si="45"/>
        <v>370</v>
      </c>
      <c r="W276" s="43">
        <f t="shared" si="46"/>
        <v>0</v>
      </c>
    </row>
    <row r="277" spans="1:23" ht="25.5" x14ac:dyDescent="0.25">
      <c r="A277" s="45" t="s">
        <v>1384</v>
      </c>
      <c r="B277" s="46">
        <v>44456</v>
      </c>
      <c r="C277" s="45" t="s">
        <v>1748</v>
      </c>
      <c r="D277" s="46" t="s">
        <v>1134</v>
      </c>
      <c r="E277" s="72" t="s">
        <v>1073</v>
      </c>
      <c r="F277" s="48" t="s">
        <v>1749</v>
      </c>
      <c r="G277" s="47" t="s">
        <v>1750</v>
      </c>
      <c r="H277" s="47" t="s">
        <v>1751</v>
      </c>
      <c r="I277" s="48" t="s">
        <v>320</v>
      </c>
      <c r="J277" s="48" t="s">
        <v>317</v>
      </c>
      <c r="K277" s="49" t="s">
        <v>432</v>
      </c>
      <c r="L277" s="49" t="s">
        <v>480</v>
      </c>
      <c r="M277" s="49">
        <v>1</v>
      </c>
      <c r="N277" s="80">
        <f t="shared" si="41"/>
        <v>300</v>
      </c>
      <c r="O277" s="51">
        <v>300</v>
      </c>
      <c r="P277" s="81" t="str">
        <f t="shared" si="42"/>
        <v>OK</v>
      </c>
      <c r="Q277" s="142"/>
      <c r="R277" s="76"/>
      <c r="S277" s="81" t="str">
        <f t="shared" si="43"/>
        <v/>
      </c>
      <c r="T277" s="81" t="str">
        <f t="shared" si="44"/>
        <v/>
      </c>
      <c r="U277" s="46">
        <v>44456</v>
      </c>
      <c r="V277" s="50">
        <f t="shared" si="45"/>
        <v>300</v>
      </c>
      <c r="W277" s="53">
        <f t="shared" si="46"/>
        <v>0</v>
      </c>
    </row>
    <row r="278" spans="1:23" ht="25.5" x14ac:dyDescent="0.25">
      <c r="A278" s="35" t="s">
        <v>1385</v>
      </c>
      <c r="B278" s="36">
        <v>44456</v>
      </c>
      <c r="C278" s="35" t="s">
        <v>1752</v>
      </c>
      <c r="D278" s="36" t="s">
        <v>659</v>
      </c>
      <c r="E278" s="73" t="s">
        <v>1073</v>
      </c>
      <c r="F278" s="38" t="s">
        <v>1755</v>
      </c>
      <c r="G278" s="37" t="s">
        <v>1753</v>
      </c>
      <c r="H278" s="37" t="s">
        <v>1754</v>
      </c>
      <c r="I278" s="38" t="s">
        <v>320</v>
      </c>
      <c r="J278" s="39" t="s">
        <v>317</v>
      </c>
      <c r="K278" s="39" t="s">
        <v>16</v>
      </c>
      <c r="L278" s="39" t="s">
        <v>765</v>
      </c>
      <c r="M278" s="39">
        <v>8</v>
      </c>
      <c r="N278" s="86">
        <f t="shared" si="41"/>
        <v>370</v>
      </c>
      <c r="O278" s="41">
        <v>370</v>
      </c>
      <c r="P278" s="86" t="str">
        <f t="shared" si="42"/>
        <v>OK</v>
      </c>
      <c r="Q278" s="143"/>
      <c r="R278" s="78"/>
      <c r="S278" s="87" t="str">
        <f t="shared" si="43"/>
        <v/>
      </c>
      <c r="T278" s="87" t="str">
        <f t="shared" si="44"/>
        <v/>
      </c>
      <c r="U278" s="36">
        <v>44456</v>
      </c>
      <c r="V278" s="40">
        <f t="shared" si="45"/>
        <v>370</v>
      </c>
      <c r="W278" s="43">
        <f t="shared" si="46"/>
        <v>0</v>
      </c>
    </row>
    <row r="279" spans="1:23" ht="25.5" x14ac:dyDescent="0.25">
      <c r="A279" s="45" t="s">
        <v>1386</v>
      </c>
      <c r="B279" s="46">
        <v>44459</v>
      </c>
      <c r="C279" s="45" t="s">
        <v>1756</v>
      </c>
      <c r="D279" s="46" t="s">
        <v>1079</v>
      </c>
      <c r="E279" s="72" t="s">
        <v>980</v>
      </c>
      <c r="F279" s="48" t="s">
        <v>1757</v>
      </c>
      <c r="G279" s="47" t="s">
        <v>1758</v>
      </c>
      <c r="H279" s="47" t="s">
        <v>1759</v>
      </c>
      <c r="I279" s="48" t="s">
        <v>1434</v>
      </c>
      <c r="J279" s="48" t="s">
        <v>1435</v>
      </c>
      <c r="K279" s="49" t="s">
        <v>39</v>
      </c>
      <c r="L279" s="49" t="s">
        <v>40</v>
      </c>
      <c r="M279" s="49">
        <v>17</v>
      </c>
      <c r="N279" s="80">
        <f t="shared" si="41"/>
        <v>300</v>
      </c>
      <c r="O279" s="51">
        <v>300</v>
      </c>
      <c r="P279" s="81" t="str">
        <f t="shared" si="42"/>
        <v>OK</v>
      </c>
      <c r="Q279" s="142"/>
      <c r="R279" s="76"/>
      <c r="S279" s="81" t="str">
        <f t="shared" si="43"/>
        <v/>
      </c>
      <c r="T279" s="81" t="str">
        <f t="shared" si="44"/>
        <v/>
      </c>
      <c r="U279" s="46">
        <v>44459</v>
      </c>
      <c r="V279" s="50">
        <f t="shared" si="45"/>
        <v>300</v>
      </c>
      <c r="W279" s="53">
        <f t="shared" si="46"/>
        <v>0</v>
      </c>
    </row>
    <row r="280" spans="1:23" ht="25.5" x14ac:dyDescent="0.25">
      <c r="A280" s="35" t="s">
        <v>1387</v>
      </c>
      <c r="B280" s="36">
        <v>44459</v>
      </c>
      <c r="C280" s="35" t="s">
        <v>1760</v>
      </c>
      <c r="D280" s="36" t="s">
        <v>1079</v>
      </c>
      <c r="E280" s="73" t="s">
        <v>980</v>
      </c>
      <c r="F280" s="38" t="s">
        <v>1761</v>
      </c>
      <c r="G280" s="37" t="s">
        <v>1762</v>
      </c>
      <c r="H280" s="37" t="s">
        <v>1148</v>
      </c>
      <c r="I280" s="38" t="s">
        <v>1434</v>
      </c>
      <c r="J280" s="39" t="s">
        <v>1435</v>
      </c>
      <c r="K280" s="39" t="s">
        <v>39</v>
      </c>
      <c r="L280" s="39" t="s">
        <v>40</v>
      </c>
      <c r="M280" s="39">
        <v>17</v>
      </c>
      <c r="N280" s="86">
        <f t="shared" si="41"/>
        <v>300</v>
      </c>
      <c r="O280" s="41">
        <v>200</v>
      </c>
      <c r="P280" s="86" t="str">
        <f t="shared" si="42"/>
        <v>OK</v>
      </c>
      <c r="Q280" s="143"/>
      <c r="R280" s="78"/>
      <c r="S280" s="87" t="str">
        <f t="shared" si="43"/>
        <v/>
      </c>
      <c r="T280" s="87" t="str">
        <f t="shared" si="44"/>
        <v/>
      </c>
      <c r="U280" s="36">
        <v>44459</v>
      </c>
      <c r="V280" s="40">
        <f t="shared" si="45"/>
        <v>200</v>
      </c>
      <c r="W280" s="43">
        <f t="shared" si="46"/>
        <v>0</v>
      </c>
    </row>
    <row r="281" spans="1:23" ht="25.5" x14ac:dyDescent="0.25">
      <c r="A281" s="45" t="s">
        <v>1388</v>
      </c>
      <c r="B281" s="46">
        <v>44460</v>
      </c>
      <c r="C281" s="45" t="s">
        <v>1763</v>
      </c>
      <c r="D281" s="46" t="s">
        <v>659</v>
      </c>
      <c r="E281" s="72" t="s">
        <v>1073</v>
      </c>
      <c r="F281" s="48" t="s">
        <v>1764</v>
      </c>
      <c r="G281" s="47" t="s">
        <v>1765</v>
      </c>
      <c r="H281" s="47" t="s">
        <v>870</v>
      </c>
      <c r="I281" s="48" t="s">
        <v>320</v>
      </c>
      <c r="J281" s="48" t="s">
        <v>317</v>
      </c>
      <c r="K281" s="49" t="s">
        <v>432</v>
      </c>
      <c r="L281" s="49" t="s">
        <v>480</v>
      </c>
      <c r="M281" s="49">
        <v>1</v>
      </c>
      <c r="N281" s="80">
        <v>300</v>
      </c>
      <c r="O281" s="51">
        <v>250</v>
      </c>
      <c r="P281" s="81" t="str">
        <f t="shared" si="42"/>
        <v>OK</v>
      </c>
      <c r="Q281" s="142"/>
      <c r="R281" s="76"/>
      <c r="S281" s="81" t="str">
        <f t="shared" si="43"/>
        <v/>
      </c>
      <c r="T281" s="81" t="str">
        <f t="shared" si="44"/>
        <v/>
      </c>
      <c r="U281" s="46">
        <v>44460</v>
      </c>
      <c r="V281" s="50">
        <f t="shared" si="45"/>
        <v>250</v>
      </c>
      <c r="W281" s="53">
        <f t="shared" si="46"/>
        <v>0</v>
      </c>
    </row>
    <row r="282" spans="1:23" ht="25.5" x14ac:dyDescent="0.25">
      <c r="A282" s="35" t="s">
        <v>1389</v>
      </c>
      <c r="B282" s="36">
        <v>44280</v>
      </c>
      <c r="C282" s="35" t="s">
        <v>1766</v>
      </c>
      <c r="D282" s="36" t="s">
        <v>868</v>
      </c>
      <c r="E282" s="73" t="s">
        <v>1070</v>
      </c>
      <c r="F282" s="38" t="s">
        <v>1767</v>
      </c>
      <c r="G282" s="37" t="s">
        <v>1256</v>
      </c>
      <c r="H282" s="37" t="s">
        <v>1768</v>
      </c>
      <c r="I282" s="38" t="s">
        <v>320</v>
      </c>
      <c r="J282" s="39" t="s">
        <v>317</v>
      </c>
      <c r="K282" s="39" t="s">
        <v>16</v>
      </c>
      <c r="L282" s="39" t="s">
        <v>27</v>
      </c>
      <c r="M282" s="39">
        <v>11</v>
      </c>
      <c r="N282" s="86">
        <v>370</v>
      </c>
      <c r="O282" s="41">
        <v>370</v>
      </c>
      <c r="P282" s="86" t="str">
        <f t="shared" si="42"/>
        <v>OK</v>
      </c>
      <c r="Q282" s="143"/>
      <c r="R282" s="78"/>
      <c r="S282" s="87" t="str">
        <f t="shared" si="43"/>
        <v/>
      </c>
      <c r="T282" s="87" t="str">
        <f t="shared" si="44"/>
        <v/>
      </c>
      <c r="U282" s="36">
        <v>44461</v>
      </c>
      <c r="V282" s="40">
        <f t="shared" si="45"/>
        <v>370</v>
      </c>
      <c r="W282" s="43">
        <f t="shared" si="46"/>
        <v>0</v>
      </c>
    </row>
    <row r="283" spans="1:23" ht="25.5" x14ac:dyDescent="0.25">
      <c r="A283" s="45" t="s">
        <v>1390</v>
      </c>
      <c r="B283" s="46">
        <v>44461</v>
      </c>
      <c r="C283" s="45" t="s">
        <v>1769</v>
      </c>
      <c r="D283" s="46" t="s">
        <v>1770</v>
      </c>
      <c r="E283" s="72" t="s">
        <v>1771</v>
      </c>
      <c r="F283" s="48" t="s">
        <v>1772</v>
      </c>
      <c r="G283" s="47" t="s">
        <v>1773</v>
      </c>
      <c r="H283" s="47" t="s">
        <v>1774</v>
      </c>
      <c r="I283" s="48" t="s">
        <v>1153</v>
      </c>
      <c r="J283" s="48" t="s">
        <v>1781</v>
      </c>
      <c r="K283" s="49" t="s">
        <v>5</v>
      </c>
      <c r="L283" s="49" t="s">
        <v>8</v>
      </c>
      <c r="M283" s="49">
        <v>2</v>
      </c>
      <c r="N283" s="80">
        <f t="shared" si="41"/>
        <v>370</v>
      </c>
      <c r="O283" s="51">
        <v>370</v>
      </c>
      <c r="P283" s="81" t="str">
        <f t="shared" si="42"/>
        <v>OK</v>
      </c>
      <c r="Q283" s="142"/>
      <c r="R283" s="76"/>
      <c r="S283" s="81" t="str">
        <f t="shared" si="43"/>
        <v/>
      </c>
      <c r="T283" s="81" t="str">
        <f t="shared" si="44"/>
        <v/>
      </c>
      <c r="U283" s="46">
        <v>44462</v>
      </c>
      <c r="V283" s="50">
        <f t="shared" si="45"/>
        <v>370</v>
      </c>
      <c r="W283" s="53">
        <f t="shared" si="46"/>
        <v>0</v>
      </c>
    </row>
    <row r="284" spans="1:23" ht="25.5" x14ac:dyDescent="0.25">
      <c r="A284" s="35" t="s">
        <v>1391</v>
      </c>
      <c r="B284" s="36">
        <v>44461</v>
      </c>
      <c r="C284" s="35" t="s">
        <v>1775</v>
      </c>
      <c r="D284" s="36" t="s">
        <v>1134</v>
      </c>
      <c r="E284" s="73" t="s">
        <v>1073</v>
      </c>
      <c r="F284" s="38" t="s">
        <v>1776</v>
      </c>
      <c r="G284" s="37" t="s">
        <v>1750</v>
      </c>
      <c r="H284" s="37" t="s">
        <v>870</v>
      </c>
      <c r="I284" s="38" t="s">
        <v>320</v>
      </c>
      <c r="J284" s="39" t="s">
        <v>317</v>
      </c>
      <c r="K284" s="39" t="s">
        <v>432</v>
      </c>
      <c r="L284" s="39" t="s">
        <v>480</v>
      </c>
      <c r="M284" s="39">
        <v>1</v>
      </c>
      <c r="N284" s="86">
        <f t="shared" si="41"/>
        <v>300</v>
      </c>
      <c r="O284" s="41">
        <v>300</v>
      </c>
      <c r="P284" s="86" t="str">
        <f t="shared" si="42"/>
        <v>OK</v>
      </c>
      <c r="Q284" s="143"/>
      <c r="R284" s="78"/>
      <c r="S284" s="87" t="str">
        <f t="shared" si="43"/>
        <v/>
      </c>
      <c r="T284" s="87" t="str">
        <f t="shared" si="44"/>
        <v/>
      </c>
      <c r="U284" s="36">
        <v>44462</v>
      </c>
      <c r="V284" s="40">
        <f t="shared" si="45"/>
        <v>300</v>
      </c>
      <c r="W284" s="43">
        <f t="shared" si="46"/>
        <v>0</v>
      </c>
    </row>
    <row r="285" spans="1:23" ht="38.25" x14ac:dyDescent="0.25">
      <c r="A285" s="45" t="s">
        <v>1392</v>
      </c>
      <c r="B285" s="46">
        <v>44461</v>
      </c>
      <c r="C285" s="45" t="s">
        <v>1777</v>
      </c>
      <c r="D285" s="46" t="s">
        <v>1134</v>
      </c>
      <c r="E285" s="72" t="s">
        <v>1073</v>
      </c>
      <c r="F285" s="48" t="s">
        <v>1778</v>
      </c>
      <c r="G285" s="47" t="s">
        <v>1502</v>
      </c>
      <c r="H285" s="47" t="s">
        <v>1782</v>
      </c>
      <c r="I285" s="48" t="s">
        <v>320</v>
      </c>
      <c r="J285" s="48" t="s">
        <v>317</v>
      </c>
      <c r="K285" s="49" t="s">
        <v>432</v>
      </c>
      <c r="L285" s="49" t="s">
        <v>480</v>
      </c>
      <c r="M285" s="49">
        <v>1</v>
      </c>
      <c r="N285" s="80">
        <f t="shared" si="41"/>
        <v>300</v>
      </c>
      <c r="O285" s="51">
        <v>300</v>
      </c>
      <c r="P285" s="81" t="str">
        <f t="shared" si="42"/>
        <v>OK</v>
      </c>
      <c r="Q285" s="142"/>
      <c r="R285" s="76"/>
      <c r="S285" s="81" t="str">
        <f t="shared" si="43"/>
        <v/>
      </c>
      <c r="T285" s="81" t="str">
        <f t="shared" si="44"/>
        <v/>
      </c>
      <c r="U285" s="46">
        <v>44462</v>
      </c>
      <c r="V285" s="50">
        <f t="shared" si="45"/>
        <v>300</v>
      </c>
      <c r="W285" s="53">
        <f t="shared" si="46"/>
        <v>0</v>
      </c>
    </row>
    <row r="286" spans="1:23" ht="25.5" x14ac:dyDescent="0.25">
      <c r="A286" s="35" t="s">
        <v>1393</v>
      </c>
      <c r="B286" s="36">
        <v>44439</v>
      </c>
      <c r="C286" s="35" t="s">
        <v>1779</v>
      </c>
      <c r="D286" s="36" t="s">
        <v>1134</v>
      </c>
      <c r="E286" s="73" t="s">
        <v>1073</v>
      </c>
      <c r="F286" s="38" t="s">
        <v>1780</v>
      </c>
      <c r="G286" s="37" t="s">
        <v>1783</v>
      </c>
      <c r="H286" s="37" t="s">
        <v>1303</v>
      </c>
      <c r="I286" s="38" t="s">
        <v>320</v>
      </c>
      <c r="J286" s="39" t="s">
        <v>317</v>
      </c>
      <c r="K286" s="39" t="s">
        <v>432</v>
      </c>
      <c r="L286" s="39" t="s">
        <v>480</v>
      </c>
      <c r="M286" s="39">
        <v>1</v>
      </c>
      <c r="N286" s="86">
        <f t="shared" si="41"/>
        <v>300</v>
      </c>
      <c r="O286" s="41">
        <v>300</v>
      </c>
      <c r="P286" s="86" t="str">
        <f t="shared" si="42"/>
        <v>OK</v>
      </c>
      <c r="Q286" s="143"/>
      <c r="R286" s="78"/>
      <c r="S286" s="87" t="str">
        <f t="shared" si="43"/>
        <v/>
      </c>
      <c r="T286" s="87" t="str">
        <f t="shared" si="44"/>
        <v/>
      </c>
      <c r="U286" s="36">
        <v>44462</v>
      </c>
      <c r="V286" s="40">
        <f t="shared" si="45"/>
        <v>300</v>
      </c>
      <c r="W286" s="43">
        <f t="shared" si="46"/>
        <v>0</v>
      </c>
    </row>
    <row r="287" spans="1:23" ht="38.25" x14ac:dyDescent="0.25">
      <c r="A287" s="45" t="s">
        <v>1394</v>
      </c>
      <c r="B287" s="46">
        <v>44470</v>
      </c>
      <c r="C287" s="45" t="s">
        <v>1784</v>
      </c>
      <c r="D287" s="46" t="s">
        <v>1785</v>
      </c>
      <c r="E287" s="72" t="s">
        <v>1786</v>
      </c>
      <c r="F287" s="48" t="s">
        <v>1787</v>
      </c>
      <c r="G287" s="47" t="s">
        <v>1788</v>
      </c>
      <c r="H287" s="47" t="s">
        <v>1143</v>
      </c>
      <c r="I287" s="48" t="s">
        <v>320</v>
      </c>
      <c r="J287" s="48" t="s">
        <v>317</v>
      </c>
      <c r="K287" s="49" t="s">
        <v>432</v>
      </c>
      <c r="L287" s="49" t="s">
        <v>480</v>
      </c>
      <c r="M287" s="49">
        <v>1</v>
      </c>
      <c r="N287" s="80">
        <f t="shared" ref="N287:N299" si="47">IF(M287="","",IF(M287=1,300,IF(M287=2,370,IF(M287=3,630,IF(M287=4,830,IF(M287=5,370,IF(M287=6,430,IF(M287=7,530,IF(M287=8,370,IF(M287=9,700,IF(M287=10,870,IF(M287=11,370,IF(M287=12,370,IF(M287=13,370,IF(M287=13,370,IF(M287=14,370,IF(M287=15,370,IF(M287=16,300,IF(M287=17,300,IF(M287=18,170,IF(M287=19,330)))))))))))))))))))))</f>
        <v>300</v>
      </c>
      <c r="O287" s="51">
        <v>370</v>
      </c>
      <c r="P287" s="81" t="str">
        <f t="shared" ref="P287:P299" si="48">IF(M287="","",IF(O287&gt;(5*N287),"ACIMA","OK"))</f>
        <v>OK</v>
      </c>
      <c r="Q287" s="142"/>
      <c r="R287" s="76"/>
      <c r="S287" s="81" t="str">
        <f t="shared" ref="S287:S299" si="49">IF(R287="","",R287/O287)</f>
        <v/>
      </c>
      <c r="T287" s="81" t="str">
        <f t="shared" ref="T287:T299" si="50">IF(S287="","",IF(S287&gt;$Z$5,"ACIMA","OK"))</f>
        <v/>
      </c>
      <c r="U287" s="46">
        <v>44512</v>
      </c>
      <c r="V287" s="50">
        <f t="shared" ref="V287:V299" si="51">IF(M287="","",O287-R287)</f>
        <v>370</v>
      </c>
      <c r="W287" s="53">
        <f t="shared" ref="W287:W299" si="52">IF(M287="","",IF(AND(M287&gt;0,U287=""),V287,O287-(R287+V287)))</f>
        <v>0</v>
      </c>
    </row>
    <row r="288" spans="1:23" ht="25.5" x14ac:dyDescent="0.25">
      <c r="A288" s="35" t="s">
        <v>1395</v>
      </c>
      <c r="B288" s="36">
        <v>44329</v>
      </c>
      <c r="C288" s="35" t="s">
        <v>1789</v>
      </c>
      <c r="D288" s="36" t="s">
        <v>1790</v>
      </c>
      <c r="E288" s="73" t="s">
        <v>1069</v>
      </c>
      <c r="F288" s="38" t="s">
        <v>1791</v>
      </c>
      <c r="G288" s="37" t="s">
        <v>1792</v>
      </c>
      <c r="H288" s="37" t="s">
        <v>1744</v>
      </c>
      <c r="I288" s="38" t="s">
        <v>1793</v>
      </c>
      <c r="J288" s="39"/>
      <c r="K288" s="39" t="s">
        <v>31</v>
      </c>
      <c r="L288" s="39" t="s">
        <v>1794</v>
      </c>
      <c r="M288" s="39">
        <v>15</v>
      </c>
      <c r="N288" s="86">
        <f t="shared" si="47"/>
        <v>370</v>
      </c>
      <c r="O288" s="41">
        <v>370</v>
      </c>
      <c r="P288" s="86" t="str">
        <f t="shared" si="48"/>
        <v>OK</v>
      </c>
      <c r="Q288" s="143"/>
      <c r="R288" s="78"/>
      <c r="S288" s="87" t="str">
        <f t="shared" si="49"/>
        <v/>
      </c>
      <c r="T288" s="87" t="str">
        <f t="shared" si="50"/>
        <v/>
      </c>
      <c r="U288" s="36">
        <v>44474</v>
      </c>
      <c r="V288" s="40">
        <f t="shared" si="51"/>
        <v>370</v>
      </c>
      <c r="W288" s="43">
        <f t="shared" si="52"/>
        <v>0</v>
      </c>
    </row>
    <row r="289" spans="1:23" ht="38.25" x14ac:dyDescent="0.25">
      <c r="A289" s="45" t="s">
        <v>1396</v>
      </c>
      <c r="B289" s="46">
        <v>44393</v>
      </c>
      <c r="C289" s="45" t="s">
        <v>1795</v>
      </c>
      <c r="D289" s="46" t="s">
        <v>1079</v>
      </c>
      <c r="E289" s="72" t="s">
        <v>980</v>
      </c>
      <c r="F289" s="48" t="s">
        <v>1796</v>
      </c>
      <c r="G289" s="47" t="s">
        <v>1797</v>
      </c>
      <c r="H289" s="47" t="s">
        <v>1798</v>
      </c>
      <c r="I289" s="48" t="s">
        <v>970</v>
      </c>
      <c r="J289" s="48" t="s">
        <v>1107</v>
      </c>
      <c r="K289" s="49" t="s">
        <v>39</v>
      </c>
      <c r="L289" s="49" t="s">
        <v>40</v>
      </c>
      <c r="M289" s="49">
        <v>17</v>
      </c>
      <c r="N289" s="80">
        <f t="shared" si="47"/>
        <v>300</v>
      </c>
      <c r="O289" s="51">
        <v>300</v>
      </c>
      <c r="P289" s="81" t="str">
        <f t="shared" si="48"/>
        <v>OK</v>
      </c>
      <c r="Q289" s="142"/>
      <c r="R289" s="76"/>
      <c r="S289" s="81" t="str">
        <f t="shared" si="49"/>
        <v/>
      </c>
      <c r="T289" s="81" t="str">
        <f t="shared" si="50"/>
        <v/>
      </c>
      <c r="U289" s="46">
        <v>44475</v>
      </c>
      <c r="V289" s="50">
        <f t="shared" si="51"/>
        <v>300</v>
      </c>
      <c r="W289" s="53">
        <f t="shared" si="52"/>
        <v>0</v>
      </c>
    </row>
    <row r="290" spans="1:23" ht="38.25" x14ac:dyDescent="0.25">
      <c r="A290" s="35" t="s">
        <v>1397</v>
      </c>
      <c r="B290" s="36">
        <v>44411</v>
      </c>
      <c r="C290" s="35" t="s">
        <v>1799</v>
      </c>
      <c r="D290" s="36" t="s">
        <v>1079</v>
      </c>
      <c r="E290" s="73" t="s">
        <v>980</v>
      </c>
      <c r="F290" s="38" t="s">
        <v>1800</v>
      </c>
      <c r="G290" s="37" t="s">
        <v>1801</v>
      </c>
      <c r="H290" s="37" t="s">
        <v>1802</v>
      </c>
      <c r="I290" s="38" t="s">
        <v>1112</v>
      </c>
      <c r="J290" s="39" t="s">
        <v>1113</v>
      </c>
      <c r="K290" s="39" t="s">
        <v>39</v>
      </c>
      <c r="L290" s="39" t="s">
        <v>40</v>
      </c>
      <c r="M290" s="39">
        <v>17</v>
      </c>
      <c r="N290" s="86">
        <f t="shared" si="47"/>
        <v>300</v>
      </c>
      <c r="O290" s="41">
        <v>300</v>
      </c>
      <c r="P290" s="86" t="str">
        <f t="shared" si="48"/>
        <v>OK</v>
      </c>
      <c r="Q290" s="143"/>
      <c r="R290" s="78"/>
      <c r="S290" s="87" t="str">
        <f t="shared" si="49"/>
        <v/>
      </c>
      <c r="T290" s="87" t="str">
        <f t="shared" si="50"/>
        <v/>
      </c>
      <c r="U290" s="36">
        <v>44475</v>
      </c>
      <c r="V290" s="40">
        <f t="shared" si="51"/>
        <v>300</v>
      </c>
      <c r="W290" s="43">
        <f t="shared" si="52"/>
        <v>0</v>
      </c>
    </row>
    <row r="291" spans="1:23" ht="25.5" x14ac:dyDescent="0.25">
      <c r="A291" s="45" t="s">
        <v>1398</v>
      </c>
      <c r="B291" s="46">
        <v>44474</v>
      </c>
      <c r="C291" s="45" t="s">
        <v>1803</v>
      </c>
      <c r="D291" s="46" t="s">
        <v>1804</v>
      </c>
      <c r="E291" s="72" t="s">
        <v>1726</v>
      </c>
      <c r="F291" s="48" t="s">
        <v>1805</v>
      </c>
      <c r="G291" s="47" t="s">
        <v>1806</v>
      </c>
      <c r="H291" s="47" t="s">
        <v>1807</v>
      </c>
      <c r="I291" s="48" t="s">
        <v>1808</v>
      </c>
      <c r="J291" s="48" t="s">
        <v>1809</v>
      </c>
      <c r="K291" s="49" t="s">
        <v>31</v>
      </c>
      <c r="L291" s="49" t="s">
        <v>32</v>
      </c>
      <c r="M291" s="49">
        <v>13</v>
      </c>
      <c r="N291" s="80">
        <f t="shared" si="47"/>
        <v>370</v>
      </c>
      <c r="O291" s="51">
        <v>370</v>
      </c>
      <c r="P291" s="81" t="str">
        <f t="shared" si="48"/>
        <v>OK</v>
      </c>
      <c r="Q291" s="142"/>
      <c r="R291" s="76"/>
      <c r="S291" s="81" t="str">
        <f t="shared" si="49"/>
        <v/>
      </c>
      <c r="T291" s="81" t="str">
        <f t="shared" si="50"/>
        <v/>
      </c>
      <c r="U291" s="46">
        <v>44476</v>
      </c>
      <c r="V291" s="50">
        <f t="shared" si="51"/>
        <v>370</v>
      </c>
      <c r="W291" s="53">
        <f t="shared" si="52"/>
        <v>0</v>
      </c>
    </row>
    <row r="292" spans="1:23" ht="25.5" x14ac:dyDescent="0.25">
      <c r="A292" s="35" t="s">
        <v>1399</v>
      </c>
      <c r="B292" s="36">
        <v>44476</v>
      </c>
      <c r="C292" s="35" t="s">
        <v>1810</v>
      </c>
      <c r="D292" s="36" t="s">
        <v>1811</v>
      </c>
      <c r="E292" s="73" t="s">
        <v>1812</v>
      </c>
      <c r="F292" s="38" t="s">
        <v>1813</v>
      </c>
      <c r="G292" s="37" t="s">
        <v>1814</v>
      </c>
      <c r="H292" s="37" t="s">
        <v>1148</v>
      </c>
      <c r="I292" s="38" t="s">
        <v>1815</v>
      </c>
      <c r="J292" s="39"/>
      <c r="K292" s="39" t="s">
        <v>31</v>
      </c>
      <c r="L292" s="39" t="s">
        <v>1413</v>
      </c>
      <c r="M292" s="39">
        <v>15</v>
      </c>
      <c r="N292" s="86">
        <f t="shared" si="47"/>
        <v>370</v>
      </c>
      <c r="O292" s="41">
        <v>370</v>
      </c>
      <c r="P292" s="86" t="str">
        <f t="shared" si="48"/>
        <v>OK</v>
      </c>
      <c r="Q292" s="143"/>
      <c r="R292" s="78"/>
      <c r="S292" s="87" t="str">
        <f t="shared" si="49"/>
        <v/>
      </c>
      <c r="T292" s="87" t="str">
        <f t="shared" si="50"/>
        <v/>
      </c>
      <c r="U292" s="36">
        <v>44476</v>
      </c>
      <c r="V292" s="40">
        <f t="shared" si="51"/>
        <v>370</v>
      </c>
      <c r="W292" s="43">
        <f t="shared" si="52"/>
        <v>0</v>
      </c>
    </row>
    <row r="293" spans="1:23" ht="38.25" x14ac:dyDescent="0.25">
      <c r="A293" s="45" t="s">
        <v>1400</v>
      </c>
      <c r="B293" s="46">
        <v>44448</v>
      </c>
      <c r="C293" s="45" t="s">
        <v>1816</v>
      </c>
      <c r="D293" s="46" t="s">
        <v>1532</v>
      </c>
      <c r="E293" s="72" t="s">
        <v>1064</v>
      </c>
      <c r="F293" s="48" t="s">
        <v>1825</v>
      </c>
      <c r="G293" s="47" t="s">
        <v>1826</v>
      </c>
      <c r="H293" s="47" t="s">
        <v>1996</v>
      </c>
      <c r="I293" s="48" t="s">
        <v>2042</v>
      </c>
      <c r="J293" s="48" t="s">
        <v>1536</v>
      </c>
      <c r="K293" s="49" t="s">
        <v>5</v>
      </c>
      <c r="L293" s="49" t="s">
        <v>8</v>
      </c>
      <c r="M293" s="49">
        <v>2</v>
      </c>
      <c r="N293" s="80">
        <f t="shared" si="47"/>
        <v>370</v>
      </c>
      <c r="O293" s="51">
        <v>900</v>
      </c>
      <c r="P293" s="81" t="str">
        <f t="shared" si="48"/>
        <v>OK</v>
      </c>
      <c r="Q293" s="142"/>
      <c r="R293" s="76"/>
      <c r="S293" s="81" t="str">
        <f t="shared" si="49"/>
        <v/>
      </c>
      <c r="T293" s="81" t="str">
        <f t="shared" si="50"/>
        <v/>
      </c>
      <c r="U293" s="46">
        <v>44477</v>
      </c>
      <c r="V293" s="50">
        <f t="shared" si="51"/>
        <v>900</v>
      </c>
      <c r="W293" s="53">
        <f t="shared" si="52"/>
        <v>0</v>
      </c>
    </row>
    <row r="294" spans="1:23" ht="51" x14ac:dyDescent="0.25">
      <c r="A294" s="35" t="s">
        <v>1401</v>
      </c>
      <c r="B294" s="36">
        <v>44445</v>
      </c>
      <c r="C294" s="35" t="s">
        <v>1817</v>
      </c>
      <c r="D294" s="36" t="s">
        <v>1997</v>
      </c>
      <c r="E294" s="73" t="s">
        <v>1064</v>
      </c>
      <c r="F294" s="38" t="s">
        <v>1824</v>
      </c>
      <c r="G294" s="37" t="s">
        <v>1998</v>
      </c>
      <c r="H294" s="37" t="s">
        <v>1999</v>
      </c>
      <c r="I294" s="38" t="s">
        <v>2000</v>
      </c>
      <c r="J294" s="39"/>
      <c r="K294" s="39" t="s">
        <v>31</v>
      </c>
      <c r="L294" s="39" t="s">
        <v>1413</v>
      </c>
      <c r="M294" s="39">
        <v>15</v>
      </c>
      <c r="N294" s="86">
        <f t="shared" si="47"/>
        <v>370</v>
      </c>
      <c r="O294" s="41">
        <v>740</v>
      </c>
      <c r="P294" s="86" t="str">
        <f t="shared" si="48"/>
        <v>OK</v>
      </c>
      <c r="Q294" s="143"/>
      <c r="R294" s="78"/>
      <c r="S294" s="87" t="str">
        <f t="shared" si="49"/>
        <v/>
      </c>
      <c r="T294" s="87" t="str">
        <f t="shared" si="50"/>
        <v/>
      </c>
      <c r="U294" s="36">
        <v>44477</v>
      </c>
      <c r="V294" s="40">
        <f t="shared" si="51"/>
        <v>740</v>
      </c>
      <c r="W294" s="43">
        <f t="shared" si="52"/>
        <v>0</v>
      </c>
    </row>
    <row r="295" spans="1:23" ht="38.25" x14ac:dyDescent="0.25">
      <c r="A295" s="45" t="s">
        <v>1402</v>
      </c>
      <c r="B295" s="46">
        <v>44427</v>
      </c>
      <c r="C295" s="45" t="s">
        <v>1818</v>
      </c>
      <c r="D295" s="46" t="s">
        <v>995</v>
      </c>
      <c r="E295" s="72" t="s">
        <v>1064</v>
      </c>
      <c r="F295" s="48" t="s">
        <v>1823</v>
      </c>
      <c r="G295" s="47" t="s">
        <v>2001</v>
      </c>
      <c r="H295" s="47" t="s">
        <v>2002</v>
      </c>
      <c r="I295" s="48" t="s">
        <v>1095</v>
      </c>
      <c r="J295" s="48" t="s">
        <v>2003</v>
      </c>
      <c r="K295" s="49" t="s">
        <v>39</v>
      </c>
      <c r="L295" s="49" t="s">
        <v>40</v>
      </c>
      <c r="M295" s="49">
        <v>17</v>
      </c>
      <c r="N295" s="80">
        <f t="shared" si="47"/>
        <v>300</v>
      </c>
      <c r="O295" s="51">
        <v>1500</v>
      </c>
      <c r="P295" s="81" t="str">
        <f t="shared" si="48"/>
        <v>OK</v>
      </c>
      <c r="Q295" s="142"/>
      <c r="R295" s="76"/>
      <c r="S295" s="81" t="str">
        <f t="shared" si="49"/>
        <v/>
      </c>
      <c r="T295" s="81" t="str">
        <f t="shared" si="50"/>
        <v/>
      </c>
      <c r="U295" s="46">
        <v>44477</v>
      </c>
      <c r="V295" s="50">
        <f t="shared" si="51"/>
        <v>1500</v>
      </c>
      <c r="W295" s="53">
        <f t="shared" si="52"/>
        <v>0</v>
      </c>
    </row>
    <row r="296" spans="1:23" ht="25.5" x14ac:dyDescent="0.25">
      <c r="A296" s="35" t="s">
        <v>1403</v>
      </c>
      <c r="B296" s="36">
        <v>44455</v>
      </c>
      <c r="C296" s="35" t="s">
        <v>1819</v>
      </c>
      <c r="D296" s="36" t="s">
        <v>1785</v>
      </c>
      <c r="E296" s="73" t="s">
        <v>1786</v>
      </c>
      <c r="F296" s="38" t="s">
        <v>1822</v>
      </c>
      <c r="G296" s="37" t="s">
        <v>2004</v>
      </c>
      <c r="H296" s="37" t="s">
        <v>2005</v>
      </c>
      <c r="I296" s="38" t="s">
        <v>2006</v>
      </c>
      <c r="J296" s="39" t="s">
        <v>2007</v>
      </c>
      <c r="K296" s="39" t="s">
        <v>16</v>
      </c>
      <c r="L296" s="39" t="s">
        <v>765</v>
      </c>
      <c r="M296" s="39">
        <v>8</v>
      </c>
      <c r="N296" s="86">
        <f t="shared" si="47"/>
        <v>370</v>
      </c>
      <c r="O296" s="41">
        <v>1500</v>
      </c>
      <c r="P296" s="86" t="str">
        <f t="shared" si="48"/>
        <v>OK</v>
      </c>
      <c r="Q296" s="143"/>
      <c r="R296" s="78"/>
      <c r="S296" s="87" t="str">
        <f t="shared" si="49"/>
        <v/>
      </c>
      <c r="T296" s="87" t="str">
        <f t="shared" si="50"/>
        <v/>
      </c>
      <c r="U296" s="36">
        <v>44477</v>
      </c>
      <c r="V296" s="40">
        <f t="shared" si="51"/>
        <v>1500</v>
      </c>
      <c r="W296" s="43">
        <f t="shared" si="52"/>
        <v>0</v>
      </c>
    </row>
    <row r="297" spans="1:23" ht="38.25" x14ac:dyDescent="0.25">
      <c r="A297" s="45" t="s">
        <v>1404</v>
      </c>
      <c r="B297" s="46">
        <v>44253</v>
      </c>
      <c r="C297" s="45" t="s">
        <v>1820</v>
      </c>
      <c r="D297" s="46" t="s">
        <v>1077</v>
      </c>
      <c r="E297" s="72" t="s">
        <v>979</v>
      </c>
      <c r="F297" s="48" t="s">
        <v>1821</v>
      </c>
      <c r="G297" s="47" t="s">
        <v>2008</v>
      </c>
      <c r="H297" s="47" t="s">
        <v>2009</v>
      </c>
      <c r="I297" s="48" t="s">
        <v>724</v>
      </c>
      <c r="J297" s="48" t="s">
        <v>2010</v>
      </c>
      <c r="K297" s="49" t="s">
        <v>31</v>
      </c>
      <c r="L297" s="49" t="s">
        <v>1413</v>
      </c>
      <c r="M297" s="49">
        <v>15</v>
      </c>
      <c r="N297" s="80">
        <f t="shared" si="47"/>
        <v>370</v>
      </c>
      <c r="O297" s="51">
        <v>400</v>
      </c>
      <c r="P297" s="81" t="str">
        <f t="shared" si="48"/>
        <v>OK</v>
      </c>
      <c r="Q297" s="142"/>
      <c r="R297" s="76"/>
      <c r="S297" s="81" t="str">
        <f t="shared" si="49"/>
        <v/>
      </c>
      <c r="T297" s="81" t="str">
        <f t="shared" si="50"/>
        <v/>
      </c>
      <c r="U297" s="46">
        <v>44477</v>
      </c>
      <c r="V297" s="50">
        <f t="shared" si="51"/>
        <v>400</v>
      </c>
      <c r="W297" s="53">
        <f t="shared" si="52"/>
        <v>0</v>
      </c>
    </row>
    <row r="298" spans="1:23" ht="38.25" x14ac:dyDescent="0.25">
      <c r="A298" s="35" t="s">
        <v>1405</v>
      </c>
      <c r="B298" s="36">
        <v>44246</v>
      </c>
      <c r="C298" s="35" t="s">
        <v>1975</v>
      </c>
      <c r="D298" s="36" t="s">
        <v>991</v>
      </c>
      <c r="E298" s="73" t="s">
        <v>1064</v>
      </c>
      <c r="F298" s="38" t="s">
        <v>1976</v>
      </c>
      <c r="G298" s="37" t="s">
        <v>2011</v>
      </c>
      <c r="H298" s="37" t="s">
        <v>2012</v>
      </c>
      <c r="I298" s="38" t="s">
        <v>2013</v>
      </c>
      <c r="J298" s="39"/>
      <c r="K298" s="39" t="s">
        <v>16</v>
      </c>
      <c r="L298" s="39" t="s">
        <v>765</v>
      </c>
      <c r="M298" s="39">
        <v>8</v>
      </c>
      <c r="N298" s="86">
        <f t="shared" si="47"/>
        <v>370</v>
      </c>
      <c r="O298" s="41">
        <v>1500</v>
      </c>
      <c r="P298" s="86" t="str">
        <f t="shared" si="48"/>
        <v>OK</v>
      </c>
      <c r="Q298" s="143"/>
      <c r="R298" s="78"/>
      <c r="S298" s="87" t="str">
        <f t="shared" si="49"/>
        <v/>
      </c>
      <c r="T298" s="87" t="str">
        <f t="shared" si="50"/>
        <v/>
      </c>
      <c r="U298" s="36">
        <v>44477</v>
      </c>
      <c r="V298" s="40">
        <f>IF(M298="","",O298-R298)</f>
        <v>1500</v>
      </c>
      <c r="W298" s="43">
        <f>IF(M298="","",IF(AND(M298&gt;0,U298=""),V298,O298-(R298+V298)))</f>
        <v>0</v>
      </c>
    </row>
    <row r="299" spans="1:23" ht="38.25" x14ac:dyDescent="0.25">
      <c r="A299" s="45" t="s">
        <v>1406</v>
      </c>
      <c r="B299" s="46">
        <v>44449</v>
      </c>
      <c r="C299" s="45" t="s">
        <v>1977</v>
      </c>
      <c r="D299" s="46" t="s">
        <v>1008</v>
      </c>
      <c r="E299" s="72" t="s">
        <v>1080</v>
      </c>
      <c r="F299" s="48" t="s">
        <v>1978</v>
      </c>
      <c r="G299" s="47" t="s">
        <v>2014</v>
      </c>
      <c r="H299" s="47" t="s">
        <v>1658</v>
      </c>
      <c r="I299" s="48" t="s">
        <v>2015</v>
      </c>
      <c r="J299" s="48" t="s">
        <v>2016</v>
      </c>
      <c r="K299" s="49" t="s">
        <v>432</v>
      </c>
      <c r="L299" s="49" t="s">
        <v>480</v>
      </c>
      <c r="M299" s="49">
        <v>1</v>
      </c>
      <c r="N299" s="80">
        <f t="shared" si="47"/>
        <v>300</v>
      </c>
      <c r="O299" s="51">
        <v>1500</v>
      </c>
      <c r="P299" s="81" t="str">
        <f t="shared" si="48"/>
        <v>OK</v>
      </c>
      <c r="Q299" s="142"/>
      <c r="R299" s="76"/>
      <c r="S299" s="81" t="str">
        <f t="shared" si="49"/>
        <v/>
      </c>
      <c r="T299" s="81" t="str">
        <f t="shared" si="50"/>
        <v/>
      </c>
      <c r="U299" s="46">
        <v>44477</v>
      </c>
      <c r="V299" s="50">
        <f t="shared" si="51"/>
        <v>1500</v>
      </c>
      <c r="W299" s="53">
        <f t="shared" si="52"/>
        <v>0</v>
      </c>
    </row>
    <row r="300" spans="1:23" ht="38.25" x14ac:dyDescent="0.25">
      <c r="A300" s="35" t="s">
        <v>1407</v>
      </c>
      <c r="B300" s="36">
        <v>44426</v>
      </c>
      <c r="C300" s="35" t="s">
        <v>1979</v>
      </c>
      <c r="D300" s="36" t="s">
        <v>1134</v>
      </c>
      <c r="E300" s="73" t="s">
        <v>1073</v>
      </c>
      <c r="F300" s="38" t="s">
        <v>1980</v>
      </c>
      <c r="G300" s="37" t="s">
        <v>2017</v>
      </c>
      <c r="H300" s="37" t="s">
        <v>504</v>
      </c>
      <c r="I300" s="38" t="s">
        <v>320</v>
      </c>
      <c r="J300" s="39" t="s">
        <v>317</v>
      </c>
      <c r="K300" s="39" t="s">
        <v>432</v>
      </c>
      <c r="L300" s="39" t="s">
        <v>480</v>
      </c>
      <c r="M300" s="39">
        <v>1</v>
      </c>
      <c r="N300" s="86">
        <f t="shared" ref="N300:N307" si="53">IF(M300="","",IF(M300=1,300,IF(M300=2,370,IF(M300=3,630,IF(M300=4,830,IF(M300=5,370,IF(M300=6,430,IF(M300=7,530,IF(M300=8,370,IF(M300=9,700,IF(M300=10,870,IF(M300=11,370,IF(M300=12,370,IF(M300=13,370,IF(M300=13,370,IF(M300=14,370,IF(M300=15,370,IF(M300=16,300,IF(M300=17,300,IF(M300=18,170,IF(M300=19,330)))))))))))))))))))))</f>
        <v>300</v>
      </c>
      <c r="O300" s="41">
        <v>370</v>
      </c>
      <c r="P300" s="86" t="str">
        <f t="shared" ref="P300:P307" si="54">IF(M300="","",IF(O300&gt;(5*N300),"ACIMA","OK"))</f>
        <v>OK</v>
      </c>
      <c r="Q300" s="143"/>
      <c r="R300" s="78"/>
      <c r="S300" s="87" t="str">
        <f t="shared" ref="S300:S307" si="55">IF(R300="","",R300/O300)</f>
        <v/>
      </c>
      <c r="T300" s="87" t="str">
        <f t="shared" ref="T300:T307" si="56">IF(S300="","",IF(S300&gt;$Z$5,"ACIMA","OK"))</f>
        <v/>
      </c>
      <c r="U300" s="36">
        <v>44477</v>
      </c>
      <c r="V300" s="40">
        <f t="shared" ref="V300:V307" si="57">IF(M300="","",O300-R300)</f>
        <v>370</v>
      </c>
      <c r="W300" s="43">
        <f t="shared" ref="W300:W307" si="58">IF(M300="","",IF(AND(M300&gt;0,U300=""),V300,O300-(R300+V300)))</f>
        <v>0</v>
      </c>
    </row>
    <row r="301" spans="1:23" ht="25.5" x14ac:dyDescent="0.25">
      <c r="A301" s="45" t="s">
        <v>1408</v>
      </c>
      <c r="B301" s="46">
        <v>44434</v>
      </c>
      <c r="C301" s="45" t="s">
        <v>1981</v>
      </c>
      <c r="D301" s="46" t="s">
        <v>1134</v>
      </c>
      <c r="E301" s="72" t="s">
        <v>1073</v>
      </c>
      <c r="F301" s="48" t="s">
        <v>1982</v>
      </c>
      <c r="G301" s="47" t="s">
        <v>2018</v>
      </c>
      <c r="H301" s="47" t="s">
        <v>2019</v>
      </c>
      <c r="I301" s="48" t="s">
        <v>320</v>
      </c>
      <c r="J301" s="48" t="s">
        <v>317</v>
      </c>
      <c r="K301" s="49" t="s">
        <v>432</v>
      </c>
      <c r="L301" s="49" t="s">
        <v>480</v>
      </c>
      <c r="M301" s="49">
        <v>1</v>
      </c>
      <c r="N301" s="80">
        <f t="shared" si="53"/>
        <v>300</v>
      </c>
      <c r="O301" s="51">
        <v>370</v>
      </c>
      <c r="P301" s="81" t="str">
        <f t="shared" si="54"/>
        <v>OK</v>
      </c>
      <c r="Q301" s="142"/>
      <c r="R301" s="76"/>
      <c r="S301" s="81" t="str">
        <f t="shared" si="55"/>
        <v/>
      </c>
      <c r="T301" s="81" t="str">
        <f t="shared" si="56"/>
        <v/>
      </c>
      <c r="U301" s="46">
        <v>44477</v>
      </c>
      <c r="V301" s="50">
        <f t="shared" si="57"/>
        <v>370</v>
      </c>
      <c r="W301" s="53">
        <f t="shared" si="58"/>
        <v>0</v>
      </c>
    </row>
    <row r="302" spans="1:23" ht="25.5" x14ac:dyDescent="0.25">
      <c r="A302" s="35" t="s">
        <v>1409</v>
      </c>
      <c r="B302" s="36">
        <v>44364</v>
      </c>
      <c r="C302" s="35" t="s">
        <v>1983</v>
      </c>
      <c r="D302" s="36" t="s">
        <v>802</v>
      </c>
      <c r="E302" s="73" t="s">
        <v>1068</v>
      </c>
      <c r="F302" s="38" t="s">
        <v>1984</v>
      </c>
      <c r="G302" s="37" t="s">
        <v>2020</v>
      </c>
      <c r="H302" s="37" t="s">
        <v>437</v>
      </c>
      <c r="I302" s="38" t="s">
        <v>806</v>
      </c>
      <c r="J302" s="39" t="s">
        <v>807</v>
      </c>
      <c r="K302" s="39" t="s">
        <v>31</v>
      </c>
      <c r="L302" s="39" t="s">
        <v>29</v>
      </c>
      <c r="M302" s="39">
        <v>15</v>
      </c>
      <c r="N302" s="86">
        <f t="shared" si="53"/>
        <v>370</v>
      </c>
      <c r="O302" s="41">
        <v>600</v>
      </c>
      <c r="P302" s="86" t="str">
        <f t="shared" si="54"/>
        <v>OK</v>
      </c>
      <c r="Q302" s="143"/>
      <c r="R302" s="78"/>
      <c r="S302" s="87" t="str">
        <f t="shared" si="55"/>
        <v/>
      </c>
      <c r="T302" s="87" t="str">
        <f t="shared" si="56"/>
        <v/>
      </c>
      <c r="U302" s="36">
        <v>44477</v>
      </c>
      <c r="V302" s="40">
        <f t="shared" si="57"/>
        <v>600</v>
      </c>
      <c r="W302" s="43">
        <f t="shared" si="58"/>
        <v>0</v>
      </c>
    </row>
    <row r="303" spans="1:23" ht="25.5" x14ac:dyDescent="0.25">
      <c r="A303" s="45" t="s">
        <v>1410</v>
      </c>
      <c r="B303" s="46">
        <v>44428</v>
      </c>
      <c r="C303" s="45" t="s">
        <v>1985</v>
      </c>
      <c r="D303" s="46" t="s">
        <v>2021</v>
      </c>
      <c r="E303" s="72" t="s">
        <v>1080</v>
      </c>
      <c r="F303" s="48" t="s">
        <v>1986</v>
      </c>
      <c r="G303" s="47" t="s">
        <v>2022</v>
      </c>
      <c r="H303" s="47" t="s">
        <v>2023</v>
      </c>
      <c r="I303" s="48" t="s">
        <v>2024</v>
      </c>
      <c r="J303" s="48" t="s">
        <v>2025</v>
      </c>
      <c r="K303" s="49" t="s">
        <v>16</v>
      </c>
      <c r="L303" s="49" t="s">
        <v>29</v>
      </c>
      <c r="M303" s="49">
        <v>12</v>
      </c>
      <c r="N303" s="80">
        <f t="shared" si="53"/>
        <v>370</v>
      </c>
      <c r="O303" s="51">
        <v>1100</v>
      </c>
      <c r="P303" s="81" t="str">
        <f t="shared" si="54"/>
        <v>OK</v>
      </c>
      <c r="Q303" s="142"/>
      <c r="R303" s="76"/>
      <c r="S303" s="81" t="str">
        <f t="shared" si="55"/>
        <v/>
      </c>
      <c r="T303" s="81" t="str">
        <f t="shared" si="56"/>
        <v/>
      </c>
      <c r="U303" s="46">
        <v>44477</v>
      </c>
      <c r="V303" s="50">
        <f t="shared" si="57"/>
        <v>1100</v>
      </c>
      <c r="W303" s="53">
        <f t="shared" si="58"/>
        <v>0</v>
      </c>
    </row>
    <row r="304" spans="1:23" ht="38.25" x14ac:dyDescent="0.25">
      <c r="A304" s="35" t="s">
        <v>1411</v>
      </c>
      <c r="B304" s="36">
        <v>44433</v>
      </c>
      <c r="C304" s="35" t="s">
        <v>1987</v>
      </c>
      <c r="D304" s="36" t="s">
        <v>1078</v>
      </c>
      <c r="E304" s="73" t="s">
        <v>981</v>
      </c>
      <c r="F304" s="38" t="s">
        <v>1988</v>
      </c>
      <c r="G304" s="37" t="s">
        <v>2026</v>
      </c>
      <c r="H304" s="37" t="s">
        <v>2027</v>
      </c>
      <c r="I304" s="38" t="s">
        <v>758</v>
      </c>
      <c r="J304" s="39" t="s">
        <v>754</v>
      </c>
      <c r="K304" s="39" t="s">
        <v>31</v>
      </c>
      <c r="L304" s="39" t="s">
        <v>29</v>
      </c>
      <c r="M304" s="39">
        <v>15</v>
      </c>
      <c r="N304" s="86">
        <f t="shared" si="53"/>
        <v>370</v>
      </c>
      <c r="O304" s="41">
        <v>500</v>
      </c>
      <c r="P304" s="86" t="str">
        <f t="shared" si="54"/>
        <v>OK</v>
      </c>
      <c r="Q304" s="143"/>
      <c r="R304" s="78"/>
      <c r="S304" s="87" t="str">
        <f t="shared" si="55"/>
        <v/>
      </c>
      <c r="T304" s="87" t="str">
        <f t="shared" si="56"/>
        <v/>
      </c>
      <c r="U304" s="36">
        <v>44477</v>
      </c>
      <c r="V304" s="40">
        <f t="shared" si="57"/>
        <v>500</v>
      </c>
      <c r="W304" s="43">
        <f t="shared" si="58"/>
        <v>0</v>
      </c>
    </row>
    <row r="305" spans="1:23" ht="38.25" x14ac:dyDescent="0.25">
      <c r="A305" s="45" t="s">
        <v>1827</v>
      </c>
      <c r="B305" s="46">
        <v>44468</v>
      </c>
      <c r="C305" s="45" t="s">
        <v>1989</v>
      </c>
      <c r="D305" s="46" t="s">
        <v>1006</v>
      </c>
      <c r="E305" s="72" t="s">
        <v>1064</v>
      </c>
      <c r="F305" s="48" t="s">
        <v>1990</v>
      </c>
      <c r="G305" s="47" t="s">
        <v>2028</v>
      </c>
      <c r="H305" s="47" t="s">
        <v>2029</v>
      </c>
      <c r="I305" s="48" t="s">
        <v>2030</v>
      </c>
      <c r="J305" s="48" t="s">
        <v>2031</v>
      </c>
      <c r="K305" s="49" t="s">
        <v>16</v>
      </c>
      <c r="L305" s="49" t="s">
        <v>17</v>
      </c>
      <c r="M305" s="49">
        <v>6</v>
      </c>
      <c r="N305" s="80">
        <f t="shared" si="53"/>
        <v>430</v>
      </c>
      <c r="O305" s="51">
        <v>660</v>
      </c>
      <c r="P305" s="81" t="str">
        <f t="shared" si="54"/>
        <v>OK</v>
      </c>
      <c r="Q305" s="142"/>
      <c r="R305" s="76"/>
      <c r="S305" s="81" t="str">
        <f t="shared" si="55"/>
        <v/>
      </c>
      <c r="T305" s="81" t="str">
        <f t="shared" si="56"/>
        <v/>
      </c>
      <c r="U305" s="46">
        <v>44477</v>
      </c>
      <c r="V305" s="50">
        <f t="shared" si="57"/>
        <v>660</v>
      </c>
      <c r="W305" s="53">
        <f t="shared" si="58"/>
        <v>0</v>
      </c>
    </row>
    <row r="306" spans="1:23" ht="38.25" x14ac:dyDescent="0.25">
      <c r="A306" s="35" t="s">
        <v>1828</v>
      </c>
      <c r="B306" s="36">
        <v>44477</v>
      </c>
      <c r="C306" s="35" t="s">
        <v>1991</v>
      </c>
      <c r="D306" s="36" t="s">
        <v>1079</v>
      </c>
      <c r="E306" s="73" t="s">
        <v>980</v>
      </c>
      <c r="F306" s="38" t="s">
        <v>1992</v>
      </c>
      <c r="G306" s="37" t="s">
        <v>2032</v>
      </c>
      <c r="H306" s="37" t="s">
        <v>1148</v>
      </c>
      <c r="I306" s="38" t="s">
        <v>1653</v>
      </c>
      <c r="J306" s="39" t="s">
        <v>1654</v>
      </c>
      <c r="K306" s="39" t="s">
        <v>39</v>
      </c>
      <c r="L306" s="39" t="s">
        <v>40</v>
      </c>
      <c r="M306" s="39">
        <v>17</v>
      </c>
      <c r="N306" s="86">
        <f t="shared" si="53"/>
        <v>300</v>
      </c>
      <c r="O306" s="41">
        <v>200</v>
      </c>
      <c r="P306" s="86" t="str">
        <f t="shared" si="54"/>
        <v>OK</v>
      </c>
      <c r="Q306" s="143"/>
      <c r="R306" s="78"/>
      <c r="S306" s="87" t="str">
        <f t="shared" si="55"/>
        <v/>
      </c>
      <c r="T306" s="87" t="str">
        <f t="shared" si="56"/>
        <v/>
      </c>
      <c r="U306" s="36">
        <v>44477</v>
      </c>
      <c r="V306" s="40">
        <f t="shared" si="57"/>
        <v>200</v>
      </c>
      <c r="W306" s="43">
        <f t="shared" si="58"/>
        <v>0</v>
      </c>
    </row>
    <row r="307" spans="1:23" ht="25.5" x14ac:dyDescent="0.25">
      <c r="A307" s="45" t="s">
        <v>1829</v>
      </c>
      <c r="B307" s="46">
        <v>44477</v>
      </c>
      <c r="C307" s="45" t="s">
        <v>1993</v>
      </c>
      <c r="D307" s="46" t="s">
        <v>1079</v>
      </c>
      <c r="E307" s="72" t="s">
        <v>980</v>
      </c>
      <c r="F307" s="48" t="s">
        <v>1994</v>
      </c>
      <c r="G307" s="47" t="s">
        <v>2033</v>
      </c>
      <c r="H307" s="47" t="s">
        <v>2034</v>
      </c>
      <c r="I307" s="48" t="s">
        <v>1434</v>
      </c>
      <c r="J307" s="48" t="s">
        <v>1435</v>
      </c>
      <c r="K307" s="49" t="s">
        <v>39</v>
      </c>
      <c r="L307" s="49" t="s">
        <v>40</v>
      </c>
      <c r="M307" s="49">
        <v>17</v>
      </c>
      <c r="N307" s="80">
        <f t="shared" si="53"/>
        <v>300</v>
      </c>
      <c r="O307" s="51">
        <v>300</v>
      </c>
      <c r="P307" s="81" t="str">
        <f t="shared" si="54"/>
        <v>OK</v>
      </c>
      <c r="Q307" s="142"/>
      <c r="R307" s="76"/>
      <c r="S307" s="81" t="str">
        <f t="shared" si="55"/>
        <v/>
      </c>
      <c r="T307" s="81" t="str">
        <f t="shared" si="56"/>
        <v/>
      </c>
      <c r="U307" s="46">
        <v>44477</v>
      </c>
      <c r="V307" s="50">
        <f t="shared" si="57"/>
        <v>300</v>
      </c>
      <c r="W307" s="53">
        <f t="shared" si="58"/>
        <v>0</v>
      </c>
    </row>
    <row r="308" spans="1:23" ht="38.25" x14ac:dyDescent="0.25">
      <c r="A308" s="35" t="s">
        <v>1830</v>
      </c>
      <c r="B308" s="36">
        <v>44475</v>
      </c>
      <c r="C308" s="35" t="s">
        <v>1995</v>
      </c>
      <c r="D308" s="36" t="s">
        <v>1134</v>
      </c>
      <c r="E308" s="73" t="s">
        <v>1073</v>
      </c>
      <c r="F308" s="38" t="s">
        <v>2035</v>
      </c>
      <c r="G308" s="37" t="s">
        <v>2036</v>
      </c>
      <c r="H308" s="37" t="s">
        <v>2037</v>
      </c>
      <c r="I308" s="38" t="s">
        <v>320</v>
      </c>
      <c r="J308" s="39" t="s">
        <v>317</v>
      </c>
      <c r="K308" s="39" t="s">
        <v>432</v>
      </c>
      <c r="L308" s="39" t="s">
        <v>480</v>
      </c>
      <c r="M308" s="39">
        <v>1</v>
      </c>
      <c r="N308" s="86">
        <f t="shared" ref="N308:N313" si="59">IF(M308="","",IF(M308=1,300,IF(M308=2,370,IF(M308=3,630,IF(M308=4,830,IF(M308=5,370,IF(M308=6,430,IF(M308=7,530,IF(M308=8,370,IF(M308=9,700,IF(M308=10,870,IF(M308=11,370,IF(M308=12,370,IF(M308=13,370,IF(M308=13,370,IF(M308=14,370,IF(M308=15,370,IF(M308=16,300,IF(M308=17,300,IF(M308=18,170,IF(M308=19,330)))))))))))))))))))))</f>
        <v>300</v>
      </c>
      <c r="O308" s="41">
        <v>300</v>
      </c>
      <c r="P308" s="86" t="str">
        <f t="shared" ref="P308:P313" si="60">IF(M308="","",IF(O308&gt;(5*N308),"ACIMA","OK"))</f>
        <v>OK</v>
      </c>
      <c r="Q308" s="143"/>
      <c r="R308" s="78"/>
      <c r="S308" s="87" t="str">
        <f t="shared" ref="S308:S313" si="61">IF(R308="","",R308/O308)</f>
        <v/>
      </c>
      <c r="T308" s="87" t="str">
        <f t="shared" ref="T308:T313" si="62">IF(S308="","",IF(S308&gt;$Z$5,"ACIMA","OK"))</f>
        <v/>
      </c>
      <c r="U308" s="36">
        <v>44480</v>
      </c>
      <c r="V308" s="40">
        <f t="shared" ref="V308:V313" si="63">IF(M308="","",O308-R308)</f>
        <v>300</v>
      </c>
      <c r="W308" s="43">
        <f t="shared" ref="W308:W313" si="64">IF(M308="","",IF(AND(M308&gt;0,U308=""),V308,O308-(R308+V308)))</f>
        <v>0</v>
      </c>
    </row>
    <row r="309" spans="1:23" ht="25.5" x14ac:dyDescent="0.25">
      <c r="A309" s="45" t="s">
        <v>1831</v>
      </c>
      <c r="B309" s="46">
        <v>44475</v>
      </c>
      <c r="C309" s="45" t="s">
        <v>2038</v>
      </c>
      <c r="D309" s="46" t="s">
        <v>1134</v>
      </c>
      <c r="E309" s="72" t="s">
        <v>1073</v>
      </c>
      <c r="F309" s="48" t="s">
        <v>2039</v>
      </c>
      <c r="G309" s="47" t="s">
        <v>2040</v>
      </c>
      <c r="H309" s="47" t="s">
        <v>2041</v>
      </c>
      <c r="I309" s="48" t="s">
        <v>320</v>
      </c>
      <c r="J309" s="48" t="s">
        <v>317</v>
      </c>
      <c r="K309" s="49" t="s">
        <v>432</v>
      </c>
      <c r="L309" s="49" t="s">
        <v>480</v>
      </c>
      <c r="M309" s="49">
        <v>1</v>
      </c>
      <c r="N309" s="80">
        <f t="shared" si="59"/>
        <v>300</v>
      </c>
      <c r="O309" s="51">
        <v>300</v>
      </c>
      <c r="P309" s="81" t="str">
        <f t="shared" si="60"/>
        <v>OK</v>
      </c>
      <c r="Q309" s="142"/>
      <c r="R309" s="76"/>
      <c r="S309" s="81" t="str">
        <f t="shared" si="61"/>
        <v/>
      </c>
      <c r="T309" s="81" t="str">
        <f t="shared" si="62"/>
        <v/>
      </c>
      <c r="U309" s="46">
        <v>44480</v>
      </c>
      <c r="V309" s="50">
        <f t="shared" si="63"/>
        <v>300</v>
      </c>
      <c r="W309" s="53">
        <f t="shared" si="64"/>
        <v>0</v>
      </c>
    </row>
    <row r="310" spans="1:23" ht="38.25" x14ac:dyDescent="0.25">
      <c r="A310" s="35" t="s">
        <v>1832</v>
      </c>
      <c r="B310" s="36">
        <v>44483</v>
      </c>
      <c r="C310" s="35" t="s">
        <v>2043</v>
      </c>
      <c r="D310" s="36" t="s">
        <v>1005</v>
      </c>
      <c r="E310" s="73" t="s">
        <v>1080</v>
      </c>
      <c r="F310" s="38" t="s">
        <v>2044</v>
      </c>
      <c r="G310" s="37" t="s">
        <v>2045</v>
      </c>
      <c r="H310" s="37" t="s">
        <v>2046</v>
      </c>
      <c r="I310" s="38" t="s">
        <v>2047</v>
      </c>
      <c r="J310" s="39" t="s">
        <v>2048</v>
      </c>
      <c r="K310" s="39" t="s">
        <v>16</v>
      </c>
      <c r="L310" s="39" t="s">
        <v>1413</v>
      </c>
      <c r="M310" s="39">
        <v>12</v>
      </c>
      <c r="N310" s="86">
        <f t="shared" si="59"/>
        <v>370</v>
      </c>
      <c r="O310" s="41">
        <v>370</v>
      </c>
      <c r="P310" s="86" t="str">
        <f t="shared" si="60"/>
        <v>OK</v>
      </c>
      <c r="Q310" s="143"/>
      <c r="R310" s="78"/>
      <c r="S310" s="87" t="str">
        <f t="shared" si="61"/>
        <v/>
      </c>
      <c r="T310" s="87" t="str">
        <f t="shared" si="62"/>
        <v/>
      </c>
      <c r="U310" s="36">
        <v>44483</v>
      </c>
      <c r="V310" s="40">
        <f t="shared" si="63"/>
        <v>370</v>
      </c>
      <c r="W310" s="43">
        <f t="shared" si="64"/>
        <v>0</v>
      </c>
    </row>
    <row r="311" spans="1:23" ht="25.5" x14ac:dyDescent="0.25">
      <c r="A311" s="45" t="s">
        <v>1833</v>
      </c>
      <c r="B311" s="46">
        <v>44253</v>
      </c>
      <c r="C311" s="45" t="s">
        <v>1196</v>
      </c>
      <c r="D311" s="46" t="s">
        <v>1173</v>
      </c>
      <c r="E311" s="72" t="s">
        <v>1311</v>
      </c>
      <c r="F311" s="48" t="s">
        <v>2049</v>
      </c>
      <c r="G311" s="47" t="s">
        <v>2050</v>
      </c>
      <c r="H311" s="47" t="s">
        <v>2051</v>
      </c>
      <c r="I311" s="48" t="s">
        <v>2052</v>
      </c>
      <c r="J311" s="48" t="s">
        <v>743</v>
      </c>
      <c r="K311" s="49" t="s">
        <v>31</v>
      </c>
      <c r="L311" s="49" t="s">
        <v>32</v>
      </c>
      <c r="M311" s="49">
        <v>13</v>
      </c>
      <c r="N311" s="80">
        <f t="shared" si="59"/>
        <v>370</v>
      </c>
      <c r="O311" s="51">
        <v>370</v>
      </c>
      <c r="P311" s="81" t="str">
        <f t="shared" si="60"/>
        <v>OK</v>
      </c>
      <c r="Q311" s="142"/>
      <c r="R311" s="76"/>
      <c r="S311" s="81" t="str">
        <f t="shared" si="61"/>
        <v/>
      </c>
      <c r="T311" s="81" t="str">
        <f t="shared" si="62"/>
        <v/>
      </c>
      <c r="U311" s="46">
        <v>44483</v>
      </c>
      <c r="V311" s="50">
        <f t="shared" si="63"/>
        <v>370</v>
      </c>
      <c r="W311" s="53">
        <f t="shared" si="64"/>
        <v>0</v>
      </c>
    </row>
    <row r="312" spans="1:23" ht="25.5" x14ac:dyDescent="0.25">
      <c r="A312" s="35" t="s">
        <v>1834</v>
      </c>
      <c r="B312" s="36">
        <v>44487</v>
      </c>
      <c r="C312" s="35" t="s">
        <v>2053</v>
      </c>
      <c r="D312" s="36" t="s">
        <v>501</v>
      </c>
      <c r="E312" s="73" t="s">
        <v>1072</v>
      </c>
      <c r="F312" s="38" t="s">
        <v>2054</v>
      </c>
      <c r="G312" s="37" t="s">
        <v>2055</v>
      </c>
      <c r="H312" s="37" t="s">
        <v>585</v>
      </c>
      <c r="I312" s="38" t="s">
        <v>320</v>
      </c>
      <c r="J312" s="39" t="s">
        <v>317</v>
      </c>
      <c r="K312" s="39" t="s">
        <v>432</v>
      </c>
      <c r="L312" s="39" t="s">
        <v>480</v>
      </c>
      <c r="M312" s="39">
        <v>1</v>
      </c>
      <c r="N312" s="86">
        <f t="shared" si="59"/>
        <v>300</v>
      </c>
      <c r="O312" s="41">
        <v>300</v>
      </c>
      <c r="P312" s="86" t="str">
        <f t="shared" si="60"/>
        <v>OK</v>
      </c>
      <c r="Q312" s="143"/>
      <c r="R312" s="78"/>
      <c r="S312" s="87" t="str">
        <f t="shared" si="61"/>
        <v/>
      </c>
      <c r="T312" s="87" t="str">
        <f t="shared" si="62"/>
        <v/>
      </c>
      <c r="U312" s="36">
        <v>44487</v>
      </c>
      <c r="V312" s="40">
        <f t="shared" si="63"/>
        <v>300</v>
      </c>
      <c r="W312" s="43">
        <f t="shared" si="64"/>
        <v>0</v>
      </c>
    </row>
    <row r="313" spans="1:23" ht="25.5" x14ac:dyDescent="0.25">
      <c r="A313" s="45" t="s">
        <v>1835</v>
      </c>
      <c r="B313" s="46">
        <v>44488</v>
      </c>
      <c r="C313" s="45" t="s">
        <v>2056</v>
      </c>
      <c r="D313" s="46" t="s">
        <v>1134</v>
      </c>
      <c r="E313" s="72" t="s">
        <v>1073</v>
      </c>
      <c r="F313" s="48" t="s">
        <v>2057</v>
      </c>
      <c r="G313" s="47" t="s">
        <v>2058</v>
      </c>
      <c r="H313" s="47" t="s">
        <v>1044</v>
      </c>
      <c r="I313" s="48" t="s">
        <v>320</v>
      </c>
      <c r="J313" s="48" t="s">
        <v>317</v>
      </c>
      <c r="K313" s="49" t="s">
        <v>432</v>
      </c>
      <c r="L313" s="49" t="s">
        <v>480</v>
      </c>
      <c r="M313" s="49">
        <v>1</v>
      </c>
      <c r="N313" s="80">
        <f t="shared" si="59"/>
        <v>300</v>
      </c>
      <c r="O313" s="51">
        <v>300</v>
      </c>
      <c r="P313" s="81" t="str">
        <f t="shared" si="60"/>
        <v>OK</v>
      </c>
      <c r="Q313" s="142"/>
      <c r="R313" s="76"/>
      <c r="S313" s="81" t="str">
        <f t="shared" si="61"/>
        <v/>
      </c>
      <c r="T313" s="81" t="str">
        <f t="shared" si="62"/>
        <v/>
      </c>
      <c r="U313" s="46">
        <v>44488</v>
      </c>
      <c r="V313" s="50">
        <f t="shared" si="63"/>
        <v>300</v>
      </c>
      <c r="W313" s="53">
        <f t="shared" si="64"/>
        <v>0</v>
      </c>
    </row>
    <row r="314" spans="1:23" ht="25.5" x14ac:dyDescent="0.25">
      <c r="A314" s="35" t="s">
        <v>1836</v>
      </c>
      <c r="B314" s="36">
        <v>44488</v>
      </c>
      <c r="C314" s="35" t="s">
        <v>2059</v>
      </c>
      <c r="D314" s="36" t="s">
        <v>1134</v>
      </c>
      <c r="E314" s="73" t="s">
        <v>1073</v>
      </c>
      <c r="F314" s="38" t="s">
        <v>2060</v>
      </c>
      <c r="G314" s="37" t="s">
        <v>2061</v>
      </c>
      <c r="H314" s="37" t="s">
        <v>1044</v>
      </c>
      <c r="I314" s="38" t="s">
        <v>320</v>
      </c>
      <c r="J314" s="39" t="s">
        <v>317</v>
      </c>
      <c r="K314" s="39" t="s">
        <v>432</v>
      </c>
      <c r="L314" s="39" t="s">
        <v>480</v>
      </c>
      <c r="M314" s="39">
        <v>1</v>
      </c>
      <c r="N314" s="86">
        <f t="shared" ref="N314:N363" si="65">IF(M314="","",IF(M314=1,300,IF(M314=2,370,IF(M314=3,630,IF(M314=4,830,IF(M314=5,370,IF(M314=6,430,IF(M314=7,530,IF(M314=8,370,IF(M314=9,700,IF(M314=10,870,IF(M314=11,370,IF(M314=12,370,IF(M314=13,370,IF(M314=13,370,IF(M314=14,370,IF(M314=15,370,IF(M314=16,300,IF(M314=17,300,IF(M314=18,170,IF(M314=19,330)))))))))))))))))))))</f>
        <v>300</v>
      </c>
      <c r="O314" s="41">
        <v>300</v>
      </c>
      <c r="P314" s="86" t="str">
        <f t="shared" ref="P314:P363" si="66">IF(M314="","",IF(O314&gt;(5*N314),"ACIMA","OK"))</f>
        <v>OK</v>
      </c>
      <c r="Q314" s="143"/>
      <c r="R314" s="78"/>
      <c r="S314" s="87" t="str">
        <f t="shared" ref="S314:S363" si="67">IF(R314="","",R314/O314)</f>
        <v/>
      </c>
      <c r="T314" s="87" t="str">
        <f t="shared" ref="T314:T363" si="68">IF(S314="","",IF(S314&gt;$Z$5,"ACIMA","OK"))</f>
        <v/>
      </c>
      <c r="U314" s="36">
        <v>44488</v>
      </c>
      <c r="V314" s="40">
        <f t="shared" ref="V314:V377" si="69">IF(M314="","",O314-R314)</f>
        <v>300</v>
      </c>
      <c r="W314" s="43">
        <f t="shared" ref="W314:W377" si="70">IF(M314="","",IF(AND(M314&gt;0,U314=""),V314,O314-(R314+V314)))</f>
        <v>0</v>
      </c>
    </row>
    <row r="315" spans="1:23" ht="25.5" x14ac:dyDescent="0.25">
      <c r="A315" s="45" t="s">
        <v>1837</v>
      </c>
      <c r="B315" s="46">
        <v>44488</v>
      </c>
      <c r="C315" s="45" t="s">
        <v>2062</v>
      </c>
      <c r="D315" s="46" t="s">
        <v>994</v>
      </c>
      <c r="E315" s="72" t="s">
        <v>1064</v>
      </c>
      <c r="F315" s="48" t="s">
        <v>2063</v>
      </c>
      <c r="G315" s="47" t="s">
        <v>2064</v>
      </c>
      <c r="H315" s="47" t="s">
        <v>2065</v>
      </c>
      <c r="I315" s="48" t="s">
        <v>2066</v>
      </c>
      <c r="J315" s="48" t="s">
        <v>2067</v>
      </c>
      <c r="K315" s="49" t="s">
        <v>432</v>
      </c>
      <c r="L315" s="49" t="s">
        <v>480</v>
      </c>
      <c r="M315" s="49">
        <v>1</v>
      </c>
      <c r="N315" s="80">
        <f t="shared" si="65"/>
        <v>300</v>
      </c>
      <c r="O315" s="51">
        <v>300</v>
      </c>
      <c r="P315" s="81" t="str">
        <f t="shared" si="66"/>
        <v>OK</v>
      </c>
      <c r="Q315" s="142"/>
      <c r="R315" s="76"/>
      <c r="S315" s="81" t="str">
        <f t="shared" si="67"/>
        <v/>
      </c>
      <c r="T315" s="81" t="str">
        <f t="shared" si="68"/>
        <v/>
      </c>
      <c r="U315" s="46">
        <v>44488</v>
      </c>
      <c r="V315" s="50">
        <f t="shared" si="69"/>
        <v>300</v>
      </c>
      <c r="W315" s="53">
        <f t="shared" si="70"/>
        <v>0</v>
      </c>
    </row>
    <row r="316" spans="1:23" ht="25.5" x14ac:dyDescent="0.25">
      <c r="A316" s="35" t="s">
        <v>1838</v>
      </c>
      <c r="B316" s="36">
        <v>44488</v>
      </c>
      <c r="C316" s="35" t="s">
        <v>2068</v>
      </c>
      <c r="D316" s="36" t="s">
        <v>466</v>
      </c>
      <c r="E316" s="73" t="s">
        <v>1070</v>
      </c>
      <c r="F316" s="38" t="s">
        <v>463</v>
      </c>
      <c r="G316" s="37" t="s">
        <v>2069</v>
      </c>
      <c r="H316" s="37" t="s">
        <v>2070</v>
      </c>
      <c r="I316" s="38" t="s">
        <v>320</v>
      </c>
      <c r="J316" s="39" t="s">
        <v>317</v>
      </c>
      <c r="K316" s="39" t="s">
        <v>16</v>
      </c>
      <c r="L316" s="39" t="s">
        <v>27</v>
      </c>
      <c r="M316" s="39">
        <v>11</v>
      </c>
      <c r="N316" s="86">
        <f t="shared" si="65"/>
        <v>370</v>
      </c>
      <c r="O316" s="41">
        <v>370</v>
      </c>
      <c r="P316" s="86" t="str">
        <f t="shared" si="66"/>
        <v>OK</v>
      </c>
      <c r="Q316" s="143"/>
      <c r="R316" s="78"/>
      <c r="S316" s="87" t="str">
        <f t="shared" si="67"/>
        <v/>
      </c>
      <c r="T316" s="87" t="str">
        <f t="shared" si="68"/>
        <v/>
      </c>
      <c r="U316" s="36">
        <v>44489</v>
      </c>
      <c r="V316" s="40">
        <f t="shared" si="69"/>
        <v>370</v>
      </c>
      <c r="W316" s="43">
        <f t="shared" si="70"/>
        <v>0</v>
      </c>
    </row>
    <row r="317" spans="1:23" ht="38.25" x14ac:dyDescent="0.25">
      <c r="A317" s="45" t="s">
        <v>1839</v>
      </c>
      <c r="B317" s="46">
        <v>44488</v>
      </c>
      <c r="C317" s="45" t="s">
        <v>2071</v>
      </c>
      <c r="D317" s="46" t="s">
        <v>466</v>
      </c>
      <c r="E317" s="72" t="s">
        <v>1070</v>
      </c>
      <c r="F317" s="48" t="s">
        <v>2072</v>
      </c>
      <c r="G317" s="47" t="s">
        <v>2073</v>
      </c>
      <c r="H317" s="47" t="s">
        <v>469</v>
      </c>
      <c r="I317" s="48" t="s">
        <v>320</v>
      </c>
      <c r="J317" s="48" t="s">
        <v>317</v>
      </c>
      <c r="K317" s="49" t="s">
        <v>16</v>
      </c>
      <c r="L317" s="49" t="s">
        <v>27</v>
      </c>
      <c r="M317" s="49">
        <v>11</v>
      </c>
      <c r="N317" s="80">
        <f t="shared" si="65"/>
        <v>370</v>
      </c>
      <c r="O317" s="51">
        <v>370</v>
      </c>
      <c r="P317" s="81" t="str">
        <f t="shared" si="66"/>
        <v>OK</v>
      </c>
      <c r="Q317" s="142"/>
      <c r="R317" s="76"/>
      <c r="S317" s="81" t="str">
        <f t="shared" si="67"/>
        <v/>
      </c>
      <c r="T317" s="81" t="str">
        <f t="shared" si="68"/>
        <v/>
      </c>
      <c r="U317" s="46">
        <v>44489</v>
      </c>
      <c r="V317" s="50">
        <f t="shared" si="69"/>
        <v>370</v>
      </c>
      <c r="W317" s="53">
        <f t="shared" si="70"/>
        <v>0</v>
      </c>
    </row>
    <row r="318" spans="1:23" ht="25.5" x14ac:dyDescent="0.25">
      <c r="A318" s="35" t="s">
        <v>1840</v>
      </c>
      <c r="B318" s="36">
        <v>44490</v>
      </c>
      <c r="C318" s="35" t="s">
        <v>2074</v>
      </c>
      <c r="D318" s="36" t="s">
        <v>1079</v>
      </c>
      <c r="E318" s="73" t="s">
        <v>980</v>
      </c>
      <c r="F318" s="38" t="s">
        <v>2075</v>
      </c>
      <c r="G318" s="37" t="s">
        <v>2076</v>
      </c>
      <c r="H318" s="37" t="s">
        <v>1148</v>
      </c>
      <c r="I318" s="38" t="s">
        <v>1434</v>
      </c>
      <c r="J318" s="39" t="s">
        <v>1435</v>
      </c>
      <c r="K318" s="39" t="s">
        <v>39</v>
      </c>
      <c r="L318" s="39" t="s">
        <v>40</v>
      </c>
      <c r="M318" s="39">
        <v>17</v>
      </c>
      <c r="N318" s="86">
        <f t="shared" si="65"/>
        <v>300</v>
      </c>
      <c r="O318" s="41">
        <v>200</v>
      </c>
      <c r="P318" s="86" t="str">
        <f t="shared" si="66"/>
        <v>OK</v>
      </c>
      <c r="Q318" s="143"/>
      <c r="R318" s="78"/>
      <c r="S318" s="87" t="str">
        <f t="shared" si="67"/>
        <v/>
      </c>
      <c r="T318" s="87" t="str">
        <f t="shared" si="68"/>
        <v/>
      </c>
      <c r="U318" s="36">
        <v>44490</v>
      </c>
      <c r="V318" s="40">
        <f t="shared" si="69"/>
        <v>200</v>
      </c>
      <c r="W318" s="43">
        <f t="shared" si="70"/>
        <v>0</v>
      </c>
    </row>
    <row r="319" spans="1:23" ht="25.5" x14ac:dyDescent="0.25">
      <c r="A319" s="45" t="s">
        <v>1841</v>
      </c>
      <c r="B319" s="46">
        <v>44490</v>
      </c>
      <c r="C319" s="45" t="s">
        <v>2077</v>
      </c>
      <c r="D319" s="46" t="s">
        <v>1079</v>
      </c>
      <c r="E319" s="72" t="s">
        <v>980</v>
      </c>
      <c r="F319" s="48" t="s">
        <v>2078</v>
      </c>
      <c r="G319" s="47" t="s">
        <v>2079</v>
      </c>
      <c r="H319" s="47" t="s">
        <v>2080</v>
      </c>
      <c r="I319" s="48" t="s">
        <v>1434</v>
      </c>
      <c r="J319" s="48" t="s">
        <v>1435</v>
      </c>
      <c r="K319" s="49" t="s">
        <v>39</v>
      </c>
      <c r="L319" s="49" t="s">
        <v>40</v>
      </c>
      <c r="M319" s="49">
        <v>17</v>
      </c>
      <c r="N319" s="80">
        <f t="shared" si="65"/>
        <v>300</v>
      </c>
      <c r="O319" s="51">
        <v>300</v>
      </c>
      <c r="P319" s="81" t="str">
        <f t="shared" si="66"/>
        <v>OK</v>
      </c>
      <c r="Q319" s="142"/>
      <c r="R319" s="76"/>
      <c r="S319" s="81" t="str">
        <f t="shared" si="67"/>
        <v/>
      </c>
      <c r="T319" s="81" t="str">
        <f t="shared" si="68"/>
        <v/>
      </c>
      <c r="U319" s="46">
        <v>44490</v>
      </c>
      <c r="V319" s="50">
        <f t="shared" si="69"/>
        <v>300</v>
      </c>
      <c r="W319" s="53">
        <f t="shared" si="70"/>
        <v>0</v>
      </c>
    </row>
    <row r="320" spans="1:23" ht="38.25" x14ac:dyDescent="0.25">
      <c r="A320" s="35" t="s">
        <v>1842</v>
      </c>
      <c r="B320" s="36">
        <v>44490</v>
      </c>
      <c r="C320" s="35" t="s">
        <v>2081</v>
      </c>
      <c r="D320" s="36" t="s">
        <v>1079</v>
      </c>
      <c r="E320" s="73" t="s">
        <v>980</v>
      </c>
      <c r="F320" s="38" t="s">
        <v>2082</v>
      </c>
      <c r="G320" s="37" t="s">
        <v>1147</v>
      </c>
      <c r="H320" s="37" t="s">
        <v>2083</v>
      </c>
      <c r="I320" s="38" t="s">
        <v>970</v>
      </c>
      <c r="J320" s="39" t="s">
        <v>1107</v>
      </c>
      <c r="K320" s="39" t="s">
        <v>39</v>
      </c>
      <c r="L320" s="39" t="s">
        <v>40</v>
      </c>
      <c r="M320" s="39">
        <v>17</v>
      </c>
      <c r="N320" s="86">
        <f t="shared" si="65"/>
        <v>300</v>
      </c>
      <c r="O320" s="41">
        <v>200</v>
      </c>
      <c r="P320" s="86" t="str">
        <f t="shared" si="66"/>
        <v>OK</v>
      </c>
      <c r="Q320" s="143"/>
      <c r="R320" s="78"/>
      <c r="S320" s="87" t="str">
        <f t="shared" si="67"/>
        <v/>
      </c>
      <c r="T320" s="87" t="str">
        <f t="shared" si="68"/>
        <v/>
      </c>
      <c r="U320" s="36">
        <v>44490</v>
      </c>
      <c r="V320" s="40">
        <f t="shared" si="69"/>
        <v>200</v>
      </c>
      <c r="W320" s="43">
        <f t="shared" si="70"/>
        <v>0</v>
      </c>
    </row>
    <row r="321" spans="1:23" ht="38.25" x14ac:dyDescent="0.25">
      <c r="A321" s="45" t="s">
        <v>1843</v>
      </c>
      <c r="B321" s="46">
        <v>44365</v>
      </c>
      <c r="C321" s="45" t="s">
        <v>2084</v>
      </c>
      <c r="D321" s="46" t="s">
        <v>996</v>
      </c>
      <c r="E321" s="72" t="s">
        <v>1064</v>
      </c>
      <c r="F321" s="48" t="s">
        <v>2085</v>
      </c>
      <c r="G321" s="47" t="s">
        <v>2086</v>
      </c>
      <c r="H321" s="47" t="s">
        <v>2087</v>
      </c>
      <c r="I321" s="48" t="s">
        <v>2088</v>
      </c>
      <c r="J321" s="48" t="s">
        <v>2089</v>
      </c>
      <c r="K321" s="49" t="s">
        <v>16</v>
      </c>
      <c r="L321" s="49" t="s">
        <v>765</v>
      </c>
      <c r="M321" s="49">
        <v>8</v>
      </c>
      <c r="N321" s="80">
        <f t="shared" si="65"/>
        <v>370</v>
      </c>
      <c r="O321" s="51">
        <v>296</v>
      </c>
      <c r="P321" s="81" t="str">
        <f t="shared" si="66"/>
        <v>OK</v>
      </c>
      <c r="Q321" s="142"/>
      <c r="R321" s="76"/>
      <c r="S321" s="81" t="str">
        <f t="shared" si="67"/>
        <v/>
      </c>
      <c r="T321" s="81" t="str">
        <f t="shared" si="68"/>
        <v/>
      </c>
      <c r="U321" s="46">
        <v>44491</v>
      </c>
      <c r="V321" s="50">
        <f t="shared" si="69"/>
        <v>296</v>
      </c>
      <c r="W321" s="53">
        <f t="shared" si="70"/>
        <v>0</v>
      </c>
    </row>
    <row r="322" spans="1:23" ht="51" x14ac:dyDescent="0.25">
      <c r="A322" s="35" t="s">
        <v>1844</v>
      </c>
      <c r="B322" s="36">
        <v>44370</v>
      </c>
      <c r="C322" s="35" t="s">
        <v>2090</v>
      </c>
      <c r="D322" s="36" t="s">
        <v>868</v>
      </c>
      <c r="E322" s="73" t="s">
        <v>1070</v>
      </c>
      <c r="F322" s="38" t="s">
        <v>2091</v>
      </c>
      <c r="G322" s="37" t="s">
        <v>2092</v>
      </c>
      <c r="H322" s="37" t="s">
        <v>2093</v>
      </c>
      <c r="I322" s="38" t="s">
        <v>320</v>
      </c>
      <c r="J322" s="39" t="s">
        <v>317</v>
      </c>
      <c r="K322" s="39" t="s">
        <v>16</v>
      </c>
      <c r="L322" s="39" t="s">
        <v>765</v>
      </c>
      <c r="M322" s="39">
        <v>8</v>
      </c>
      <c r="N322" s="86">
        <f t="shared" si="65"/>
        <v>370</v>
      </c>
      <c r="O322" s="41">
        <v>370</v>
      </c>
      <c r="P322" s="86" t="str">
        <f t="shared" si="66"/>
        <v>OK</v>
      </c>
      <c r="Q322" s="143"/>
      <c r="R322" s="78"/>
      <c r="S322" s="87" t="str">
        <f t="shared" si="67"/>
        <v/>
      </c>
      <c r="T322" s="87" t="str">
        <f t="shared" si="68"/>
        <v/>
      </c>
      <c r="U322" s="36">
        <v>44491</v>
      </c>
      <c r="V322" s="40">
        <f t="shared" si="69"/>
        <v>370</v>
      </c>
      <c r="W322" s="43">
        <f t="shared" si="70"/>
        <v>0</v>
      </c>
    </row>
    <row r="323" spans="1:23" ht="38.25" x14ac:dyDescent="0.25">
      <c r="A323" s="45" t="s">
        <v>1845</v>
      </c>
      <c r="B323" s="46">
        <v>44468</v>
      </c>
      <c r="C323" s="45" t="s">
        <v>2094</v>
      </c>
      <c r="D323" s="46" t="s">
        <v>1134</v>
      </c>
      <c r="E323" s="72" t="s">
        <v>1073</v>
      </c>
      <c r="F323" s="48" t="s">
        <v>2095</v>
      </c>
      <c r="G323" s="47" t="s">
        <v>1102</v>
      </c>
      <c r="H323" s="47" t="s">
        <v>2096</v>
      </c>
      <c r="I323" s="48" t="s">
        <v>320</v>
      </c>
      <c r="J323" s="48" t="s">
        <v>317</v>
      </c>
      <c r="K323" s="49" t="s">
        <v>432</v>
      </c>
      <c r="L323" s="49" t="s">
        <v>480</v>
      </c>
      <c r="M323" s="49">
        <v>1</v>
      </c>
      <c r="N323" s="80">
        <f t="shared" si="65"/>
        <v>300</v>
      </c>
      <c r="O323" s="51">
        <v>300</v>
      </c>
      <c r="P323" s="81" t="str">
        <f t="shared" si="66"/>
        <v>OK</v>
      </c>
      <c r="Q323" s="142"/>
      <c r="R323" s="76"/>
      <c r="S323" s="81" t="str">
        <f t="shared" si="67"/>
        <v/>
      </c>
      <c r="T323" s="81" t="str">
        <f t="shared" si="68"/>
        <v/>
      </c>
      <c r="U323" s="46">
        <v>44491</v>
      </c>
      <c r="V323" s="50">
        <f t="shared" si="69"/>
        <v>300</v>
      </c>
      <c r="W323" s="53">
        <f t="shared" si="70"/>
        <v>0</v>
      </c>
    </row>
    <row r="324" spans="1:23" ht="25.5" x14ac:dyDescent="0.25">
      <c r="A324" s="35" t="s">
        <v>1846</v>
      </c>
      <c r="B324" s="36">
        <v>44273</v>
      </c>
      <c r="C324" s="35" t="s">
        <v>2097</v>
      </c>
      <c r="D324" s="36" t="s">
        <v>1804</v>
      </c>
      <c r="E324" s="73" t="s">
        <v>1726</v>
      </c>
      <c r="F324" s="38" t="s">
        <v>2098</v>
      </c>
      <c r="G324" s="37" t="s">
        <v>2099</v>
      </c>
      <c r="H324" s="37" t="s">
        <v>437</v>
      </c>
      <c r="I324" s="38" t="s">
        <v>1808</v>
      </c>
      <c r="J324" s="39"/>
      <c r="K324" s="39" t="s">
        <v>31</v>
      </c>
      <c r="L324" s="39" t="s">
        <v>1413</v>
      </c>
      <c r="M324" s="39">
        <v>15</v>
      </c>
      <c r="N324" s="86">
        <f>IF(M324="","",IF(M324=1,300,IF(M324=2,370,IF(M324=3,630,IF(M324=4,830,IF(M324=5,370,IF(M324=6,430,IF(M324=7,530,IF(M324=8,370,IF(M324=9,700,IF(M324=10,870,IF(M324=11,370,IF(M324=12,370,IF(M324=13,370,IF(M324=13,370,IF(M324=14,370,IF(M324=15,370,IF(M324=16,300,IF(M324=17,300,IF(M324=18,170,IF(M324=19,330)))))))))))))))))))))</f>
        <v>370</v>
      </c>
      <c r="O324" s="41">
        <v>300</v>
      </c>
      <c r="P324" s="86" t="str">
        <f>IF(M324="","",IF(O324&gt;(5*N324),"ACIMA","OK"))</f>
        <v>OK</v>
      </c>
      <c r="Q324" s="143"/>
      <c r="R324" s="78"/>
      <c r="S324" s="87" t="str">
        <f t="shared" si="67"/>
        <v/>
      </c>
      <c r="T324" s="87" t="str">
        <f t="shared" si="68"/>
        <v/>
      </c>
      <c r="U324" s="36">
        <v>44494</v>
      </c>
      <c r="V324" s="40">
        <f>IF(M324="","",O324-R324)</f>
        <v>300</v>
      </c>
      <c r="W324" s="43">
        <f>IF(M324="","",IF(AND(M324&gt;0,U324=""),V324,O324-(R324+V324)))</f>
        <v>0</v>
      </c>
    </row>
    <row r="325" spans="1:23" ht="51" x14ac:dyDescent="0.25">
      <c r="A325" s="45" t="s">
        <v>1847</v>
      </c>
      <c r="B325" s="72">
        <v>44494</v>
      </c>
      <c r="C325" s="45" t="s">
        <v>2100</v>
      </c>
      <c r="D325" s="46" t="s">
        <v>1005</v>
      </c>
      <c r="E325" s="72" t="s">
        <v>1080</v>
      </c>
      <c r="F325" s="48" t="s">
        <v>2101</v>
      </c>
      <c r="G325" s="47" t="s">
        <v>2102</v>
      </c>
      <c r="H325" s="47" t="s">
        <v>2103</v>
      </c>
      <c r="I325" s="48" t="s">
        <v>2104</v>
      </c>
      <c r="J325" s="48" t="s">
        <v>2105</v>
      </c>
      <c r="K325" s="49" t="s">
        <v>16</v>
      </c>
      <c r="L325" s="49" t="s">
        <v>1413</v>
      </c>
      <c r="M325" s="49">
        <v>12</v>
      </c>
      <c r="N325" s="80">
        <f>IF(M325="","",IF(M325=1,300,IF(M325=2,370,IF(M325=3,630,IF(M325=4,830,IF(M325=5,370,IF(M325=6,430,IF(M325=7,530,IF(M325=8,370,IF(M325=9,700,IF(M325=10,870,IF(M325=11,370,IF(M325=12,370,IF(M325=13,370,IF(M325=13,370,IF(M325=14,370,IF(M325=15,370,IF(M325=16,300,IF(M325=17,300,IF(M325=18,170,IF(M325=19,330)))))))))))))))))))))</f>
        <v>370</v>
      </c>
      <c r="O325" s="51">
        <v>300</v>
      </c>
      <c r="P325" s="81" t="str">
        <f>IF(M325="","",IF(O325&gt;(5*N325),"ACIMA","OK"))</f>
        <v>OK</v>
      </c>
      <c r="Q325" s="142"/>
      <c r="R325" s="76"/>
      <c r="S325" s="81" t="str">
        <f t="shared" si="67"/>
        <v/>
      </c>
      <c r="T325" s="81" t="str">
        <f t="shared" si="68"/>
        <v/>
      </c>
      <c r="U325" s="46">
        <v>44495</v>
      </c>
      <c r="V325" s="50">
        <f>IF(M325="","",O325-R325)</f>
        <v>300</v>
      </c>
      <c r="W325" s="53">
        <f>IF(M325="","",IF(AND(M325&gt;0,U325=""),V325,O325-(R325+V325)))</f>
        <v>0</v>
      </c>
    </row>
    <row r="326" spans="1:23" ht="25.5" x14ac:dyDescent="0.25">
      <c r="A326" s="35" t="s">
        <v>1848</v>
      </c>
      <c r="B326" s="36">
        <v>44494</v>
      </c>
      <c r="C326" s="35" t="s">
        <v>2106</v>
      </c>
      <c r="D326" s="36" t="s">
        <v>1134</v>
      </c>
      <c r="E326" s="73" t="s">
        <v>1073</v>
      </c>
      <c r="F326" s="38" t="s">
        <v>2108</v>
      </c>
      <c r="G326" s="37" t="s">
        <v>2107</v>
      </c>
      <c r="H326" s="37" t="s">
        <v>428</v>
      </c>
      <c r="I326" s="38" t="s">
        <v>320</v>
      </c>
      <c r="J326" s="39" t="s">
        <v>317</v>
      </c>
      <c r="K326" s="39" t="s">
        <v>432</v>
      </c>
      <c r="L326" s="39" t="s">
        <v>480</v>
      </c>
      <c r="M326" s="39">
        <v>1</v>
      </c>
      <c r="N326" s="86">
        <f t="shared" si="65"/>
        <v>300</v>
      </c>
      <c r="O326" s="41">
        <v>300</v>
      </c>
      <c r="P326" s="86" t="str">
        <f t="shared" si="66"/>
        <v>OK</v>
      </c>
      <c r="Q326" s="143"/>
      <c r="R326" s="78"/>
      <c r="S326" s="87" t="str">
        <f t="shared" si="67"/>
        <v/>
      </c>
      <c r="T326" s="87" t="str">
        <f t="shared" si="68"/>
        <v/>
      </c>
      <c r="U326" s="36">
        <v>44495</v>
      </c>
      <c r="V326" s="40">
        <f t="shared" si="69"/>
        <v>300</v>
      </c>
      <c r="W326" s="43">
        <f t="shared" si="70"/>
        <v>0</v>
      </c>
    </row>
    <row r="327" spans="1:23" ht="25.5" x14ac:dyDescent="0.25">
      <c r="A327" s="45" t="s">
        <v>1849</v>
      </c>
      <c r="B327" s="46">
        <v>44495</v>
      </c>
      <c r="C327" s="45" t="s">
        <v>2109</v>
      </c>
      <c r="D327" s="46" t="s">
        <v>1173</v>
      </c>
      <c r="E327" s="72" t="s">
        <v>1311</v>
      </c>
      <c r="F327" s="48" t="s">
        <v>2110</v>
      </c>
      <c r="G327" s="47" t="s">
        <v>2111</v>
      </c>
      <c r="H327" s="47" t="s">
        <v>2112</v>
      </c>
      <c r="I327" s="48" t="s">
        <v>390</v>
      </c>
      <c r="J327" s="48" t="s">
        <v>743</v>
      </c>
      <c r="K327" s="49" t="s">
        <v>31</v>
      </c>
      <c r="L327" s="49" t="s">
        <v>32</v>
      </c>
      <c r="M327" s="49">
        <v>13</v>
      </c>
      <c r="N327" s="80">
        <f t="shared" si="65"/>
        <v>370</v>
      </c>
      <c r="O327" s="51">
        <v>370</v>
      </c>
      <c r="P327" s="81" t="str">
        <f t="shared" si="66"/>
        <v>OK</v>
      </c>
      <c r="Q327" s="142"/>
      <c r="R327" s="76"/>
      <c r="S327" s="81" t="str">
        <f t="shared" si="67"/>
        <v/>
      </c>
      <c r="T327" s="81" t="str">
        <f t="shared" si="68"/>
        <v/>
      </c>
      <c r="U327" s="46">
        <v>44497</v>
      </c>
      <c r="V327" s="50">
        <f t="shared" si="69"/>
        <v>370</v>
      </c>
      <c r="W327" s="53">
        <f t="shared" si="70"/>
        <v>0</v>
      </c>
    </row>
    <row r="328" spans="1:23" ht="25.5" x14ac:dyDescent="0.25">
      <c r="A328" s="35" t="s">
        <v>1850</v>
      </c>
      <c r="B328" s="36">
        <v>44495</v>
      </c>
      <c r="C328" s="35" t="s">
        <v>2113</v>
      </c>
      <c r="D328" s="36" t="s">
        <v>1134</v>
      </c>
      <c r="E328" s="73" t="s">
        <v>1073</v>
      </c>
      <c r="F328" s="38" t="s">
        <v>2114</v>
      </c>
      <c r="G328" s="37" t="s">
        <v>2115</v>
      </c>
      <c r="H328" s="37" t="s">
        <v>2116</v>
      </c>
      <c r="I328" s="38" t="s">
        <v>320</v>
      </c>
      <c r="J328" s="39" t="s">
        <v>317</v>
      </c>
      <c r="K328" s="39" t="s">
        <v>432</v>
      </c>
      <c r="L328" s="39" t="s">
        <v>480</v>
      </c>
      <c r="M328" s="39">
        <v>1</v>
      </c>
      <c r="N328" s="86">
        <f t="shared" si="65"/>
        <v>300</v>
      </c>
      <c r="O328" s="41">
        <v>300</v>
      </c>
      <c r="P328" s="86" t="str">
        <f t="shared" si="66"/>
        <v>OK</v>
      </c>
      <c r="Q328" s="143"/>
      <c r="R328" s="78"/>
      <c r="S328" s="87" t="str">
        <f t="shared" si="67"/>
        <v/>
      </c>
      <c r="T328" s="87" t="str">
        <f t="shared" si="68"/>
        <v/>
      </c>
      <c r="U328" s="36">
        <v>44497</v>
      </c>
      <c r="V328" s="40">
        <f t="shared" si="69"/>
        <v>300</v>
      </c>
      <c r="W328" s="43">
        <f t="shared" si="70"/>
        <v>0</v>
      </c>
    </row>
    <row r="329" spans="1:23" ht="25.5" x14ac:dyDescent="0.25">
      <c r="A329" s="45" t="s">
        <v>1851</v>
      </c>
      <c r="B329" s="46">
        <v>44497</v>
      </c>
      <c r="C329" s="45" t="s">
        <v>2117</v>
      </c>
      <c r="D329" s="46" t="s">
        <v>1134</v>
      </c>
      <c r="E329" s="72" t="s">
        <v>1073</v>
      </c>
      <c r="F329" s="48" t="s">
        <v>2118</v>
      </c>
      <c r="G329" s="47" t="s">
        <v>2119</v>
      </c>
      <c r="H329" s="47" t="s">
        <v>1044</v>
      </c>
      <c r="I329" s="48" t="s">
        <v>320</v>
      </c>
      <c r="J329" s="48" t="s">
        <v>317</v>
      </c>
      <c r="K329" s="49" t="s">
        <v>432</v>
      </c>
      <c r="L329" s="49" t="s">
        <v>480</v>
      </c>
      <c r="M329" s="49">
        <v>1</v>
      </c>
      <c r="N329" s="80">
        <f t="shared" si="65"/>
        <v>300</v>
      </c>
      <c r="O329" s="51">
        <v>300</v>
      </c>
      <c r="P329" s="81" t="str">
        <f t="shared" si="66"/>
        <v>OK</v>
      </c>
      <c r="Q329" s="142"/>
      <c r="R329" s="76"/>
      <c r="S329" s="81" t="str">
        <f t="shared" si="67"/>
        <v/>
      </c>
      <c r="T329" s="81" t="str">
        <f t="shared" si="68"/>
        <v/>
      </c>
      <c r="U329" s="46">
        <v>44498</v>
      </c>
      <c r="V329" s="50">
        <f t="shared" si="69"/>
        <v>300</v>
      </c>
      <c r="W329" s="53">
        <f t="shared" si="70"/>
        <v>0</v>
      </c>
    </row>
    <row r="330" spans="1:23" ht="38.25" x14ac:dyDescent="0.25">
      <c r="A330" s="35" t="s">
        <v>1852</v>
      </c>
      <c r="B330" s="36">
        <v>44497</v>
      </c>
      <c r="C330" s="35" t="s">
        <v>2120</v>
      </c>
      <c r="D330" s="36" t="s">
        <v>1134</v>
      </c>
      <c r="E330" s="73" t="s">
        <v>1073</v>
      </c>
      <c r="F330" s="38" t="s">
        <v>2121</v>
      </c>
      <c r="G330" s="37" t="s">
        <v>1502</v>
      </c>
      <c r="H330" s="37" t="s">
        <v>1782</v>
      </c>
      <c r="I330" s="38" t="s">
        <v>320</v>
      </c>
      <c r="J330" s="39" t="s">
        <v>317</v>
      </c>
      <c r="K330" s="39" t="s">
        <v>432</v>
      </c>
      <c r="L330" s="39" t="s">
        <v>480</v>
      </c>
      <c r="M330" s="39">
        <v>1</v>
      </c>
      <c r="N330" s="86">
        <f t="shared" si="65"/>
        <v>300</v>
      </c>
      <c r="O330" s="41">
        <v>300</v>
      </c>
      <c r="P330" s="86" t="str">
        <f t="shared" si="66"/>
        <v>OK</v>
      </c>
      <c r="Q330" s="143"/>
      <c r="R330" s="78"/>
      <c r="S330" s="87" t="str">
        <f t="shared" si="67"/>
        <v/>
      </c>
      <c r="T330" s="87" t="str">
        <f t="shared" si="68"/>
        <v/>
      </c>
      <c r="U330" s="36">
        <v>44498</v>
      </c>
      <c r="V330" s="40">
        <f t="shared" si="69"/>
        <v>300</v>
      </c>
      <c r="W330" s="43">
        <f t="shared" si="70"/>
        <v>0</v>
      </c>
    </row>
    <row r="331" spans="1:23" ht="38.25" x14ac:dyDescent="0.25">
      <c r="A331" s="45" t="s">
        <v>1853</v>
      </c>
      <c r="B331" s="46">
        <v>44497</v>
      </c>
      <c r="C331" s="45" t="s">
        <v>2122</v>
      </c>
      <c r="D331" s="46" t="s">
        <v>1134</v>
      </c>
      <c r="E331" s="72" t="s">
        <v>1073</v>
      </c>
      <c r="F331" s="48" t="s">
        <v>2123</v>
      </c>
      <c r="G331" s="47" t="s">
        <v>2124</v>
      </c>
      <c r="H331" s="47" t="s">
        <v>870</v>
      </c>
      <c r="I331" s="48" t="s">
        <v>320</v>
      </c>
      <c r="J331" s="48" t="s">
        <v>317</v>
      </c>
      <c r="K331" s="49" t="s">
        <v>432</v>
      </c>
      <c r="L331" s="49" t="s">
        <v>480</v>
      </c>
      <c r="M331" s="49">
        <v>1</v>
      </c>
      <c r="N331" s="80">
        <v>300</v>
      </c>
      <c r="O331" s="51">
        <v>300</v>
      </c>
      <c r="P331" s="81" t="s">
        <v>1017</v>
      </c>
      <c r="Q331" s="142"/>
      <c r="R331" s="76"/>
      <c r="S331" s="81" t="s">
        <v>415</v>
      </c>
      <c r="T331" s="81" t="s">
        <v>415</v>
      </c>
      <c r="U331" s="46">
        <v>44498</v>
      </c>
      <c r="V331" s="50">
        <f t="shared" si="69"/>
        <v>300</v>
      </c>
      <c r="W331" s="53">
        <f t="shared" si="70"/>
        <v>0</v>
      </c>
    </row>
    <row r="332" spans="1:23" ht="25.5" x14ac:dyDescent="0.25">
      <c r="A332" s="35" t="s">
        <v>1854</v>
      </c>
      <c r="B332" s="36">
        <v>44497</v>
      </c>
      <c r="C332" s="35" t="s">
        <v>2125</v>
      </c>
      <c r="D332" s="36" t="s">
        <v>1134</v>
      </c>
      <c r="E332" s="73" t="s">
        <v>1073</v>
      </c>
      <c r="F332" s="38" t="s">
        <v>2126</v>
      </c>
      <c r="G332" s="37" t="s">
        <v>2127</v>
      </c>
      <c r="H332" s="37" t="s">
        <v>2128</v>
      </c>
      <c r="I332" s="38" t="s">
        <v>320</v>
      </c>
      <c r="J332" s="39" t="s">
        <v>317</v>
      </c>
      <c r="K332" s="39" t="s">
        <v>432</v>
      </c>
      <c r="L332" s="39" t="s">
        <v>480</v>
      </c>
      <c r="M332" s="39">
        <v>1</v>
      </c>
      <c r="N332" s="86">
        <v>300</v>
      </c>
      <c r="O332" s="41">
        <v>300</v>
      </c>
      <c r="P332" s="86" t="s">
        <v>1017</v>
      </c>
      <c r="Q332" s="143"/>
      <c r="R332" s="78"/>
      <c r="S332" s="87" t="s">
        <v>415</v>
      </c>
      <c r="T332" s="87" t="s">
        <v>415</v>
      </c>
      <c r="U332" s="36">
        <v>44497</v>
      </c>
      <c r="V332" s="40">
        <f t="shared" si="69"/>
        <v>300</v>
      </c>
      <c r="W332" s="43">
        <f t="shared" si="70"/>
        <v>0</v>
      </c>
    </row>
    <row r="333" spans="1:23" ht="25.5" x14ac:dyDescent="0.25">
      <c r="A333" s="45" t="s">
        <v>1855</v>
      </c>
      <c r="B333" s="46">
        <v>44498</v>
      </c>
      <c r="C333" s="45" t="s">
        <v>2129</v>
      </c>
      <c r="D333" s="46" t="s">
        <v>1079</v>
      </c>
      <c r="E333" s="72" t="s">
        <v>980</v>
      </c>
      <c r="F333" s="48" t="s">
        <v>2130</v>
      </c>
      <c r="G333" s="47" t="s">
        <v>2131</v>
      </c>
      <c r="H333" s="47" t="s">
        <v>437</v>
      </c>
      <c r="I333" s="48" t="s">
        <v>1434</v>
      </c>
      <c r="J333" s="48" t="s">
        <v>1435</v>
      </c>
      <c r="K333" s="49" t="s">
        <v>39</v>
      </c>
      <c r="L333" s="49" t="s">
        <v>40</v>
      </c>
      <c r="M333" s="49">
        <v>17</v>
      </c>
      <c r="N333" s="80">
        <f t="shared" si="65"/>
        <v>300</v>
      </c>
      <c r="O333" s="51">
        <v>200</v>
      </c>
      <c r="P333" s="81" t="str">
        <f t="shared" si="66"/>
        <v>OK</v>
      </c>
      <c r="Q333" s="142"/>
      <c r="R333" s="76"/>
      <c r="S333" s="81" t="str">
        <f t="shared" si="67"/>
        <v/>
      </c>
      <c r="T333" s="81" t="str">
        <f t="shared" si="68"/>
        <v/>
      </c>
      <c r="U333" s="46">
        <v>44499</v>
      </c>
      <c r="V333" s="50">
        <f t="shared" si="69"/>
        <v>200</v>
      </c>
      <c r="W333" s="53">
        <f t="shared" si="70"/>
        <v>0</v>
      </c>
    </row>
    <row r="334" spans="1:23" ht="25.5" x14ac:dyDescent="0.25">
      <c r="A334" s="35" t="s">
        <v>1856</v>
      </c>
      <c r="B334" s="36">
        <v>44503</v>
      </c>
      <c r="C334" s="35" t="s">
        <v>2132</v>
      </c>
      <c r="D334" s="36" t="s">
        <v>1134</v>
      </c>
      <c r="E334" s="73" t="s">
        <v>1073</v>
      </c>
      <c r="F334" s="38" t="s">
        <v>2133</v>
      </c>
      <c r="G334" s="37" t="s">
        <v>2134</v>
      </c>
      <c r="H334" s="37" t="s">
        <v>2135</v>
      </c>
      <c r="I334" s="38" t="s">
        <v>320</v>
      </c>
      <c r="J334" s="39" t="s">
        <v>317</v>
      </c>
      <c r="K334" s="39" t="s">
        <v>432</v>
      </c>
      <c r="L334" s="39" t="s">
        <v>480</v>
      </c>
      <c r="M334" s="39">
        <v>1</v>
      </c>
      <c r="N334" s="86">
        <v>300</v>
      </c>
      <c r="O334" s="41">
        <v>300</v>
      </c>
      <c r="P334" s="86" t="str">
        <f t="shared" si="66"/>
        <v>OK</v>
      </c>
      <c r="Q334" s="143"/>
      <c r="R334" s="78"/>
      <c r="S334" s="87" t="str">
        <f t="shared" si="67"/>
        <v/>
      </c>
      <c r="T334" s="87" t="str">
        <f t="shared" si="68"/>
        <v/>
      </c>
      <c r="U334" s="36">
        <v>44504</v>
      </c>
      <c r="V334" s="40">
        <f t="shared" si="69"/>
        <v>300</v>
      </c>
      <c r="W334" s="43">
        <f t="shared" si="70"/>
        <v>0</v>
      </c>
    </row>
    <row r="335" spans="1:23" ht="25.5" x14ac:dyDescent="0.25">
      <c r="A335" s="45" t="s">
        <v>1857</v>
      </c>
      <c r="B335" s="46">
        <v>44503</v>
      </c>
      <c r="C335" s="45" t="s">
        <v>2136</v>
      </c>
      <c r="D335" s="46" t="s">
        <v>1134</v>
      </c>
      <c r="E335" s="72" t="s">
        <v>1073</v>
      </c>
      <c r="F335" s="48" t="s">
        <v>2137</v>
      </c>
      <c r="G335" s="47" t="s">
        <v>2138</v>
      </c>
      <c r="H335" s="47" t="s">
        <v>2139</v>
      </c>
      <c r="I335" s="48" t="s">
        <v>320</v>
      </c>
      <c r="J335" s="48" t="s">
        <v>317</v>
      </c>
      <c r="K335" s="49" t="s">
        <v>432</v>
      </c>
      <c r="L335" s="49" t="s">
        <v>480</v>
      </c>
      <c r="M335" s="49">
        <v>1</v>
      </c>
      <c r="N335" s="80">
        <v>300</v>
      </c>
      <c r="O335" s="51">
        <v>300</v>
      </c>
      <c r="P335" s="81" t="s">
        <v>1017</v>
      </c>
      <c r="Q335" s="142"/>
      <c r="R335" s="76"/>
      <c r="S335" s="81" t="s">
        <v>415</v>
      </c>
      <c r="T335" s="81" t="s">
        <v>415</v>
      </c>
      <c r="U335" s="46">
        <v>44504</v>
      </c>
      <c r="V335" s="50">
        <f t="shared" si="69"/>
        <v>300</v>
      </c>
      <c r="W335" s="53">
        <f t="shared" si="70"/>
        <v>0</v>
      </c>
    </row>
    <row r="336" spans="1:23" ht="38.25" x14ac:dyDescent="0.25">
      <c r="A336" s="35" t="s">
        <v>1858</v>
      </c>
      <c r="B336" s="36">
        <v>44503</v>
      </c>
      <c r="C336" s="35" t="s">
        <v>2140</v>
      </c>
      <c r="D336" s="36" t="s">
        <v>1134</v>
      </c>
      <c r="E336" s="73" t="s">
        <v>1073</v>
      </c>
      <c r="F336" s="38" t="s">
        <v>2141</v>
      </c>
      <c r="G336" s="37" t="s">
        <v>2142</v>
      </c>
      <c r="H336" s="37" t="s">
        <v>2143</v>
      </c>
      <c r="I336" s="38" t="s">
        <v>320</v>
      </c>
      <c r="J336" s="39" t="s">
        <v>317</v>
      </c>
      <c r="K336" s="39" t="s">
        <v>432</v>
      </c>
      <c r="L336" s="39" t="s">
        <v>480</v>
      </c>
      <c r="M336" s="39">
        <v>1</v>
      </c>
      <c r="N336" s="86">
        <v>300</v>
      </c>
      <c r="O336" s="41">
        <v>300</v>
      </c>
      <c r="P336" s="86" t="s">
        <v>1017</v>
      </c>
      <c r="Q336" s="143"/>
      <c r="R336" s="78"/>
      <c r="S336" s="87" t="s">
        <v>415</v>
      </c>
      <c r="T336" s="87" t="s">
        <v>415</v>
      </c>
      <c r="U336" s="36">
        <v>44504</v>
      </c>
      <c r="V336" s="40">
        <f t="shared" si="69"/>
        <v>300</v>
      </c>
      <c r="W336" s="43">
        <f t="shared" si="70"/>
        <v>0</v>
      </c>
    </row>
    <row r="337" spans="1:23" ht="25.5" x14ac:dyDescent="0.25">
      <c r="A337" s="45" t="s">
        <v>1859</v>
      </c>
      <c r="B337" s="46">
        <v>44501</v>
      </c>
      <c r="C337" s="45" t="s">
        <v>2144</v>
      </c>
      <c r="D337" s="46" t="s">
        <v>1134</v>
      </c>
      <c r="E337" s="72" t="s">
        <v>1073</v>
      </c>
      <c r="F337" s="48" t="s">
        <v>2145</v>
      </c>
      <c r="G337" s="47" t="s">
        <v>2146</v>
      </c>
      <c r="H337" s="47" t="s">
        <v>1712</v>
      </c>
      <c r="I337" s="48" t="s">
        <v>320</v>
      </c>
      <c r="J337" s="48" t="s">
        <v>317</v>
      </c>
      <c r="K337" s="49" t="s">
        <v>432</v>
      </c>
      <c r="L337" s="49" t="s">
        <v>480</v>
      </c>
      <c r="M337" s="49">
        <v>1</v>
      </c>
      <c r="N337" s="80">
        <v>300</v>
      </c>
      <c r="O337" s="51">
        <v>300</v>
      </c>
      <c r="P337" s="81" t="str">
        <f t="shared" si="66"/>
        <v>OK</v>
      </c>
      <c r="Q337" s="142"/>
      <c r="R337" s="76"/>
      <c r="S337" s="81" t="str">
        <f t="shared" si="67"/>
        <v/>
      </c>
      <c r="T337" s="81" t="str">
        <f t="shared" si="68"/>
        <v/>
      </c>
      <c r="U337" s="46">
        <v>44504</v>
      </c>
      <c r="V337" s="50">
        <f t="shared" si="69"/>
        <v>300</v>
      </c>
      <c r="W337" s="53">
        <f t="shared" si="70"/>
        <v>0</v>
      </c>
    </row>
    <row r="338" spans="1:23" ht="25.5" x14ac:dyDescent="0.25">
      <c r="A338" s="35" t="s">
        <v>1860</v>
      </c>
      <c r="B338" s="36">
        <v>44496</v>
      </c>
      <c r="C338" s="35" t="s">
        <v>2147</v>
      </c>
      <c r="D338" s="36" t="s">
        <v>1000</v>
      </c>
      <c r="E338" s="73" t="s">
        <v>1064</v>
      </c>
      <c r="F338" s="38" t="s">
        <v>2148</v>
      </c>
      <c r="G338" s="37" t="s">
        <v>2149</v>
      </c>
      <c r="H338" s="37" t="s">
        <v>2150</v>
      </c>
      <c r="I338" s="38" t="s">
        <v>2151</v>
      </c>
      <c r="J338" s="39" t="s">
        <v>2152</v>
      </c>
      <c r="K338" s="39" t="s">
        <v>37</v>
      </c>
      <c r="L338" s="39" t="s">
        <v>1413</v>
      </c>
      <c r="M338" s="39">
        <v>16</v>
      </c>
      <c r="N338" s="86">
        <f t="shared" si="65"/>
        <v>300</v>
      </c>
      <c r="O338" s="41">
        <v>300</v>
      </c>
      <c r="P338" s="86" t="str">
        <f t="shared" si="66"/>
        <v>OK</v>
      </c>
      <c r="Q338" s="143"/>
      <c r="R338" s="78"/>
      <c r="S338" s="87" t="str">
        <f t="shared" si="67"/>
        <v/>
      </c>
      <c r="T338" s="87" t="str">
        <f t="shared" si="68"/>
        <v/>
      </c>
      <c r="U338" s="36">
        <v>44505</v>
      </c>
      <c r="V338" s="40">
        <f t="shared" si="69"/>
        <v>300</v>
      </c>
      <c r="W338" s="43">
        <f t="shared" si="70"/>
        <v>0</v>
      </c>
    </row>
    <row r="339" spans="1:23" ht="25.5" x14ac:dyDescent="0.25">
      <c r="A339" s="45" t="s">
        <v>1861</v>
      </c>
      <c r="B339" s="46">
        <v>44508</v>
      </c>
      <c r="C339" s="45" t="s">
        <v>2153</v>
      </c>
      <c r="D339" s="46" t="s">
        <v>1134</v>
      </c>
      <c r="E339" s="72" t="s">
        <v>1073</v>
      </c>
      <c r="F339" s="48" t="s">
        <v>2154</v>
      </c>
      <c r="G339" s="47" t="s">
        <v>2155</v>
      </c>
      <c r="H339" s="47" t="s">
        <v>2156</v>
      </c>
      <c r="I339" s="48" t="s">
        <v>320</v>
      </c>
      <c r="J339" s="48" t="s">
        <v>317</v>
      </c>
      <c r="K339" s="49" t="s">
        <v>432</v>
      </c>
      <c r="L339" s="49" t="s">
        <v>480</v>
      </c>
      <c r="M339" s="49">
        <v>1</v>
      </c>
      <c r="N339" s="80">
        <v>300</v>
      </c>
      <c r="O339" s="51">
        <v>300</v>
      </c>
      <c r="P339" s="81" t="str">
        <f t="shared" si="66"/>
        <v>OK</v>
      </c>
      <c r="Q339" s="142"/>
      <c r="R339" s="76"/>
      <c r="S339" s="81" t="str">
        <f t="shared" si="67"/>
        <v/>
      </c>
      <c r="T339" s="81" t="str">
        <f t="shared" si="68"/>
        <v/>
      </c>
      <c r="U339" s="46">
        <v>44509</v>
      </c>
      <c r="V339" s="50">
        <f t="shared" si="69"/>
        <v>300</v>
      </c>
      <c r="W339" s="53">
        <f t="shared" si="70"/>
        <v>0</v>
      </c>
    </row>
    <row r="340" spans="1:23" ht="38.25" x14ac:dyDescent="0.25">
      <c r="A340" s="35" t="s">
        <v>1862</v>
      </c>
      <c r="B340" s="36">
        <v>44508</v>
      </c>
      <c r="C340" s="35" t="s">
        <v>2157</v>
      </c>
      <c r="D340" s="36" t="s">
        <v>1134</v>
      </c>
      <c r="E340" s="73" t="s">
        <v>1073</v>
      </c>
      <c r="F340" s="38" t="s">
        <v>2158</v>
      </c>
      <c r="G340" s="37" t="s">
        <v>2159</v>
      </c>
      <c r="H340" s="37" t="s">
        <v>428</v>
      </c>
      <c r="I340" s="38" t="s">
        <v>320</v>
      </c>
      <c r="J340" s="39" t="s">
        <v>317</v>
      </c>
      <c r="K340" s="39" t="s">
        <v>432</v>
      </c>
      <c r="L340" s="39" t="s">
        <v>480</v>
      </c>
      <c r="M340" s="39">
        <v>1</v>
      </c>
      <c r="N340" s="86">
        <v>300</v>
      </c>
      <c r="O340" s="41">
        <v>300</v>
      </c>
      <c r="P340" s="86" t="str">
        <f t="shared" si="66"/>
        <v>OK</v>
      </c>
      <c r="Q340" s="143"/>
      <c r="R340" s="78"/>
      <c r="S340" s="87" t="str">
        <f t="shared" si="67"/>
        <v/>
      </c>
      <c r="T340" s="87" t="str">
        <f t="shared" si="68"/>
        <v/>
      </c>
      <c r="U340" s="36">
        <v>44509</v>
      </c>
      <c r="V340" s="40">
        <f t="shared" si="69"/>
        <v>300</v>
      </c>
      <c r="W340" s="43">
        <f t="shared" si="70"/>
        <v>0</v>
      </c>
    </row>
    <row r="341" spans="1:23" ht="25.5" x14ac:dyDescent="0.25">
      <c r="A341" s="45" t="s">
        <v>1863</v>
      </c>
      <c r="B341" s="46">
        <v>44497</v>
      </c>
      <c r="C341" s="45" t="s">
        <v>2160</v>
      </c>
      <c r="D341" s="46" t="s">
        <v>466</v>
      </c>
      <c r="E341" s="72" t="s">
        <v>1070</v>
      </c>
      <c r="F341" s="48" t="s">
        <v>2161</v>
      </c>
      <c r="G341" s="47" t="s">
        <v>2162</v>
      </c>
      <c r="H341" s="47" t="s">
        <v>2163</v>
      </c>
      <c r="I341" s="48" t="s">
        <v>320</v>
      </c>
      <c r="J341" s="48" t="s">
        <v>317</v>
      </c>
      <c r="K341" s="49" t="s">
        <v>432</v>
      </c>
      <c r="L341" s="49" t="s">
        <v>480</v>
      </c>
      <c r="M341" s="49">
        <v>1</v>
      </c>
      <c r="N341" s="80">
        <v>300</v>
      </c>
      <c r="O341" s="51">
        <v>370</v>
      </c>
      <c r="P341" s="81" t="str">
        <f t="shared" si="66"/>
        <v>OK</v>
      </c>
      <c r="Q341" s="142"/>
      <c r="R341" s="76"/>
      <c r="S341" s="81" t="str">
        <f t="shared" si="67"/>
        <v/>
      </c>
      <c r="T341" s="81" t="str">
        <f t="shared" si="68"/>
        <v/>
      </c>
      <c r="U341" s="46">
        <v>44509</v>
      </c>
      <c r="V341" s="50">
        <f t="shared" si="69"/>
        <v>370</v>
      </c>
      <c r="W341" s="53">
        <f t="shared" si="70"/>
        <v>0</v>
      </c>
    </row>
    <row r="342" spans="1:23" ht="25.5" x14ac:dyDescent="0.25">
      <c r="A342" s="35" t="s">
        <v>1864</v>
      </c>
      <c r="B342" s="36">
        <v>44510</v>
      </c>
      <c r="C342" s="35" t="s">
        <v>2164</v>
      </c>
      <c r="D342" s="36" t="s">
        <v>1804</v>
      </c>
      <c r="E342" s="73" t="s">
        <v>1726</v>
      </c>
      <c r="F342" s="38" t="s">
        <v>2165</v>
      </c>
      <c r="G342" s="37" t="s">
        <v>2166</v>
      </c>
      <c r="H342" s="37" t="s">
        <v>437</v>
      </c>
      <c r="I342" s="38" t="s">
        <v>1729</v>
      </c>
      <c r="J342" s="39" t="s">
        <v>2167</v>
      </c>
      <c r="K342" s="39" t="s">
        <v>31</v>
      </c>
      <c r="L342" s="39" t="s">
        <v>1413</v>
      </c>
      <c r="M342" s="39">
        <v>15</v>
      </c>
      <c r="N342" s="86">
        <f t="shared" si="65"/>
        <v>370</v>
      </c>
      <c r="O342" s="41">
        <v>370</v>
      </c>
      <c r="P342" s="86" t="str">
        <f t="shared" si="66"/>
        <v>OK</v>
      </c>
      <c r="Q342" s="143"/>
      <c r="R342" s="78"/>
      <c r="S342" s="87" t="str">
        <f t="shared" si="67"/>
        <v/>
      </c>
      <c r="T342" s="87" t="str">
        <f t="shared" si="68"/>
        <v/>
      </c>
      <c r="U342" s="36">
        <v>44510</v>
      </c>
      <c r="V342" s="40">
        <f t="shared" si="69"/>
        <v>370</v>
      </c>
      <c r="W342" s="43">
        <f t="shared" si="70"/>
        <v>0</v>
      </c>
    </row>
    <row r="343" spans="1:23" ht="25.5" x14ac:dyDescent="0.25">
      <c r="A343" s="45" t="s">
        <v>1865</v>
      </c>
      <c r="B343" s="46">
        <v>44509</v>
      </c>
      <c r="C343" s="45" t="s">
        <v>2168</v>
      </c>
      <c r="D343" s="46" t="s">
        <v>1804</v>
      </c>
      <c r="E343" s="72" t="s">
        <v>1726</v>
      </c>
      <c r="F343" s="48" t="s">
        <v>2169</v>
      </c>
      <c r="G343" s="47" t="s">
        <v>2170</v>
      </c>
      <c r="H343" s="47" t="s">
        <v>2171</v>
      </c>
      <c r="I343" s="48" t="s">
        <v>2172</v>
      </c>
      <c r="J343" s="48" t="s">
        <v>2173</v>
      </c>
      <c r="K343" s="49" t="s">
        <v>31</v>
      </c>
      <c r="L343" s="49" t="s">
        <v>1413</v>
      </c>
      <c r="M343" s="49">
        <v>15</v>
      </c>
      <c r="N343" s="80">
        <f t="shared" si="65"/>
        <v>370</v>
      </c>
      <c r="O343" s="51">
        <v>370</v>
      </c>
      <c r="P343" s="81" t="str">
        <f t="shared" si="66"/>
        <v>OK</v>
      </c>
      <c r="Q343" s="142"/>
      <c r="R343" s="76"/>
      <c r="S343" s="81" t="str">
        <f t="shared" si="67"/>
        <v/>
      </c>
      <c r="T343" s="81" t="str">
        <f t="shared" si="68"/>
        <v/>
      </c>
      <c r="U343" s="46">
        <v>44510</v>
      </c>
      <c r="V343" s="50">
        <f t="shared" si="69"/>
        <v>370</v>
      </c>
      <c r="W343" s="53">
        <f t="shared" si="70"/>
        <v>0</v>
      </c>
    </row>
    <row r="344" spans="1:23" ht="25.5" x14ac:dyDescent="0.25">
      <c r="A344" s="35" t="s">
        <v>1866</v>
      </c>
      <c r="B344" s="36">
        <v>44509</v>
      </c>
      <c r="C344" s="35" t="s">
        <v>2174</v>
      </c>
      <c r="D344" s="36" t="s">
        <v>1134</v>
      </c>
      <c r="E344" s="73" t="s">
        <v>1073</v>
      </c>
      <c r="F344" s="38" t="s">
        <v>2175</v>
      </c>
      <c r="G344" s="37" t="s">
        <v>2176</v>
      </c>
      <c r="H344" s="37" t="s">
        <v>428</v>
      </c>
      <c r="I344" s="38" t="s">
        <v>320</v>
      </c>
      <c r="J344" s="39" t="s">
        <v>317</v>
      </c>
      <c r="K344" s="39" t="s">
        <v>432</v>
      </c>
      <c r="L344" s="39" t="s">
        <v>480</v>
      </c>
      <c r="M344" s="39">
        <v>1</v>
      </c>
      <c r="N344" s="86">
        <v>300</v>
      </c>
      <c r="O344" s="41">
        <v>300</v>
      </c>
      <c r="P344" s="86" t="str">
        <f t="shared" si="66"/>
        <v>OK</v>
      </c>
      <c r="Q344" s="143"/>
      <c r="R344" s="78"/>
      <c r="S344" s="87" t="str">
        <f t="shared" si="67"/>
        <v/>
      </c>
      <c r="T344" s="87" t="str">
        <f t="shared" si="68"/>
        <v/>
      </c>
      <c r="U344" s="36">
        <v>44510</v>
      </c>
      <c r="V344" s="40">
        <f t="shared" si="69"/>
        <v>300</v>
      </c>
      <c r="W344" s="43">
        <f t="shared" si="70"/>
        <v>0</v>
      </c>
    </row>
    <row r="345" spans="1:23" ht="38.25" x14ac:dyDescent="0.25">
      <c r="A345" s="45" t="s">
        <v>1867</v>
      </c>
      <c r="B345" s="46">
        <v>44455</v>
      </c>
      <c r="C345" s="45" t="s">
        <v>2177</v>
      </c>
      <c r="D345" s="46" t="s">
        <v>2178</v>
      </c>
      <c r="E345" s="72" t="s">
        <v>1064</v>
      </c>
      <c r="F345" s="48" t="s">
        <v>2179</v>
      </c>
      <c r="G345" s="47" t="s">
        <v>2180</v>
      </c>
      <c r="H345" s="47" t="s">
        <v>2181</v>
      </c>
      <c r="I345" s="48" t="s">
        <v>2182</v>
      </c>
      <c r="J345" s="48" t="s">
        <v>2183</v>
      </c>
      <c r="K345" s="49" t="s">
        <v>16</v>
      </c>
      <c r="L345" s="49" t="s">
        <v>23</v>
      </c>
      <c r="M345" s="49">
        <v>9</v>
      </c>
      <c r="N345" s="80">
        <f t="shared" si="65"/>
        <v>700</v>
      </c>
      <c r="O345" s="51">
        <v>700</v>
      </c>
      <c r="P345" s="81" t="str">
        <f t="shared" si="66"/>
        <v>OK</v>
      </c>
      <c r="Q345" s="142"/>
      <c r="R345" s="76"/>
      <c r="S345" s="81" t="str">
        <f t="shared" si="67"/>
        <v/>
      </c>
      <c r="T345" s="81" t="str">
        <f t="shared" si="68"/>
        <v/>
      </c>
      <c r="U345" s="46">
        <v>44512</v>
      </c>
      <c r="V345" s="50">
        <f t="shared" si="69"/>
        <v>700</v>
      </c>
      <c r="W345" s="53">
        <f t="shared" si="70"/>
        <v>0</v>
      </c>
    </row>
    <row r="346" spans="1:23" ht="38.25" x14ac:dyDescent="0.25">
      <c r="A346" s="35" t="s">
        <v>1868</v>
      </c>
      <c r="B346" s="36">
        <v>44534</v>
      </c>
      <c r="C346" s="35" t="s">
        <v>2184</v>
      </c>
      <c r="D346" s="36" t="s">
        <v>1055</v>
      </c>
      <c r="E346" s="73" t="s">
        <v>1080</v>
      </c>
      <c r="F346" s="38" t="s">
        <v>2185</v>
      </c>
      <c r="G346" s="37" t="s">
        <v>2186</v>
      </c>
      <c r="H346" s="37" t="s">
        <v>2187</v>
      </c>
      <c r="I346" s="38" t="s">
        <v>320</v>
      </c>
      <c r="J346" s="39" t="s">
        <v>317</v>
      </c>
      <c r="K346" s="39" t="s">
        <v>16</v>
      </c>
      <c r="L346" s="39" t="s">
        <v>23</v>
      </c>
      <c r="M346" s="39">
        <v>9</v>
      </c>
      <c r="N346" s="86">
        <f t="shared" si="65"/>
        <v>700</v>
      </c>
      <c r="O346" s="41">
        <v>1000</v>
      </c>
      <c r="P346" s="86" t="str">
        <f t="shared" si="66"/>
        <v>OK</v>
      </c>
      <c r="Q346" s="143"/>
      <c r="R346" s="78"/>
      <c r="S346" s="87" t="str">
        <f t="shared" si="67"/>
        <v/>
      </c>
      <c r="T346" s="87" t="str">
        <f t="shared" si="68"/>
        <v/>
      </c>
      <c r="U346" s="36">
        <v>44511</v>
      </c>
      <c r="V346" s="40">
        <f t="shared" si="69"/>
        <v>1000</v>
      </c>
      <c r="W346" s="43">
        <f t="shared" si="70"/>
        <v>0</v>
      </c>
    </row>
    <row r="347" spans="1:23" ht="38.25" x14ac:dyDescent="0.25">
      <c r="A347" s="45" t="s">
        <v>1869</v>
      </c>
      <c r="B347" s="46">
        <v>44426</v>
      </c>
      <c r="C347" s="45" t="s">
        <v>2188</v>
      </c>
      <c r="D347" s="46" t="s">
        <v>989</v>
      </c>
      <c r="E347" s="72" t="s">
        <v>1064</v>
      </c>
      <c r="F347" s="48" t="s">
        <v>2189</v>
      </c>
      <c r="G347" s="47" t="s">
        <v>2190</v>
      </c>
      <c r="H347" s="47" t="s">
        <v>2191</v>
      </c>
      <c r="I347" s="48" t="s">
        <v>1153</v>
      </c>
      <c r="J347" s="48" t="s">
        <v>1154</v>
      </c>
      <c r="K347" s="49" t="s">
        <v>5</v>
      </c>
      <c r="L347" s="49" t="s">
        <v>10</v>
      </c>
      <c r="M347" s="49">
        <v>3</v>
      </c>
      <c r="N347" s="80">
        <f t="shared" si="65"/>
        <v>630</v>
      </c>
      <c r="O347" s="51">
        <v>630</v>
      </c>
      <c r="P347" s="81" t="str">
        <f t="shared" si="66"/>
        <v>OK</v>
      </c>
      <c r="Q347" s="142"/>
      <c r="R347" s="76"/>
      <c r="S347" s="81" t="str">
        <f t="shared" si="67"/>
        <v/>
      </c>
      <c r="T347" s="81" t="str">
        <f t="shared" si="68"/>
        <v/>
      </c>
      <c r="U347" s="46">
        <v>44512</v>
      </c>
      <c r="V347" s="50">
        <f t="shared" si="69"/>
        <v>630</v>
      </c>
      <c r="W347" s="53">
        <f t="shared" si="70"/>
        <v>0</v>
      </c>
    </row>
    <row r="348" spans="1:23" ht="25.5" x14ac:dyDescent="0.25">
      <c r="A348" s="35" t="s">
        <v>1870</v>
      </c>
      <c r="B348" s="36">
        <v>44235</v>
      </c>
      <c r="C348" s="35" t="s">
        <v>2192</v>
      </c>
      <c r="D348" s="36" t="s">
        <v>990</v>
      </c>
      <c r="E348" s="73" t="s">
        <v>1064</v>
      </c>
      <c r="F348" s="38" t="s">
        <v>2193</v>
      </c>
      <c r="G348" s="37" t="s">
        <v>2194</v>
      </c>
      <c r="H348" s="37" t="s">
        <v>2195</v>
      </c>
      <c r="I348" s="38" t="s">
        <v>667</v>
      </c>
      <c r="J348" s="39" t="s">
        <v>668</v>
      </c>
      <c r="K348" s="39" t="s">
        <v>39</v>
      </c>
      <c r="L348" s="39" t="s">
        <v>40</v>
      </c>
      <c r="M348" s="39">
        <v>17</v>
      </c>
      <c r="N348" s="86">
        <v>300</v>
      </c>
      <c r="O348" s="41">
        <v>450</v>
      </c>
      <c r="P348" s="86" t="str">
        <f t="shared" si="66"/>
        <v>OK</v>
      </c>
      <c r="Q348" s="143"/>
      <c r="R348" s="78"/>
      <c r="S348" s="87" t="str">
        <f t="shared" si="67"/>
        <v/>
      </c>
      <c r="T348" s="87" t="str">
        <f t="shared" si="68"/>
        <v/>
      </c>
      <c r="U348" s="36">
        <v>44512</v>
      </c>
      <c r="V348" s="40">
        <f t="shared" si="69"/>
        <v>450</v>
      </c>
      <c r="W348" s="43">
        <f t="shared" si="70"/>
        <v>0</v>
      </c>
    </row>
    <row r="349" spans="1:23" ht="38.25" x14ac:dyDescent="0.25">
      <c r="A349" s="45" t="s">
        <v>1871</v>
      </c>
      <c r="B349" s="46">
        <v>44433</v>
      </c>
      <c r="C349" s="45" t="s">
        <v>2196</v>
      </c>
      <c r="D349" s="46" t="s">
        <v>1211</v>
      </c>
      <c r="E349" s="72" t="s">
        <v>1071</v>
      </c>
      <c r="F349" s="48" t="s">
        <v>2197</v>
      </c>
      <c r="G349" s="47" t="s">
        <v>2198</v>
      </c>
      <c r="H349" s="47" t="s">
        <v>2199</v>
      </c>
      <c r="I349" s="48" t="s">
        <v>2200</v>
      </c>
      <c r="J349" s="48" t="s">
        <v>2201</v>
      </c>
      <c r="K349" s="49" t="s">
        <v>16</v>
      </c>
      <c r="L349" s="49" t="s">
        <v>23</v>
      </c>
      <c r="M349" s="49">
        <v>9</v>
      </c>
      <c r="N349" s="80">
        <f t="shared" si="65"/>
        <v>700</v>
      </c>
      <c r="O349" s="51">
        <v>1500</v>
      </c>
      <c r="P349" s="81" t="str">
        <f t="shared" si="66"/>
        <v>OK</v>
      </c>
      <c r="Q349" s="142"/>
      <c r="R349" s="76"/>
      <c r="S349" s="81" t="str">
        <f t="shared" si="67"/>
        <v/>
      </c>
      <c r="T349" s="81" t="str">
        <f t="shared" si="68"/>
        <v/>
      </c>
      <c r="U349" s="46">
        <v>44512</v>
      </c>
      <c r="V349" s="50">
        <f t="shared" si="69"/>
        <v>1500</v>
      </c>
      <c r="W349" s="53">
        <f t="shared" si="70"/>
        <v>0</v>
      </c>
    </row>
    <row r="350" spans="1:23" ht="38.25" x14ac:dyDescent="0.25">
      <c r="A350" s="35" t="s">
        <v>1872</v>
      </c>
      <c r="B350" s="36">
        <v>44406</v>
      </c>
      <c r="C350" s="35" t="s">
        <v>2202</v>
      </c>
      <c r="D350" s="36" t="s">
        <v>1211</v>
      </c>
      <c r="E350" s="73" t="s">
        <v>1071</v>
      </c>
      <c r="F350" s="38" t="s">
        <v>2203</v>
      </c>
      <c r="G350" s="37" t="s">
        <v>2204</v>
      </c>
      <c r="H350" s="37" t="s">
        <v>2205</v>
      </c>
      <c r="I350" s="38" t="s">
        <v>320</v>
      </c>
      <c r="J350" s="39" t="s">
        <v>317</v>
      </c>
      <c r="K350" s="39" t="s">
        <v>432</v>
      </c>
      <c r="L350" s="39" t="s">
        <v>480</v>
      </c>
      <c r="M350" s="39">
        <v>1</v>
      </c>
      <c r="N350" s="86">
        <v>300</v>
      </c>
      <c r="O350" s="41">
        <v>700</v>
      </c>
      <c r="P350" s="86" t="str">
        <f t="shared" si="66"/>
        <v>OK</v>
      </c>
      <c r="Q350" s="143"/>
      <c r="R350" s="78"/>
      <c r="S350" s="87" t="str">
        <f t="shared" si="67"/>
        <v/>
      </c>
      <c r="T350" s="87" t="str">
        <f t="shared" si="68"/>
        <v/>
      </c>
      <c r="U350" s="36">
        <v>44512</v>
      </c>
      <c r="V350" s="40">
        <f t="shared" si="69"/>
        <v>700</v>
      </c>
      <c r="W350" s="43">
        <f t="shared" si="70"/>
        <v>0</v>
      </c>
    </row>
    <row r="351" spans="1:23" ht="38.25" x14ac:dyDescent="0.25">
      <c r="A351" s="45" t="s">
        <v>1873</v>
      </c>
      <c r="B351" s="46">
        <v>44453</v>
      </c>
      <c r="C351" s="45" t="s">
        <v>2206</v>
      </c>
      <c r="D351" s="46" t="s">
        <v>996</v>
      </c>
      <c r="E351" s="72" t="s">
        <v>1064</v>
      </c>
      <c r="F351" s="48" t="s">
        <v>2207</v>
      </c>
      <c r="G351" s="47" t="s">
        <v>2208</v>
      </c>
      <c r="H351" s="47" t="s">
        <v>2209</v>
      </c>
      <c r="I351" s="48" t="s">
        <v>888</v>
      </c>
      <c r="J351" s="48" t="s">
        <v>2210</v>
      </c>
      <c r="K351" s="49" t="s">
        <v>16</v>
      </c>
      <c r="L351" s="49" t="s">
        <v>23</v>
      </c>
      <c r="M351" s="49">
        <v>9</v>
      </c>
      <c r="N351" s="80">
        <f t="shared" si="65"/>
        <v>700</v>
      </c>
      <c r="O351" s="51">
        <v>740</v>
      </c>
      <c r="P351" s="81" t="str">
        <f t="shared" si="66"/>
        <v>OK</v>
      </c>
      <c r="Q351" s="142"/>
      <c r="R351" s="76"/>
      <c r="S351" s="81" t="str">
        <f t="shared" si="67"/>
        <v/>
      </c>
      <c r="T351" s="81" t="str">
        <f t="shared" si="68"/>
        <v/>
      </c>
      <c r="U351" s="46">
        <v>44512</v>
      </c>
      <c r="V351" s="50">
        <f t="shared" si="69"/>
        <v>740</v>
      </c>
      <c r="W351" s="53">
        <f t="shared" si="70"/>
        <v>0</v>
      </c>
    </row>
    <row r="352" spans="1:23" ht="38.25" x14ac:dyDescent="0.25">
      <c r="A352" s="35" t="s">
        <v>1874</v>
      </c>
      <c r="B352" s="36">
        <v>44364</v>
      </c>
      <c r="C352" s="35" t="s">
        <v>2211</v>
      </c>
      <c r="D352" s="36" t="s">
        <v>802</v>
      </c>
      <c r="E352" s="73" t="s">
        <v>1068</v>
      </c>
      <c r="F352" s="38" t="s">
        <v>2212</v>
      </c>
      <c r="G352" s="37" t="s">
        <v>2213</v>
      </c>
      <c r="H352" s="37" t="s">
        <v>437</v>
      </c>
      <c r="I352" s="38" t="s">
        <v>806</v>
      </c>
      <c r="J352" s="39" t="s">
        <v>807</v>
      </c>
      <c r="K352" s="39" t="s">
        <v>31</v>
      </c>
      <c r="L352" s="39" t="s">
        <v>29</v>
      </c>
      <c r="M352" s="39">
        <v>15</v>
      </c>
      <c r="N352" s="86">
        <f t="shared" si="65"/>
        <v>370</v>
      </c>
      <c r="O352" s="41">
        <v>622</v>
      </c>
      <c r="P352" s="86" t="str">
        <f t="shared" si="66"/>
        <v>OK</v>
      </c>
      <c r="Q352" s="143"/>
      <c r="R352" s="78"/>
      <c r="S352" s="87" t="str">
        <f t="shared" si="67"/>
        <v/>
      </c>
      <c r="T352" s="87" t="str">
        <f t="shared" si="68"/>
        <v/>
      </c>
      <c r="U352" s="36">
        <v>44512</v>
      </c>
      <c r="V352" s="40">
        <f t="shared" si="69"/>
        <v>622</v>
      </c>
      <c r="W352" s="43">
        <f t="shared" si="70"/>
        <v>0</v>
      </c>
    </row>
    <row r="353" spans="1:23" ht="38.25" x14ac:dyDescent="0.25">
      <c r="A353" s="45" t="s">
        <v>1875</v>
      </c>
      <c r="B353" s="46">
        <v>44464</v>
      </c>
      <c r="C353" s="45" t="s">
        <v>2214</v>
      </c>
      <c r="D353" s="46" t="s">
        <v>1002</v>
      </c>
      <c r="E353" s="72" t="s">
        <v>1080</v>
      </c>
      <c r="F353" s="48" t="s">
        <v>2215</v>
      </c>
      <c r="G353" s="47" t="s">
        <v>2216</v>
      </c>
      <c r="H353" s="47" t="s">
        <v>805</v>
      </c>
      <c r="I353" s="48" t="s">
        <v>2217</v>
      </c>
      <c r="J353" s="48" t="s">
        <v>2218</v>
      </c>
      <c r="K353" s="49" t="s">
        <v>16</v>
      </c>
      <c r="L353" s="49" t="s">
        <v>23</v>
      </c>
      <c r="M353" s="49">
        <v>9</v>
      </c>
      <c r="N353" s="80">
        <f t="shared" si="65"/>
        <v>700</v>
      </c>
      <c r="O353" s="51">
        <v>16940</v>
      </c>
      <c r="P353" s="81" t="str">
        <f t="shared" si="66"/>
        <v>ACIMA</v>
      </c>
      <c r="Q353" s="142">
        <v>44512</v>
      </c>
      <c r="R353" s="76">
        <v>5082</v>
      </c>
      <c r="S353" s="81">
        <f t="shared" si="67"/>
        <v>0.3</v>
      </c>
      <c r="T353" s="81" t="str">
        <f t="shared" si="68"/>
        <v>ACIMA</v>
      </c>
      <c r="U353" s="46"/>
      <c r="V353" s="50">
        <f t="shared" si="69"/>
        <v>11858</v>
      </c>
      <c r="W353" s="53">
        <f t="shared" si="70"/>
        <v>11858</v>
      </c>
    </row>
    <row r="354" spans="1:23" ht="63.75" x14ac:dyDescent="0.25">
      <c r="A354" s="35" t="s">
        <v>1876</v>
      </c>
      <c r="B354" s="36">
        <v>44516</v>
      </c>
      <c r="C354" s="35" t="s">
        <v>2219</v>
      </c>
      <c r="D354" s="36" t="s">
        <v>2220</v>
      </c>
      <c r="E354" s="73" t="s">
        <v>2221</v>
      </c>
      <c r="F354" s="38" t="s">
        <v>2222</v>
      </c>
      <c r="G354" s="37" t="s">
        <v>2223</v>
      </c>
      <c r="H354" s="37" t="s">
        <v>2224</v>
      </c>
      <c r="I354" s="38" t="s">
        <v>2225</v>
      </c>
      <c r="J354" s="39" t="s">
        <v>2226</v>
      </c>
      <c r="K354" s="39" t="s">
        <v>31</v>
      </c>
      <c r="L354" s="39" t="s">
        <v>29</v>
      </c>
      <c r="M354" s="39">
        <v>15</v>
      </c>
      <c r="N354" s="86">
        <f t="shared" si="65"/>
        <v>370</v>
      </c>
      <c r="O354" s="41">
        <v>200</v>
      </c>
      <c r="P354" s="86" t="str">
        <f t="shared" si="66"/>
        <v>OK</v>
      </c>
      <c r="Q354" s="143"/>
      <c r="R354" s="78"/>
      <c r="S354" s="87" t="str">
        <f t="shared" si="67"/>
        <v/>
      </c>
      <c r="T354" s="87" t="str">
        <f t="shared" si="68"/>
        <v/>
      </c>
      <c r="U354" s="36">
        <v>44516</v>
      </c>
      <c r="V354" s="40">
        <f t="shared" si="69"/>
        <v>200</v>
      </c>
      <c r="W354" s="43">
        <f t="shared" si="70"/>
        <v>0</v>
      </c>
    </row>
    <row r="355" spans="1:23" ht="25.5" x14ac:dyDescent="0.25">
      <c r="A355" s="45" t="s">
        <v>1877</v>
      </c>
      <c r="B355" s="46">
        <v>44517</v>
      </c>
      <c r="C355" s="45" t="s">
        <v>2227</v>
      </c>
      <c r="D355" s="46" t="s">
        <v>1134</v>
      </c>
      <c r="E355" s="72" t="s">
        <v>1073</v>
      </c>
      <c r="F355" s="48" t="s">
        <v>2228</v>
      </c>
      <c r="G355" s="47" t="s">
        <v>2229</v>
      </c>
      <c r="H355" s="47" t="s">
        <v>1298</v>
      </c>
      <c r="I355" s="48" t="s">
        <v>320</v>
      </c>
      <c r="J355" s="48" t="s">
        <v>317</v>
      </c>
      <c r="K355" s="49" t="s">
        <v>16</v>
      </c>
      <c r="L355" s="49" t="s">
        <v>27</v>
      </c>
      <c r="M355" s="49">
        <v>11</v>
      </c>
      <c r="N355" s="80">
        <v>370</v>
      </c>
      <c r="O355" s="51">
        <v>370</v>
      </c>
      <c r="P355" s="81" t="str">
        <f t="shared" si="66"/>
        <v>OK</v>
      </c>
      <c r="Q355" s="142"/>
      <c r="R355" s="76"/>
      <c r="S355" s="81" t="str">
        <f t="shared" si="67"/>
        <v/>
      </c>
      <c r="T355" s="81" t="str">
        <f t="shared" si="68"/>
        <v/>
      </c>
      <c r="U355" s="46">
        <v>44518</v>
      </c>
      <c r="V355" s="50">
        <f t="shared" si="69"/>
        <v>370</v>
      </c>
      <c r="W355" s="53">
        <f t="shared" si="70"/>
        <v>0</v>
      </c>
    </row>
    <row r="356" spans="1:23" ht="25.5" x14ac:dyDescent="0.25">
      <c r="A356" s="35" t="s">
        <v>1878</v>
      </c>
      <c r="B356" s="36">
        <v>44517</v>
      </c>
      <c r="C356" s="35" t="s">
        <v>2230</v>
      </c>
      <c r="D356" s="36" t="s">
        <v>1173</v>
      </c>
      <c r="E356" s="73" t="s">
        <v>1311</v>
      </c>
      <c r="F356" s="38" t="s">
        <v>2231</v>
      </c>
      <c r="G356" s="37" t="s">
        <v>2232</v>
      </c>
      <c r="H356" s="37" t="s">
        <v>2233</v>
      </c>
      <c r="I356" s="38" t="s">
        <v>1189</v>
      </c>
      <c r="J356" s="39" t="s">
        <v>743</v>
      </c>
      <c r="K356" s="39" t="s">
        <v>31</v>
      </c>
      <c r="L356" s="39" t="s">
        <v>32</v>
      </c>
      <c r="M356" s="39">
        <v>13</v>
      </c>
      <c r="N356" s="86">
        <f t="shared" si="65"/>
        <v>370</v>
      </c>
      <c r="O356" s="41">
        <v>370</v>
      </c>
      <c r="P356" s="86" t="str">
        <f t="shared" si="66"/>
        <v>OK</v>
      </c>
      <c r="Q356" s="143"/>
      <c r="R356" s="78"/>
      <c r="S356" s="87" t="str">
        <f t="shared" si="67"/>
        <v/>
      </c>
      <c r="T356" s="87" t="str">
        <f t="shared" si="68"/>
        <v/>
      </c>
      <c r="U356" s="36">
        <v>44518</v>
      </c>
      <c r="V356" s="40">
        <f t="shared" si="69"/>
        <v>370</v>
      </c>
      <c r="W356" s="43">
        <f t="shared" si="70"/>
        <v>0</v>
      </c>
    </row>
    <row r="357" spans="1:23" ht="38.25" x14ac:dyDescent="0.25">
      <c r="A357" s="45" t="s">
        <v>1879</v>
      </c>
      <c r="B357" s="46">
        <v>44519</v>
      </c>
      <c r="C357" s="45" t="s">
        <v>2234</v>
      </c>
      <c r="D357" s="46" t="s">
        <v>1079</v>
      </c>
      <c r="E357" s="72" t="s">
        <v>980</v>
      </c>
      <c r="F357" s="48" t="s">
        <v>2235</v>
      </c>
      <c r="G357" s="47" t="s">
        <v>2236</v>
      </c>
      <c r="H357" s="47" t="s">
        <v>2237</v>
      </c>
      <c r="I357" s="48" t="s">
        <v>2238</v>
      </c>
      <c r="J357" s="48" t="s">
        <v>2239</v>
      </c>
      <c r="K357" s="49" t="s">
        <v>31</v>
      </c>
      <c r="L357" s="49" t="s">
        <v>1413</v>
      </c>
      <c r="M357" s="49">
        <v>13</v>
      </c>
      <c r="N357" s="80">
        <f t="shared" si="65"/>
        <v>370</v>
      </c>
      <c r="O357" s="51">
        <v>370</v>
      </c>
      <c r="P357" s="81" t="str">
        <f t="shared" si="66"/>
        <v>OK</v>
      </c>
      <c r="Q357" s="142"/>
      <c r="R357" s="76"/>
      <c r="S357" s="81" t="str">
        <f t="shared" si="67"/>
        <v/>
      </c>
      <c r="T357" s="81" t="str">
        <f t="shared" si="68"/>
        <v/>
      </c>
      <c r="U357" s="46">
        <v>44519</v>
      </c>
      <c r="V357" s="50">
        <f t="shared" si="69"/>
        <v>370</v>
      </c>
      <c r="W357" s="53">
        <f t="shared" si="70"/>
        <v>0</v>
      </c>
    </row>
    <row r="358" spans="1:23" ht="38.25" x14ac:dyDescent="0.25">
      <c r="A358" s="35" t="s">
        <v>1880</v>
      </c>
      <c r="B358" s="36">
        <v>44475</v>
      </c>
      <c r="C358" s="35" t="s">
        <v>2240</v>
      </c>
      <c r="D358" s="36" t="s">
        <v>1134</v>
      </c>
      <c r="E358" s="73" t="s">
        <v>1073</v>
      </c>
      <c r="F358" s="38" t="s">
        <v>2242</v>
      </c>
      <c r="G358" s="37" t="s">
        <v>2241</v>
      </c>
      <c r="H358" s="37" t="s">
        <v>1782</v>
      </c>
      <c r="I358" s="38" t="s">
        <v>320</v>
      </c>
      <c r="J358" s="39" t="s">
        <v>317</v>
      </c>
      <c r="K358" s="39" t="s">
        <v>432</v>
      </c>
      <c r="L358" s="39" t="s">
        <v>480</v>
      </c>
      <c r="M358" s="39">
        <v>1</v>
      </c>
      <c r="N358" s="86">
        <f t="shared" si="65"/>
        <v>300</v>
      </c>
      <c r="O358" s="41">
        <v>300</v>
      </c>
      <c r="P358" s="86" t="str">
        <f t="shared" si="66"/>
        <v>OK</v>
      </c>
      <c r="Q358" s="143"/>
      <c r="R358" s="78"/>
      <c r="S358" s="87" t="str">
        <f t="shared" si="67"/>
        <v/>
      </c>
      <c r="T358" s="87" t="str">
        <f t="shared" si="68"/>
        <v/>
      </c>
      <c r="U358" s="36">
        <v>44519</v>
      </c>
      <c r="V358" s="40">
        <f t="shared" si="69"/>
        <v>300</v>
      </c>
      <c r="W358" s="43">
        <f t="shared" si="70"/>
        <v>0</v>
      </c>
    </row>
    <row r="359" spans="1:23" ht="25.5" x14ac:dyDescent="0.25">
      <c r="A359" s="45" t="s">
        <v>1881</v>
      </c>
      <c r="B359" s="46">
        <v>44504</v>
      </c>
      <c r="C359" s="45" t="s">
        <v>2243</v>
      </c>
      <c r="D359" s="46" t="s">
        <v>868</v>
      </c>
      <c r="E359" s="72" t="s">
        <v>1070</v>
      </c>
      <c r="F359" s="48" t="s">
        <v>2244</v>
      </c>
      <c r="G359" s="47" t="s">
        <v>2245</v>
      </c>
      <c r="H359" s="47" t="s">
        <v>314</v>
      </c>
      <c r="I359" s="48" t="s">
        <v>320</v>
      </c>
      <c r="J359" s="48" t="s">
        <v>317</v>
      </c>
      <c r="K359" s="49" t="s">
        <v>16</v>
      </c>
      <c r="L359" s="49" t="s">
        <v>27</v>
      </c>
      <c r="M359" s="49">
        <v>11</v>
      </c>
      <c r="N359" s="80">
        <f t="shared" si="65"/>
        <v>370</v>
      </c>
      <c r="O359" s="51">
        <v>370</v>
      </c>
      <c r="P359" s="81" t="str">
        <f t="shared" si="66"/>
        <v>OK</v>
      </c>
      <c r="Q359" s="142"/>
      <c r="R359" s="76"/>
      <c r="S359" s="81" t="str">
        <f t="shared" si="67"/>
        <v/>
      </c>
      <c r="T359" s="81" t="str">
        <f t="shared" si="68"/>
        <v/>
      </c>
      <c r="U359" s="46">
        <v>44520</v>
      </c>
      <c r="V359" s="50">
        <f t="shared" si="69"/>
        <v>370</v>
      </c>
      <c r="W359" s="53">
        <f t="shared" si="70"/>
        <v>0</v>
      </c>
    </row>
    <row r="360" spans="1:23" ht="25.5" x14ac:dyDescent="0.25">
      <c r="A360" s="35" t="s">
        <v>1882</v>
      </c>
      <c r="B360" s="36">
        <v>44468</v>
      </c>
      <c r="C360" s="35" t="s">
        <v>2246</v>
      </c>
      <c r="D360" s="36" t="s">
        <v>868</v>
      </c>
      <c r="E360" s="73" t="s">
        <v>1070</v>
      </c>
      <c r="F360" s="38" t="s">
        <v>2247</v>
      </c>
      <c r="G360" s="37" t="s">
        <v>2248</v>
      </c>
      <c r="H360" s="37" t="s">
        <v>314</v>
      </c>
      <c r="I360" s="38" t="s">
        <v>320</v>
      </c>
      <c r="J360" s="39" t="s">
        <v>317</v>
      </c>
      <c r="K360" s="39" t="s">
        <v>16</v>
      </c>
      <c r="L360" s="39" t="s">
        <v>27</v>
      </c>
      <c r="M360" s="39">
        <v>11</v>
      </c>
      <c r="N360" s="86">
        <f t="shared" si="65"/>
        <v>370</v>
      </c>
      <c r="O360" s="41">
        <v>370</v>
      </c>
      <c r="P360" s="86" t="str">
        <f t="shared" si="66"/>
        <v>OK</v>
      </c>
      <c r="Q360" s="143"/>
      <c r="R360" s="78"/>
      <c r="S360" s="87" t="str">
        <f t="shared" si="67"/>
        <v/>
      </c>
      <c r="T360" s="87" t="str">
        <f t="shared" si="68"/>
        <v/>
      </c>
      <c r="U360" s="36">
        <v>44520</v>
      </c>
      <c r="V360" s="40">
        <f t="shared" si="69"/>
        <v>370</v>
      </c>
      <c r="W360" s="43">
        <f t="shared" si="70"/>
        <v>0</v>
      </c>
    </row>
    <row r="361" spans="1:23" ht="25.5" x14ac:dyDescent="0.25">
      <c r="A361" s="45" t="s">
        <v>1883</v>
      </c>
      <c r="B361" s="46">
        <v>44522</v>
      </c>
      <c r="C361" s="45" t="s">
        <v>2249</v>
      </c>
      <c r="D361" s="46" t="s">
        <v>1211</v>
      </c>
      <c r="E361" s="72" t="s">
        <v>1071</v>
      </c>
      <c r="F361" s="48" t="s">
        <v>2250</v>
      </c>
      <c r="G361" s="47" t="s">
        <v>2251</v>
      </c>
      <c r="H361" s="47" t="s">
        <v>2252</v>
      </c>
      <c r="I361" s="48" t="s">
        <v>320</v>
      </c>
      <c r="J361" s="48" t="s">
        <v>317</v>
      </c>
      <c r="K361" s="49" t="s">
        <v>432</v>
      </c>
      <c r="L361" s="49" t="s">
        <v>480</v>
      </c>
      <c r="M361" s="49">
        <v>1</v>
      </c>
      <c r="N361" s="80">
        <f t="shared" si="65"/>
        <v>300</v>
      </c>
      <c r="O361" s="51">
        <v>300</v>
      </c>
      <c r="P361" s="81" t="str">
        <f t="shared" si="66"/>
        <v>OK</v>
      </c>
      <c r="Q361" s="142"/>
      <c r="R361" s="76"/>
      <c r="S361" s="81" t="str">
        <f t="shared" si="67"/>
        <v/>
      </c>
      <c r="T361" s="81" t="str">
        <f t="shared" si="68"/>
        <v/>
      </c>
      <c r="U361" s="46">
        <v>44522</v>
      </c>
      <c r="V361" s="50">
        <f t="shared" si="69"/>
        <v>300</v>
      </c>
      <c r="W361" s="53">
        <f t="shared" si="70"/>
        <v>0</v>
      </c>
    </row>
    <row r="362" spans="1:23" ht="38.25" x14ac:dyDescent="0.25">
      <c r="A362" s="35" t="s">
        <v>1884</v>
      </c>
      <c r="B362" s="36">
        <v>44529</v>
      </c>
      <c r="C362" s="35" t="s">
        <v>2253</v>
      </c>
      <c r="D362" s="36" t="s">
        <v>652</v>
      </c>
      <c r="E362" s="73" t="s">
        <v>1068</v>
      </c>
      <c r="F362" s="38" t="s">
        <v>2254</v>
      </c>
      <c r="G362" s="37" t="s">
        <v>2255</v>
      </c>
      <c r="H362" s="37" t="s">
        <v>2256</v>
      </c>
      <c r="I362" s="38" t="s">
        <v>2257</v>
      </c>
      <c r="J362" s="39" t="s">
        <v>2258</v>
      </c>
      <c r="K362" s="39" t="s">
        <v>5</v>
      </c>
      <c r="L362" s="39" t="s">
        <v>8</v>
      </c>
      <c r="M362" s="39">
        <v>2</v>
      </c>
      <c r="N362" s="86">
        <f t="shared" si="65"/>
        <v>370</v>
      </c>
      <c r="O362" s="41">
        <v>370</v>
      </c>
      <c r="P362" s="86" t="str">
        <f t="shared" si="66"/>
        <v>OK</v>
      </c>
      <c r="Q362" s="143"/>
      <c r="R362" s="78"/>
      <c r="S362" s="87" t="str">
        <f t="shared" si="67"/>
        <v/>
      </c>
      <c r="T362" s="87" t="str">
        <f t="shared" si="68"/>
        <v/>
      </c>
      <c r="U362" s="36">
        <v>44529</v>
      </c>
      <c r="V362" s="40">
        <f t="shared" si="69"/>
        <v>370</v>
      </c>
      <c r="W362" s="43">
        <f t="shared" si="70"/>
        <v>0</v>
      </c>
    </row>
    <row r="363" spans="1:23" ht="25.5" x14ac:dyDescent="0.25">
      <c r="A363" s="45" t="s">
        <v>1885</v>
      </c>
      <c r="B363" s="46">
        <v>44530</v>
      </c>
      <c r="C363" s="45" t="s">
        <v>2263</v>
      </c>
      <c r="D363" s="46" t="s">
        <v>2259</v>
      </c>
      <c r="E363" s="72" t="s">
        <v>2260</v>
      </c>
      <c r="F363" s="48" t="s">
        <v>2262</v>
      </c>
      <c r="G363" s="47" t="s">
        <v>2264</v>
      </c>
      <c r="H363" s="47" t="s">
        <v>2261</v>
      </c>
      <c r="I363" s="48" t="s">
        <v>1634</v>
      </c>
      <c r="J363" s="48" t="s">
        <v>1327</v>
      </c>
      <c r="K363" s="49" t="s">
        <v>16</v>
      </c>
      <c r="L363" s="49" t="s">
        <v>27</v>
      </c>
      <c r="M363" s="49">
        <v>11</v>
      </c>
      <c r="N363" s="80">
        <f t="shared" si="65"/>
        <v>370</v>
      </c>
      <c r="O363" s="51">
        <v>270</v>
      </c>
      <c r="P363" s="81" t="str">
        <f t="shared" si="66"/>
        <v>OK</v>
      </c>
      <c r="Q363" s="142"/>
      <c r="R363" s="76"/>
      <c r="S363" s="81" t="str">
        <f t="shared" si="67"/>
        <v/>
      </c>
      <c r="T363" s="81" t="str">
        <f t="shared" si="68"/>
        <v/>
      </c>
      <c r="U363" s="46">
        <v>44530</v>
      </c>
      <c r="V363" s="50">
        <f t="shared" si="69"/>
        <v>270</v>
      </c>
      <c r="W363" s="53">
        <f t="shared" si="70"/>
        <v>0</v>
      </c>
    </row>
    <row r="364" spans="1:23" ht="25.5" x14ac:dyDescent="0.25">
      <c r="A364" s="35" t="s">
        <v>1886</v>
      </c>
      <c r="B364" s="36">
        <v>44530</v>
      </c>
      <c r="C364" s="35" t="s">
        <v>2265</v>
      </c>
      <c r="D364" s="36" t="s">
        <v>2259</v>
      </c>
      <c r="E364" s="73" t="s">
        <v>2260</v>
      </c>
      <c r="F364" s="38" t="s">
        <v>2266</v>
      </c>
      <c r="G364" s="37" t="s">
        <v>2267</v>
      </c>
      <c r="H364" s="37" t="s">
        <v>2261</v>
      </c>
      <c r="I364" s="38" t="s">
        <v>1634</v>
      </c>
      <c r="J364" s="39" t="s">
        <v>1327</v>
      </c>
      <c r="K364" s="39" t="s">
        <v>16</v>
      </c>
      <c r="L364" s="39" t="s">
        <v>27</v>
      </c>
      <c r="M364" s="39">
        <v>11</v>
      </c>
      <c r="N364" s="86">
        <v>370</v>
      </c>
      <c r="O364" s="41">
        <v>270</v>
      </c>
      <c r="P364" s="86" t="s">
        <v>1017</v>
      </c>
      <c r="Q364" s="143"/>
      <c r="R364" s="78"/>
      <c r="S364" s="87" t="s">
        <v>415</v>
      </c>
      <c r="T364" s="87" t="s">
        <v>415</v>
      </c>
      <c r="U364" s="36">
        <v>44530</v>
      </c>
      <c r="V364" s="40">
        <f t="shared" si="69"/>
        <v>270</v>
      </c>
      <c r="W364" s="43">
        <f t="shared" si="70"/>
        <v>0</v>
      </c>
    </row>
    <row r="365" spans="1:23" ht="38.25" x14ac:dyDescent="0.25">
      <c r="A365" s="45" t="s">
        <v>1887</v>
      </c>
      <c r="B365" s="46">
        <v>44530</v>
      </c>
      <c r="C365" s="45" t="s">
        <v>2268</v>
      </c>
      <c r="D365" s="46" t="s">
        <v>2259</v>
      </c>
      <c r="E365" s="72" t="s">
        <v>2260</v>
      </c>
      <c r="F365" s="48" t="s">
        <v>2269</v>
      </c>
      <c r="G365" s="47" t="s">
        <v>2270</v>
      </c>
      <c r="H365" s="47" t="s">
        <v>2261</v>
      </c>
      <c r="I365" s="48" t="s">
        <v>1634</v>
      </c>
      <c r="J365" s="48" t="s">
        <v>1327</v>
      </c>
      <c r="K365" s="49" t="s">
        <v>16</v>
      </c>
      <c r="L365" s="49" t="s">
        <v>27</v>
      </c>
      <c r="M365" s="49">
        <v>11</v>
      </c>
      <c r="N365" s="80">
        <v>370</v>
      </c>
      <c r="O365" s="51">
        <v>270</v>
      </c>
      <c r="P365" s="81" t="s">
        <v>1017</v>
      </c>
      <c r="Q365" s="142"/>
      <c r="R365" s="76"/>
      <c r="S365" s="81" t="s">
        <v>415</v>
      </c>
      <c r="T365" s="81" t="s">
        <v>415</v>
      </c>
      <c r="U365" s="46">
        <v>44530</v>
      </c>
      <c r="V365" s="50">
        <f t="shared" si="69"/>
        <v>270</v>
      </c>
      <c r="W365" s="53">
        <f t="shared" si="70"/>
        <v>0</v>
      </c>
    </row>
    <row r="366" spans="1:23" ht="38.25" x14ac:dyDescent="0.25">
      <c r="A366" s="35" t="s">
        <v>1888</v>
      </c>
      <c r="B366" s="36">
        <v>44530</v>
      </c>
      <c r="C366" s="35" t="s">
        <v>2271</v>
      </c>
      <c r="D366" s="36" t="s">
        <v>2259</v>
      </c>
      <c r="E366" s="73" t="s">
        <v>2260</v>
      </c>
      <c r="F366" s="38" t="s">
        <v>2272</v>
      </c>
      <c r="G366" s="37" t="s">
        <v>2273</v>
      </c>
      <c r="H366" s="37" t="s">
        <v>2261</v>
      </c>
      <c r="I366" s="38" t="s">
        <v>1634</v>
      </c>
      <c r="J366" s="39" t="s">
        <v>1327</v>
      </c>
      <c r="K366" s="39" t="s">
        <v>16</v>
      </c>
      <c r="L366" s="39" t="s">
        <v>27</v>
      </c>
      <c r="M366" s="39">
        <v>11</v>
      </c>
      <c r="N366" s="86">
        <v>370</v>
      </c>
      <c r="O366" s="41">
        <v>270</v>
      </c>
      <c r="P366" s="86" t="s">
        <v>1017</v>
      </c>
      <c r="Q366" s="143"/>
      <c r="R366" s="78"/>
      <c r="S366" s="87" t="s">
        <v>415</v>
      </c>
      <c r="T366" s="87" t="s">
        <v>415</v>
      </c>
      <c r="U366" s="36">
        <v>44530</v>
      </c>
      <c r="V366" s="40">
        <f t="shared" si="69"/>
        <v>270</v>
      </c>
      <c r="W366" s="43">
        <f t="shared" si="70"/>
        <v>0</v>
      </c>
    </row>
    <row r="367" spans="1:23" ht="38.25" x14ac:dyDescent="0.25">
      <c r="A367" s="45" t="s">
        <v>1889</v>
      </c>
      <c r="B367" s="46">
        <v>44530</v>
      </c>
      <c r="C367" s="45" t="s">
        <v>2274</v>
      </c>
      <c r="D367" s="46" t="s">
        <v>2259</v>
      </c>
      <c r="E367" s="72" t="s">
        <v>2260</v>
      </c>
      <c r="F367" s="48" t="s">
        <v>2275</v>
      </c>
      <c r="G367" s="47" t="s">
        <v>2276</v>
      </c>
      <c r="H367" s="47" t="s">
        <v>2261</v>
      </c>
      <c r="I367" s="48" t="s">
        <v>1634</v>
      </c>
      <c r="J367" s="48" t="s">
        <v>1327</v>
      </c>
      <c r="K367" s="49" t="s">
        <v>16</v>
      </c>
      <c r="L367" s="49" t="s">
        <v>27</v>
      </c>
      <c r="M367" s="49">
        <v>11</v>
      </c>
      <c r="N367" s="80">
        <v>370</v>
      </c>
      <c r="O367" s="51">
        <v>270</v>
      </c>
      <c r="P367" s="81" t="s">
        <v>1017</v>
      </c>
      <c r="Q367" s="142"/>
      <c r="R367" s="76"/>
      <c r="S367" s="81" t="s">
        <v>415</v>
      </c>
      <c r="T367" s="81" t="s">
        <v>415</v>
      </c>
      <c r="U367" s="46">
        <v>44530</v>
      </c>
      <c r="V367" s="50">
        <f t="shared" si="69"/>
        <v>270</v>
      </c>
      <c r="W367" s="53">
        <f t="shared" si="70"/>
        <v>0</v>
      </c>
    </row>
    <row r="368" spans="1:23" ht="25.5" x14ac:dyDescent="0.25">
      <c r="A368" s="35" t="s">
        <v>1890</v>
      </c>
      <c r="B368" s="36">
        <v>44530</v>
      </c>
      <c r="C368" s="35" t="s">
        <v>2277</v>
      </c>
      <c r="D368" s="36" t="s">
        <v>2259</v>
      </c>
      <c r="E368" s="73" t="s">
        <v>2260</v>
      </c>
      <c r="F368" s="38" t="s">
        <v>2278</v>
      </c>
      <c r="G368" s="37" t="s">
        <v>2279</v>
      </c>
      <c r="H368" s="37" t="s">
        <v>2261</v>
      </c>
      <c r="I368" s="38" t="s">
        <v>1634</v>
      </c>
      <c r="J368" s="39" t="s">
        <v>1327</v>
      </c>
      <c r="K368" s="39" t="s">
        <v>16</v>
      </c>
      <c r="L368" s="39" t="s">
        <v>27</v>
      </c>
      <c r="M368" s="39">
        <v>11</v>
      </c>
      <c r="N368" s="86">
        <v>370</v>
      </c>
      <c r="O368" s="41">
        <v>270</v>
      </c>
      <c r="P368" s="86" t="s">
        <v>1017</v>
      </c>
      <c r="Q368" s="143"/>
      <c r="R368" s="78"/>
      <c r="S368" s="87" t="s">
        <v>415</v>
      </c>
      <c r="T368" s="87" t="s">
        <v>415</v>
      </c>
      <c r="U368" s="36">
        <v>44530</v>
      </c>
      <c r="V368" s="40">
        <f t="shared" si="69"/>
        <v>270</v>
      </c>
      <c r="W368" s="43">
        <f t="shared" si="70"/>
        <v>0</v>
      </c>
    </row>
    <row r="369" spans="1:23" ht="38.25" x14ac:dyDescent="0.25">
      <c r="A369" s="45" t="s">
        <v>1891</v>
      </c>
      <c r="B369" s="46">
        <v>44530</v>
      </c>
      <c r="C369" s="45" t="s">
        <v>2280</v>
      </c>
      <c r="D369" s="46" t="s">
        <v>2259</v>
      </c>
      <c r="E369" s="72" t="s">
        <v>2260</v>
      </c>
      <c r="F369" s="48" t="s">
        <v>2281</v>
      </c>
      <c r="G369" s="47" t="s">
        <v>2282</v>
      </c>
      <c r="H369" s="47" t="s">
        <v>2261</v>
      </c>
      <c r="I369" s="48" t="s">
        <v>1634</v>
      </c>
      <c r="J369" s="48" t="s">
        <v>1327</v>
      </c>
      <c r="K369" s="49" t="s">
        <v>16</v>
      </c>
      <c r="L369" s="49" t="s">
        <v>27</v>
      </c>
      <c r="M369" s="49">
        <v>11</v>
      </c>
      <c r="N369" s="80">
        <v>370</v>
      </c>
      <c r="O369" s="51">
        <v>270</v>
      </c>
      <c r="P369" s="81" t="s">
        <v>1017</v>
      </c>
      <c r="Q369" s="142"/>
      <c r="R369" s="76"/>
      <c r="S369" s="81" t="s">
        <v>415</v>
      </c>
      <c r="T369" s="81" t="s">
        <v>415</v>
      </c>
      <c r="U369" s="46">
        <v>44530</v>
      </c>
      <c r="V369" s="50">
        <f t="shared" si="69"/>
        <v>270</v>
      </c>
      <c r="W369" s="53">
        <f t="shared" si="70"/>
        <v>0</v>
      </c>
    </row>
    <row r="370" spans="1:23" ht="38.25" x14ac:dyDescent="0.25">
      <c r="A370" s="35" t="s">
        <v>1892</v>
      </c>
      <c r="B370" s="36">
        <v>44530</v>
      </c>
      <c r="C370" s="35" t="s">
        <v>2283</v>
      </c>
      <c r="D370" s="36" t="s">
        <v>2259</v>
      </c>
      <c r="E370" s="73" t="s">
        <v>2260</v>
      </c>
      <c r="F370" s="38" t="s">
        <v>2284</v>
      </c>
      <c r="G370" s="37" t="s">
        <v>2285</v>
      </c>
      <c r="H370" s="37" t="s">
        <v>2261</v>
      </c>
      <c r="I370" s="38" t="s">
        <v>1634</v>
      </c>
      <c r="J370" s="39" t="s">
        <v>1327</v>
      </c>
      <c r="K370" s="39" t="s">
        <v>16</v>
      </c>
      <c r="L370" s="39" t="s">
        <v>27</v>
      </c>
      <c r="M370" s="39">
        <v>11</v>
      </c>
      <c r="N370" s="86">
        <v>370</v>
      </c>
      <c r="O370" s="41">
        <v>270</v>
      </c>
      <c r="P370" s="86" t="s">
        <v>1017</v>
      </c>
      <c r="Q370" s="143"/>
      <c r="R370" s="78"/>
      <c r="S370" s="87" t="s">
        <v>415</v>
      </c>
      <c r="T370" s="87" t="s">
        <v>415</v>
      </c>
      <c r="U370" s="36">
        <v>44530</v>
      </c>
      <c r="V370" s="40">
        <f t="shared" si="69"/>
        <v>270</v>
      </c>
      <c r="W370" s="43">
        <f t="shared" si="70"/>
        <v>0</v>
      </c>
    </row>
    <row r="371" spans="1:23" ht="25.5" x14ac:dyDescent="0.25">
      <c r="A371" s="45" t="s">
        <v>1893</v>
      </c>
      <c r="B371" s="46">
        <v>44530</v>
      </c>
      <c r="C371" s="45" t="s">
        <v>2286</v>
      </c>
      <c r="D371" s="46" t="s">
        <v>2259</v>
      </c>
      <c r="E371" s="72" t="s">
        <v>2260</v>
      </c>
      <c r="F371" s="48" t="s">
        <v>2287</v>
      </c>
      <c r="G371" s="47" t="s">
        <v>2288</v>
      </c>
      <c r="H371" s="47" t="s">
        <v>2261</v>
      </c>
      <c r="I371" s="48" t="s">
        <v>1634</v>
      </c>
      <c r="J371" s="48" t="s">
        <v>1327</v>
      </c>
      <c r="K371" s="49" t="s">
        <v>16</v>
      </c>
      <c r="L371" s="49" t="s">
        <v>27</v>
      </c>
      <c r="M371" s="49">
        <v>11</v>
      </c>
      <c r="N371" s="80">
        <v>370</v>
      </c>
      <c r="O371" s="51">
        <v>270</v>
      </c>
      <c r="P371" s="81" t="s">
        <v>1017</v>
      </c>
      <c r="Q371" s="142"/>
      <c r="R371" s="76"/>
      <c r="S371" s="81" t="s">
        <v>415</v>
      </c>
      <c r="T371" s="81" t="s">
        <v>415</v>
      </c>
      <c r="U371" s="46">
        <v>44530</v>
      </c>
      <c r="V371" s="50">
        <f t="shared" si="69"/>
        <v>270</v>
      </c>
      <c r="W371" s="53">
        <f t="shared" si="70"/>
        <v>0</v>
      </c>
    </row>
    <row r="372" spans="1:23" ht="38.25" x14ac:dyDescent="0.25">
      <c r="A372" s="35" t="s">
        <v>1894</v>
      </c>
      <c r="B372" s="36">
        <v>44530</v>
      </c>
      <c r="C372" s="35" t="s">
        <v>2289</v>
      </c>
      <c r="D372" s="36" t="s">
        <v>2259</v>
      </c>
      <c r="E372" s="73" t="s">
        <v>2260</v>
      </c>
      <c r="F372" s="38" t="s">
        <v>2290</v>
      </c>
      <c r="G372" s="37" t="s">
        <v>2291</v>
      </c>
      <c r="H372" s="37" t="s">
        <v>2261</v>
      </c>
      <c r="I372" s="38" t="s">
        <v>1634</v>
      </c>
      <c r="J372" s="39" t="s">
        <v>1327</v>
      </c>
      <c r="K372" s="39" t="s">
        <v>16</v>
      </c>
      <c r="L372" s="39" t="s">
        <v>27</v>
      </c>
      <c r="M372" s="39">
        <v>11</v>
      </c>
      <c r="N372" s="86">
        <v>370</v>
      </c>
      <c r="O372" s="41">
        <v>270</v>
      </c>
      <c r="P372" s="86" t="s">
        <v>1017</v>
      </c>
      <c r="Q372" s="143"/>
      <c r="R372" s="78"/>
      <c r="S372" s="87" t="s">
        <v>415</v>
      </c>
      <c r="T372" s="87" t="s">
        <v>415</v>
      </c>
      <c r="U372" s="36">
        <v>44530</v>
      </c>
      <c r="V372" s="40">
        <f t="shared" si="69"/>
        <v>270</v>
      </c>
      <c r="W372" s="43">
        <f t="shared" si="70"/>
        <v>0</v>
      </c>
    </row>
    <row r="373" spans="1:23" ht="38.25" x14ac:dyDescent="0.25">
      <c r="A373" s="45" t="s">
        <v>1895</v>
      </c>
      <c r="B373" s="46">
        <v>44530</v>
      </c>
      <c r="C373" s="45" t="s">
        <v>2292</v>
      </c>
      <c r="D373" s="46" t="s">
        <v>2259</v>
      </c>
      <c r="E373" s="72" t="s">
        <v>2260</v>
      </c>
      <c r="F373" s="48" t="s">
        <v>2293</v>
      </c>
      <c r="G373" s="47" t="s">
        <v>2294</v>
      </c>
      <c r="H373" s="47" t="s">
        <v>2261</v>
      </c>
      <c r="I373" s="48" t="s">
        <v>1634</v>
      </c>
      <c r="J373" s="48" t="s">
        <v>1327</v>
      </c>
      <c r="K373" s="49" t="s">
        <v>16</v>
      </c>
      <c r="L373" s="49" t="s">
        <v>27</v>
      </c>
      <c r="M373" s="49">
        <v>11</v>
      </c>
      <c r="N373" s="80">
        <v>370</v>
      </c>
      <c r="O373" s="51">
        <v>270</v>
      </c>
      <c r="P373" s="81" t="s">
        <v>1017</v>
      </c>
      <c r="Q373" s="142"/>
      <c r="R373" s="76"/>
      <c r="S373" s="81" t="s">
        <v>415</v>
      </c>
      <c r="T373" s="81" t="s">
        <v>415</v>
      </c>
      <c r="U373" s="46">
        <v>44530</v>
      </c>
      <c r="V373" s="50">
        <f t="shared" si="69"/>
        <v>270</v>
      </c>
      <c r="W373" s="53">
        <f t="shared" si="70"/>
        <v>0</v>
      </c>
    </row>
    <row r="374" spans="1:23" ht="38.25" x14ac:dyDescent="0.25">
      <c r="A374" s="35" t="s">
        <v>1896</v>
      </c>
      <c r="B374" s="36">
        <v>44530</v>
      </c>
      <c r="C374" s="35" t="s">
        <v>2295</v>
      </c>
      <c r="D374" s="36" t="s">
        <v>2259</v>
      </c>
      <c r="E374" s="73" t="s">
        <v>2260</v>
      </c>
      <c r="F374" s="38" t="s">
        <v>2296</v>
      </c>
      <c r="G374" s="37" t="s">
        <v>2297</v>
      </c>
      <c r="H374" s="37" t="s">
        <v>2261</v>
      </c>
      <c r="I374" s="38" t="s">
        <v>1634</v>
      </c>
      <c r="J374" s="39" t="s">
        <v>1327</v>
      </c>
      <c r="K374" s="39" t="s">
        <v>16</v>
      </c>
      <c r="L374" s="39" t="s">
        <v>27</v>
      </c>
      <c r="M374" s="39">
        <v>11</v>
      </c>
      <c r="N374" s="86">
        <v>370</v>
      </c>
      <c r="O374" s="41">
        <v>270</v>
      </c>
      <c r="P374" s="86" t="s">
        <v>1017</v>
      </c>
      <c r="Q374" s="143"/>
      <c r="R374" s="78"/>
      <c r="S374" s="87" t="s">
        <v>415</v>
      </c>
      <c r="T374" s="87" t="s">
        <v>415</v>
      </c>
      <c r="U374" s="36">
        <v>44530</v>
      </c>
      <c r="V374" s="40">
        <f t="shared" si="69"/>
        <v>270</v>
      </c>
      <c r="W374" s="43">
        <f t="shared" si="70"/>
        <v>0</v>
      </c>
    </row>
    <row r="375" spans="1:23" ht="25.5" x14ac:dyDescent="0.25">
      <c r="A375" s="45" t="s">
        <v>1897</v>
      </c>
      <c r="B375" s="46">
        <v>44530</v>
      </c>
      <c r="C375" s="45" t="s">
        <v>2298</v>
      </c>
      <c r="D375" s="46" t="s">
        <v>2259</v>
      </c>
      <c r="E375" s="72" t="s">
        <v>2260</v>
      </c>
      <c r="F375" s="48" t="s">
        <v>2299</v>
      </c>
      <c r="G375" s="47" t="s">
        <v>2300</v>
      </c>
      <c r="H375" s="47" t="s">
        <v>2261</v>
      </c>
      <c r="I375" s="48" t="s">
        <v>1634</v>
      </c>
      <c r="J375" s="48" t="s">
        <v>1327</v>
      </c>
      <c r="K375" s="49" t="s">
        <v>16</v>
      </c>
      <c r="L375" s="49" t="s">
        <v>27</v>
      </c>
      <c r="M375" s="49">
        <v>11</v>
      </c>
      <c r="N375" s="80">
        <v>370</v>
      </c>
      <c r="O375" s="51">
        <v>270</v>
      </c>
      <c r="P375" s="81" t="s">
        <v>1017</v>
      </c>
      <c r="Q375" s="142"/>
      <c r="R375" s="76"/>
      <c r="S375" s="81" t="s">
        <v>415</v>
      </c>
      <c r="T375" s="81" t="s">
        <v>415</v>
      </c>
      <c r="U375" s="46">
        <v>44530</v>
      </c>
      <c r="V375" s="50">
        <f t="shared" si="69"/>
        <v>270</v>
      </c>
      <c r="W375" s="53">
        <f t="shared" si="70"/>
        <v>0</v>
      </c>
    </row>
    <row r="376" spans="1:23" ht="63.75" x14ac:dyDescent="0.25">
      <c r="A376" s="35" t="s">
        <v>1898</v>
      </c>
      <c r="B376" s="36">
        <v>44531</v>
      </c>
      <c r="C376" s="35" t="s">
        <v>2310</v>
      </c>
      <c r="D376" s="36" t="s">
        <v>2021</v>
      </c>
      <c r="E376" s="73" t="s">
        <v>1080</v>
      </c>
      <c r="F376" s="38" t="s">
        <v>2311</v>
      </c>
      <c r="G376" s="37" t="s">
        <v>2312</v>
      </c>
      <c r="H376" s="37" t="s">
        <v>2313</v>
      </c>
      <c r="I376" s="38" t="s">
        <v>320</v>
      </c>
      <c r="J376" s="39" t="s">
        <v>317</v>
      </c>
      <c r="K376" s="39" t="s">
        <v>432</v>
      </c>
      <c r="L376" s="39" t="s">
        <v>480</v>
      </c>
      <c r="M376" s="39">
        <v>1</v>
      </c>
      <c r="N376" s="86">
        <v>370</v>
      </c>
      <c r="O376" s="41">
        <v>300</v>
      </c>
      <c r="P376" s="86" t="s">
        <v>1017</v>
      </c>
      <c r="Q376" s="143"/>
      <c r="R376" s="78"/>
      <c r="S376" s="87" t="s">
        <v>415</v>
      </c>
      <c r="T376" s="87" t="s">
        <v>415</v>
      </c>
      <c r="U376" s="36">
        <v>44531</v>
      </c>
      <c r="V376" s="40">
        <f t="shared" si="69"/>
        <v>300</v>
      </c>
      <c r="W376" s="43">
        <f t="shared" si="70"/>
        <v>0</v>
      </c>
    </row>
    <row r="377" spans="1:23" ht="25.5" x14ac:dyDescent="0.25">
      <c r="A377" s="45" t="s">
        <v>1899</v>
      </c>
      <c r="B377" s="46">
        <v>44531</v>
      </c>
      <c r="C377" s="45" t="s">
        <v>2301</v>
      </c>
      <c r="D377" s="46" t="s">
        <v>2259</v>
      </c>
      <c r="E377" s="72" t="s">
        <v>2260</v>
      </c>
      <c r="F377" s="48" t="s">
        <v>2302</v>
      </c>
      <c r="G377" s="47" t="s">
        <v>2303</v>
      </c>
      <c r="H377" s="47" t="s">
        <v>2261</v>
      </c>
      <c r="I377" s="48" t="s">
        <v>1634</v>
      </c>
      <c r="J377" s="48" t="s">
        <v>1327</v>
      </c>
      <c r="K377" s="49" t="s">
        <v>16</v>
      </c>
      <c r="L377" s="49" t="s">
        <v>27</v>
      </c>
      <c r="M377" s="49">
        <v>11</v>
      </c>
      <c r="N377" s="80">
        <v>370</v>
      </c>
      <c r="O377" s="51">
        <v>270</v>
      </c>
      <c r="P377" s="81" t="s">
        <v>1017</v>
      </c>
      <c r="Q377" s="142"/>
      <c r="R377" s="76"/>
      <c r="S377" s="81" t="s">
        <v>415</v>
      </c>
      <c r="T377" s="81" t="s">
        <v>415</v>
      </c>
      <c r="U377" s="46">
        <v>44531</v>
      </c>
      <c r="V377" s="50">
        <f t="shared" si="69"/>
        <v>270</v>
      </c>
      <c r="W377" s="53">
        <f t="shared" si="70"/>
        <v>0</v>
      </c>
    </row>
    <row r="378" spans="1:23" ht="25.5" x14ac:dyDescent="0.25">
      <c r="A378" s="35" t="s">
        <v>1900</v>
      </c>
      <c r="B378" s="36">
        <v>44531</v>
      </c>
      <c r="C378" s="35" t="s">
        <v>2304</v>
      </c>
      <c r="D378" s="36" t="s">
        <v>2259</v>
      </c>
      <c r="E378" s="73" t="s">
        <v>2260</v>
      </c>
      <c r="F378" s="38" t="s">
        <v>2305</v>
      </c>
      <c r="G378" s="37" t="s">
        <v>2306</v>
      </c>
      <c r="H378" s="37" t="s">
        <v>2261</v>
      </c>
      <c r="I378" s="38" t="s">
        <v>1634</v>
      </c>
      <c r="J378" s="39" t="s">
        <v>1327</v>
      </c>
      <c r="K378" s="39" t="s">
        <v>16</v>
      </c>
      <c r="L378" s="39" t="s">
        <v>27</v>
      </c>
      <c r="M378" s="39">
        <v>11</v>
      </c>
      <c r="N378" s="86">
        <v>370</v>
      </c>
      <c r="O378" s="41">
        <v>270</v>
      </c>
      <c r="P378" s="86" t="s">
        <v>1017</v>
      </c>
      <c r="Q378" s="143"/>
      <c r="R378" s="78"/>
      <c r="S378" s="87" t="s">
        <v>415</v>
      </c>
      <c r="T378" s="87" t="s">
        <v>415</v>
      </c>
      <c r="U378" s="36">
        <v>44531</v>
      </c>
      <c r="V378" s="40">
        <f t="shared" ref="V378:V441" si="71">IF(M378="","",O378-R378)</f>
        <v>270</v>
      </c>
      <c r="W378" s="43">
        <f t="shared" ref="W378:W441" si="72">IF(M378="","",IF(AND(M378&gt;0,U378=""),V378,O378-(R378+V378)))</f>
        <v>0</v>
      </c>
    </row>
    <row r="379" spans="1:23" ht="25.5" x14ac:dyDescent="0.25">
      <c r="A379" s="45" t="s">
        <v>1901</v>
      </c>
      <c r="B379" s="46">
        <v>44531</v>
      </c>
      <c r="C379" s="45" t="s">
        <v>2307</v>
      </c>
      <c r="D379" s="46" t="s">
        <v>2259</v>
      </c>
      <c r="E379" s="72" t="s">
        <v>2260</v>
      </c>
      <c r="F379" s="48" t="s">
        <v>2308</v>
      </c>
      <c r="G379" s="47" t="s">
        <v>2309</v>
      </c>
      <c r="H379" s="47" t="s">
        <v>2261</v>
      </c>
      <c r="I379" s="48" t="s">
        <v>1634</v>
      </c>
      <c r="J379" s="48" t="s">
        <v>1327</v>
      </c>
      <c r="K379" s="49" t="s">
        <v>16</v>
      </c>
      <c r="L379" s="49" t="s">
        <v>27</v>
      </c>
      <c r="M379" s="49">
        <v>11</v>
      </c>
      <c r="N379" s="80">
        <v>370</v>
      </c>
      <c r="O379" s="51">
        <v>270</v>
      </c>
      <c r="P379" s="81" t="s">
        <v>1017</v>
      </c>
      <c r="Q379" s="142"/>
      <c r="R379" s="76"/>
      <c r="S379" s="81" t="s">
        <v>415</v>
      </c>
      <c r="T379" s="81" t="s">
        <v>415</v>
      </c>
      <c r="U379" s="46">
        <v>44531</v>
      </c>
      <c r="V379" s="50">
        <f t="shared" si="71"/>
        <v>270</v>
      </c>
      <c r="W379" s="53">
        <f t="shared" si="72"/>
        <v>0</v>
      </c>
    </row>
    <row r="380" spans="1:23" ht="25.5" x14ac:dyDescent="0.25">
      <c r="A380" s="35" t="s">
        <v>1902</v>
      </c>
      <c r="B380" s="36">
        <v>44509</v>
      </c>
      <c r="C380" s="35" t="s">
        <v>2314</v>
      </c>
      <c r="D380" s="36" t="s">
        <v>1134</v>
      </c>
      <c r="E380" s="73" t="s">
        <v>1073</v>
      </c>
      <c r="F380" s="38" t="s">
        <v>2315</v>
      </c>
      <c r="G380" s="37" t="s">
        <v>2316</v>
      </c>
      <c r="H380" s="37" t="s">
        <v>2317</v>
      </c>
      <c r="I380" s="38" t="s">
        <v>320</v>
      </c>
      <c r="J380" s="39" t="s">
        <v>317</v>
      </c>
      <c r="K380" s="39" t="s">
        <v>432</v>
      </c>
      <c r="L380" s="39" t="s">
        <v>480</v>
      </c>
      <c r="M380" s="39">
        <v>1</v>
      </c>
      <c r="N380" s="86">
        <f t="shared" ref="N380:N441" si="73">IF(M380="","",IF(M380=1,300,IF(M380=2,370,IF(M380=3,630,IF(M380=4,830,IF(M380=5,370,IF(M380=6,430,IF(M380=7,530,IF(M380=8,370,IF(M380=9,700,IF(M380=10,870,IF(M380=11,370,IF(M380=12,370,IF(M380=13,370,IF(M380=13,370,IF(M380=14,370,IF(M380=15,370,IF(M380=16,300,IF(M380=17,300,IF(M380=18,170,IF(M380=19,330)))))))))))))))))))))</f>
        <v>300</v>
      </c>
      <c r="O380" s="41">
        <v>300</v>
      </c>
      <c r="P380" s="86" t="str">
        <f t="shared" ref="P380:P441" si="74">IF(M380="","",IF(O380&gt;(5*N380),"ACIMA","OK"))</f>
        <v>OK</v>
      </c>
      <c r="Q380" s="143"/>
      <c r="R380" s="78"/>
      <c r="S380" s="87" t="str">
        <f t="shared" ref="S380:S441" si="75">IF(R380="","",R380/O380)</f>
        <v/>
      </c>
      <c r="T380" s="87" t="str">
        <f t="shared" ref="T380:T441" si="76">IF(S380="","",IF(S380&gt;$Z$5,"ACIMA","OK"))</f>
        <v/>
      </c>
      <c r="U380" s="36">
        <v>44532</v>
      </c>
      <c r="V380" s="40">
        <f t="shared" si="71"/>
        <v>300</v>
      </c>
      <c r="W380" s="43">
        <f t="shared" si="72"/>
        <v>0</v>
      </c>
    </row>
    <row r="381" spans="1:23" ht="25.5" x14ac:dyDescent="0.25">
      <c r="A381" s="45" t="s">
        <v>1903</v>
      </c>
      <c r="B381" s="46">
        <v>44497</v>
      </c>
      <c r="C381" s="45" t="s">
        <v>2318</v>
      </c>
      <c r="D381" s="46" t="s">
        <v>1000</v>
      </c>
      <c r="E381" s="72" t="s">
        <v>1064</v>
      </c>
      <c r="F381" s="48" t="s">
        <v>2319</v>
      </c>
      <c r="G381" s="47" t="s">
        <v>2320</v>
      </c>
      <c r="H381" s="47" t="s">
        <v>2321</v>
      </c>
      <c r="I381" s="48" t="s">
        <v>2322</v>
      </c>
      <c r="J381" s="48" t="s">
        <v>2323</v>
      </c>
      <c r="K381" s="49" t="s">
        <v>37</v>
      </c>
      <c r="L381" s="49"/>
      <c r="M381" s="49">
        <v>16</v>
      </c>
      <c r="N381" s="80">
        <f t="shared" si="73"/>
        <v>300</v>
      </c>
      <c r="O381" s="51">
        <v>300</v>
      </c>
      <c r="P381" s="81" t="str">
        <f t="shared" si="74"/>
        <v>OK</v>
      </c>
      <c r="Q381" s="142"/>
      <c r="R381" s="76"/>
      <c r="S381" s="81" t="str">
        <f t="shared" si="75"/>
        <v/>
      </c>
      <c r="T381" s="81" t="str">
        <f t="shared" si="76"/>
        <v/>
      </c>
      <c r="U381" s="46">
        <v>44533</v>
      </c>
      <c r="V381" s="50">
        <f t="shared" si="71"/>
        <v>300</v>
      </c>
      <c r="W381" s="53">
        <f t="shared" si="72"/>
        <v>0</v>
      </c>
    </row>
    <row r="382" spans="1:23" ht="38.25" x14ac:dyDescent="0.25">
      <c r="A382" s="35" t="s">
        <v>1904</v>
      </c>
      <c r="B382" s="36">
        <v>44497</v>
      </c>
      <c r="C382" s="35" t="s">
        <v>2324</v>
      </c>
      <c r="D382" s="36" t="s">
        <v>1000</v>
      </c>
      <c r="E382" s="73" t="s">
        <v>1064</v>
      </c>
      <c r="F382" s="38" t="s">
        <v>2325</v>
      </c>
      <c r="G382" s="37" t="s">
        <v>2326</v>
      </c>
      <c r="H382" s="37" t="s">
        <v>2327</v>
      </c>
      <c r="I382" s="38" t="s">
        <v>2322</v>
      </c>
      <c r="J382" s="39" t="s">
        <v>2323</v>
      </c>
      <c r="K382" s="39" t="s">
        <v>37</v>
      </c>
      <c r="L382" s="39"/>
      <c r="M382" s="39">
        <v>16</v>
      </c>
      <c r="N382" s="86">
        <f t="shared" si="73"/>
        <v>300</v>
      </c>
      <c r="O382" s="41">
        <v>300</v>
      </c>
      <c r="P382" s="86" t="str">
        <f t="shared" si="74"/>
        <v>OK</v>
      </c>
      <c r="Q382" s="143"/>
      <c r="R382" s="78"/>
      <c r="S382" s="87" t="str">
        <f t="shared" si="75"/>
        <v/>
      </c>
      <c r="T382" s="87" t="str">
        <f t="shared" si="76"/>
        <v/>
      </c>
      <c r="U382" s="36">
        <v>44533</v>
      </c>
      <c r="V382" s="40">
        <f t="shared" si="71"/>
        <v>300</v>
      </c>
      <c r="W382" s="43">
        <f t="shared" si="72"/>
        <v>0</v>
      </c>
    </row>
    <row r="383" spans="1:23" ht="25.5" x14ac:dyDescent="0.25">
      <c r="A383" s="45" t="s">
        <v>1905</v>
      </c>
      <c r="B383" s="46">
        <v>44497</v>
      </c>
      <c r="C383" s="45" t="s">
        <v>2328</v>
      </c>
      <c r="D383" s="46" t="s">
        <v>1000</v>
      </c>
      <c r="E383" s="72" t="s">
        <v>1064</v>
      </c>
      <c r="F383" s="48" t="s">
        <v>2329</v>
      </c>
      <c r="G383" s="47" t="s">
        <v>2330</v>
      </c>
      <c r="H383" s="47" t="s">
        <v>2331</v>
      </c>
      <c r="I383" s="48" t="s">
        <v>2322</v>
      </c>
      <c r="J383" s="48" t="s">
        <v>2323</v>
      </c>
      <c r="K383" s="49" t="s">
        <v>37</v>
      </c>
      <c r="L383" s="49"/>
      <c r="M383" s="49">
        <v>16</v>
      </c>
      <c r="N383" s="80">
        <v>300</v>
      </c>
      <c r="O383" s="51">
        <v>300</v>
      </c>
      <c r="P383" s="81" t="s">
        <v>1017</v>
      </c>
      <c r="Q383" s="142"/>
      <c r="R383" s="76"/>
      <c r="S383" s="81" t="s">
        <v>415</v>
      </c>
      <c r="T383" s="81" t="s">
        <v>415</v>
      </c>
      <c r="U383" s="46">
        <v>44533</v>
      </c>
      <c r="V383" s="50">
        <f t="shared" si="71"/>
        <v>300</v>
      </c>
      <c r="W383" s="53">
        <f t="shared" si="72"/>
        <v>0</v>
      </c>
    </row>
    <row r="384" spans="1:23" ht="25.5" x14ac:dyDescent="0.25">
      <c r="A384" s="35" t="s">
        <v>1906</v>
      </c>
      <c r="B384" s="36">
        <v>44488</v>
      </c>
      <c r="C384" s="35" t="s">
        <v>2332</v>
      </c>
      <c r="D384" s="36" t="s">
        <v>1000</v>
      </c>
      <c r="E384" s="73" t="s">
        <v>1064</v>
      </c>
      <c r="F384" s="38" t="s">
        <v>2333</v>
      </c>
      <c r="G384" s="37" t="s">
        <v>2334</v>
      </c>
      <c r="H384" s="37" t="s">
        <v>2335</v>
      </c>
      <c r="I384" s="38" t="s">
        <v>2336</v>
      </c>
      <c r="J384" s="39" t="s">
        <v>2337</v>
      </c>
      <c r="K384" s="39" t="s">
        <v>432</v>
      </c>
      <c r="L384" s="39" t="s">
        <v>480</v>
      </c>
      <c r="M384" s="39">
        <v>1</v>
      </c>
      <c r="N384" s="86">
        <v>300</v>
      </c>
      <c r="O384" s="41">
        <v>300</v>
      </c>
      <c r="P384" s="86" t="s">
        <v>1017</v>
      </c>
      <c r="Q384" s="143"/>
      <c r="R384" s="78"/>
      <c r="S384" s="87" t="s">
        <v>415</v>
      </c>
      <c r="T384" s="87" t="s">
        <v>415</v>
      </c>
      <c r="U384" s="36">
        <v>44533</v>
      </c>
      <c r="V384" s="40">
        <f t="shared" si="71"/>
        <v>300</v>
      </c>
      <c r="W384" s="43">
        <f t="shared" si="72"/>
        <v>0</v>
      </c>
    </row>
    <row r="385" spans="1:23" ht="38.25" x14ac:dyDescent="0.25">
      <c r="A385" s="45" t="s">
        <v>1907</v>
      </c>
      <c r="B385" s="46">
        <v>44536</v>
      </c>
      <c r="C385" s="45" t="s">
        <v>2338</v>
      </c>
      <c r="D385" s="46" t="s">
        <v>1134</v>
      </c>
      <c r="E385" s="72" t="s">
        <v>1073</v>
      </c>
      <c r="F385" s="48" t="s">
        <v>2339</v>
      </c>
      <c r="G385" s="47" t="s">
        <v>2340</v>
      </c>
      <c r="H385" s="47" t="s">
        <v>2341</v>
      </c>
      <c r="I385" s="48" t="s">
        <v>320</v>
      </c>
      <c r="J385" s="48" t="s">
        <v>317</v>
      </c>
      <c r="K385" s="49" t="s">
        <v>432</v>
      </c>
      <c r="L385" s="49" t="s">
        <v>480</v>
      </c>
      <c r="M385" s="49">
        <v>1</v>
      </c>
      <c r="N385" s="80">
        <f t="shared" si="73"/>
        <v>300</v>
      </c>
      <c r="O385" s="51">
        <v>300</v>
      </c>
      <c r="P385" s="81" t="str">
        <f t="shared" si="74"/>
        <v>OK</v>
      </c>
      <c r="Q385" s="142"/>
      <c r="R385" s="76"/>
      <c r="S385" s="81" t="str">
        <f t="shared" si="75"/>
        <v/>
      </c>
      <c r="T385" s="81" t="str">
        <f t="shared" si="76"/>
        <v/>
      </c>
      <c r="U385" s="46">
        <v>44537</v>
      </c>
      <c r="V385" s="50">
        <f t="shared" si="71"/>
        <v>300</v>
      </c>
      <c r="W385" s="53">
        <f t="shared" si="72"/>
        <v>0</v>
      </c>
    </row>
    <row r="386" spans="1:23" ht="25.5" x14ac:dyDescent="0.25">
      <c r="A386" s="35" t="s">
        <v>1908</v>
      </c>
      <c r="B386" s="36">
        <v>44536</v>
      </c>
      <c r="C386" s="35" t="s">
        <v>2342</v>
      </c>
      <c r="D386" s="36" t="s">
        <v>1134</v>
      </c>
      <c r="E386" s="73" t="s">
        <v>1073</v>
      </c>
      <c r="F386" s="38" t="s">
        <v>2343</v>
      </c>
      <c r="G386" s="37" t="s">
        <v>2344</v>
      </c>
      <c r="H386" s="37" t="s">
        <v>1658</v>
      </c>
      <c r="I386" s="38" t="s">
        <v>320</v>
      </c>
      <c r="J386" s="39" t="s">
        <v>317</v>
      </c>
      <c r="K386" s="39" t="s">
        <v>432</v>
      </c>
      <c r="L386" s="39" t="s">
        <v>480</v>
      </c>
      <c r="M386" s="39">
        <v>1</v>
      </c>
      <c r="N386" s="86">
        <v>300</v>
      </c>
      <c r="O386" s="41">
        <v>300</v>
      </c>
      <c r="P386" s="86" t="s">
        <v>1017</v>
      </c>
      <c r="Q386" s="143"/>
      <c r="R386" s="78"/>
      <c r="S386" s="87" t="s">
        <v>415</v>
      </c>
      <c r="T386" s="87" t="s">
        <v>415</v>
      </c>
      <c r="U386" s="36">
        <v>44537</v>
      </c>
      <c r="V386" s="40">
        <f t="shared" si="71"/>
        <v>300</v>
      </c>
      <c r="W386" s="43">
        <f t="shared" si="72"/>
        <v>0</v>
      </c>
    </row>
    <row r="387" spans="1:23" ht="38.25" x14ac:dyDescent="0.25">
      <c r="A387" s="45" t="s">
        <v>1909</v>
      </c>
      <c r="B387" s="46">
        <v>44539</v>
      </c>
      <c r="C387" s="45" t="s">
        <v>2345</v>
      </c>
      <c r="D387" s="46" t="s">
        <v>1211</v>
      </c>
      <c r="E387" s="72" t="s">
        <v>1071</v>
      </c>
      <c r="F387" s="48" t="s">
        <v>2346</v>
      </c>
      <c r="G387" s="47" t="s">
        <v>2347</v>
      </c>
      <c r="H387" s="47" t="s">
        <v>2348</v>
      </c>
      <c r="I387" s="48" t="s">
        <v>320</v>
      </c>
      <c r="J387" s="48" t="s">
        <v>317</v>
      </c>
      <c r="K387" s="49" t="s">
        <v>432</v>
      </c>
      <c r="L387" s="49" t="s">
        <v>480</v>
      </c>
      <c r="M387" s="49">
        <v>1</v>
      </c>
      <c r="N387" s="80">
        <f t="shared" si="73"/>
        <v>300</v>
      </c>
      <c r="O387" s="51">
        <v>300</v>
      </c>
      <c r="P387" s="81" t="str">
        <f t="shared" si="74"/>
        <v>OK</v>
      </c>
      <c r="Q387" s="142"/>
      <c r="R387" s="76"/>
      <c r="S387" s="81" t="str">
        <f t="shared" si="75"/>
        <v/>
      </c>
      <c r="T387" s="81" t="str">
        <f t="shared" si="76"/>
        <v/>
      </c>
      <c r="U387" s="46">
        <v>44539</v>
      </c>
      <c r="V387" s="50">
        <f t="shared" si="71"/>
        <v>300</v>
      </c>
      <c r="W387" s="53">
        <f t="shared" si="72"/>
        <v>0</v>
      </c>
    </row>
    <row r="388" spans="1:23" ht="25.5" x14ac:dyDescent="0.25">
      <c r="A388" s="35" t="s">
        <v>1910</v>
      </c>
      <c r="B388" s="36">
        <v>44538</v>
      </c>
      <c r="C388" s="35" t="s">
        <v>2349</v>
      </c>
      <c r="D388" s="36" t="s">
        <v>1134</v>
      </c>
      <c r="E388" s="73" t="s">
        <v>1073</v>
      </c>
      <c r="F388" s="38" t="s">
        <v>2350</v>
      </c>
      <c r="G388" s="37" t="s">
        <v>2351</v>
      </c>
      <c r="H388" s="37" t="s">
        <v>2352</v>
      </c>
      <c r="I388" s="38" t="s">
        <v>320</v>
      </c>
      <c r="J388" s="39" t="s">
        <v>317</v>
      </c>
      <c r="K388" s="39" t="s">
        <v>432</v>
      </c>
      <c r="L388" s="39" t="s">
        <v>480</v>
      </c>
      <c r="M388" s="39">
        <v>1</v>
      </c>
      <c r="N388" s="86">
        <f t="shared" si="73"/>
        <v>300</v>
      </c>
      <c r="O388" s="41">
        <v>300</v>
      </c>
      <c r="P388" s="86" t="str">
        <f t="shared" si="74"/>
        <v>OK</v>
      </c>
      <c r="Q388" s="143"/>
      <c r="R388" s="78"/>
      <c r="S388" s="87" t="str">
        <f t="shared" si="75"/>
        <v/>
      </c>
      <c r="T388" s="87" t="str">
        <f t="shared" si="76"/>
        <v/>
      </c>
      <c r="U388" s="36">
        <v>44539</v>
      </c>
      <c r="V388" s="40">
        <f t="shared" si="71"/>
        <v>300</v>
      </c>
      <c r="W388" s="43">
        <f t="shared" si="72"/>
        <v>0</v>
      </c>
    </row>
    <row r="389" spans="1:23" ht="38.25" x14ac:dyDescent="0.25">
      <c r="A389" s="45" t="s">
        <v>1911</v>
      </c>
      <c r="B389" s="46">
        <v>44263</v>
      </c>
      <c r="C389" s="45" t="s">
        <v>837</v>
      </c>
      <c r="D389" s="46" t="s">
        <v>993</v>
      </c>
      <c r="E389" s="72" t="s">
        <v>1080</v>
      </c>
      <c r="F389" s="48" t="s">
        <v>839</v>
      </c>
      <c r="G389" s="47" t="s">
        <v>840</v>
      </c>
      <c r="H389" s="47" t="s">
        <v>841</v>
      </c>
      <c r="I389" s="48" t="s">
        <v>941</v>
      </c>
      <c r="J389" s="48" t="s">
        <v>912</v>
      </c>
      <c r="K389" s="49" t="s">
        <v>5</v>
      </c>
      <c r="L389" s="49" t="s">
        <v>14</v>
      </c>
      <c r="M389" s="49">
        <v>5</v>
      </c>
      <c r="N389" s="80">
        <f t="shared" si="73"/>
        <v>370</v>
      </c>
      <c r="O389" s="51">
        <v>1850</v>
      </c>
      <c r="P389" s="81" t="str">
        <f t="shared" si="74"/>
        <v>OK</v>
      </c>
      <c r="Q389" s="142"/>
      <c r="R389" s="76"/>
      <c r="S389" s="81" t="str">
        <f t="shared" si="75"/>
        <v/>
      </c>
      <c r="T389" s="81" t="str">
        <f t="shared" si="76"/>
        <v/>
      </c>
      <c r="U389" s="46">
        <v>44540</v>
      </c>
      <c r="V389" s="50">
        <f t="shared" si="71"/>
        <v>1850</v>
      </c>
      <c r="W389" s="53">
        <f t="shared" si="72"/>
        <v>0</v>
      </c>
    </row>
    <row r="390" spans="1:23" ht="38.25" x14ac:dyDescent="0.25">
      <c r="A390" s="35" t="s">
        <v>1912</v>
      </c>
      <c r="B390" s="36">
        <v>44511</v>
      </c>
      <c r="C390" s="35" t="s">
        <v>2353</v>
      </c>
      <c r="D390" s="36" t="s">
        <v>1532</v>
      </c>
      <c r="E390" s="73" t="s">
        <v>1064</v>
      </c>
      <c r="F390" s="38" t="s">
        <v>2354</v>
      </c>
      <c r="G390" s="37" t="s">
        <v>2355</v>
      </c>
      <c r="H390" s="37" t="s">
        <v>2356</v>
      </c>
      <c r="I390" s="38" t="s">
        <v>763</v>
      </c>
      <c r="J390" s="39" t="s">
        <v>764</v>
      </c>
      <c r="K390" s="39" t="s">
        <v>16</v>
      </c>
      <c r="L390" s="39" t="s">
        <v>765</v>
      </c>
      <c r="M390" s="39">
        <v>8</v>
      </c>
      <c r="N390" s="86">
        <f t="shared" si="73"/>
        <v>370</v>
      </c>
      <c r="O390" s="41">
        <v>1400</v>
      </c>
      <c r="P390" s="86" t="str">
        <f t="shared" si="74"/>
        <v>OK</v>
      </c>
      <c r="Q390" s="143"/>
      <c r="R390" s="78"/>
      <c r="S390" s="87" t="str">
        <f t="shared" si="75"/>
        <v/>
      </c>
      <c r="T390" s="87" t="str">
        <f t="shared" si="76"/>
        <v/>
      </c>
      <c r="U390" s="36">
        <v>44540</v>
      </c>
      <c r="V390" s="40">
        <f t="shared" si="71"/>
        <v>1400</v>
      </c>
      <c r="W390" s="43">
        <f t="shared" si="72"/>
        <v>0</v>
      </c>
    </row>
    <row r="391" spans="1:23" ht="25.5" x14ac:dyDescent="0.25">
      <c r="A391" s="45" t="s">
        <v>1913</v>
      </c>
      <c r="B391" s="46">
        <v>44508</v>
      </c>
      <c r="C391" s="45" t="s">
        <v>2357</v>
      </c>
      <c r="D391" s="46" t="s">
        <v>1134</v>
      </c>
      <c r="E391" s="72" t="s">
        <v>1073</v>
      </c>
      <c r="F391" s="48" t="s">
        <v>2358</v>
      </c>
      <c r="G391" s="47" t="s">
        <v>2359</v>
      </c>
      <c r="H391" s="47" t="s">
        <v>2360</v>
      </c>
      <c r="I391" s="48" t="s">
        <v>320</v>
      </c>
      <c r="J391" s="48" t="s">
        <v>317</v>
      </c>
      <c r="K391" s="49" t="s">
        <v>432</v>
      </c>
      <c r="L391" s="49" t="s">
        <v>480</v>
      </c>
      <c r="M391" s="49">
        <v>1</v>
      </c>
      <c r="N391" s="80">
        <v>300</v>
      </c>
      <c r="O391" s="51">
        <v>370</v>
      </c>
      <c r="P391" s="81" t="s">
        <v>1017</v>
      </c>
      <c r="Q391" s="142"/>
      <c r="R391" s="76"/>
      <c r="S391" s="81" t="s">
        <v>415</v>
      </c>
      <c r="T391" s="81" t="s">
        <v>415</v>
      </c>
      <c r="U391" s="46">
        <v>44540</v>
      </c>
      <c r="V391" s="50">
        <f t="shared" si="71"/>
        <v>370</v>
      </c>
      <c r="W391" s="53">
        <f t="shared" si="72"/>
        <v>0</v>
      </c>
    </row>
    <row r="392" spans="1:23" ht="25.5" x14ac:dyDescent="0.25">
      <c r="A392" s="35" t="s">
        <v>1914</v>
      </c>
      <c r="B392" s="36">
        <v>44525</v>
      </c>
      <c r="C392" s="35" t="s">
        <v>2361</v>
      </c>
      <c r="D392" s="36" t="s">
        <v>1006</v>
      </c>
      <c r="E392" s="73" t="s">
        <v>1064</v>
      </c>
      <c r="F392" s="38" t="s">
        <v>2362</v>
      </c>
      <c r="G392" s="37" t="s">
        <v>2363</v>
      </c>
      <c r="H392" s="37" t="s">
        <v>2364</v>
      </c>
      <c r="I392" s="38" t="s">
        <v>2365</v>
      </c>
      <c r="J392" s="39" t="s">
        <v>2366</v>
      </c>
      <c r="K392" s="39" t="s">
        <v>16</v>
      </c>
      <c r="L392" s="39" t="s">
        <v>1413</v>
      </c>
      <c r="M392" s="39">
        <v>12</v>
      </c>
      <c r="N392" s="86">
        <f t="shared" si="73"/>
        <v>370</v>
      </c>
      <c r="O392" s="41">
        <v>1150</v>
      </c>
      <c r="P392" s="86" t="str">
        <f t="shared" si="74"/>
        <v>OK</v>
      </c>
      <c r="Q392" s="143"/>
      <c r="R392" s="78"/>
      <c r="S392" s="87" t="str">
        <f t="shared" si="75"/>
        <v/>
      </c>
      <c r="T392" s="87" t="str">
        <f t="shared" si="76"/>
        <v/>
      </c>
      <c r="U392" s="36">
        <v>44540</v>
      </c>
      <c r="V392" s="40">
        <f t="shared" si="71"/>
        <v>1150</v>
      </c>
      <c r="W392" s="43">
        <f t="shared" si="72"/>
        <v>0</v>
      </c>
    </row>
    <row r="393" spans="1:23" ht="38.25" x14ac:dyDescent="0.25">
      <c r="A393" s="45" t="s">
        <v>1915</v>
      </c>
      <c r="B393" s="46">
        <v>44028</v>
      </c>
      <c r="C393" s="45" t="s">
        <v>2367</v>
      </c>
      <c r="D393" s="46" t="s">
        <v>996</v>
      </c>
      <c r="E393" s="72" t="s">
        <v>1064</v>
      </c>
      <c r="F393" s="48" t="s">
        <v>2368</v>
      </c>
      <c r="G393" s="47" t="s">
        <v>2369</v>
      </c>
      <c r="H393" s="47" t="s">
        <v>2370</v>
      </c>
      <c r="I393" s="48" t="s">
        <v>2371</v>
      </c>
      <c r="J393" s="48" t="s">
        <v>2372</v>
      </c>
      <c r="K393" s="49" t="s">
        <v>16</v>
      </c>
      <c r="L393" s="49" t="s">
        <v>765</v>
      </c>
      <c r="M393" s="49">
        <v>8</v>
      </c>
      <c r="N393" s="80">
        <f t="shared" si="73"/>
        <v>370</v>
      </c>
      <c r="O393" s="51">
        <v>740</v>
      </c>
      <c r="P393" s="81" t="str">
        <f t="shared" si="74"/>
        <v>OK</v>
      </c>
      <c r="Q393" s="142"/>
      <c r="R393" s="76"/>
      <c r="S393" s="81" t="str">
        <f t="shared" si="75"/>
        <v/>
      </c>
      <c r="T393" s="81" t="str">
        <f t="shared" si="76"/>
        <v/>
      </c>
      <c r="U393" s="46">
        <v>44540</v>
      </c>
      <c r="V393" s="50">
        <f t="shared" si="71"/>
        <v>740</v>
      </c>
      <c r="W393" s="53">
        <f t="shared" si="72"/>
        <v>0</v>
      </c>
    </row>
    <row r="394" spans="1:23" ht="25.5" x14ac:dyDescent="0.25">
      <c r="A394" s="35" t="s">
        <v>1916</v>
      </c>
      <c r="B394" s="36">
        <v>44439</v>
      </c>
      <c r="C394" s="35" t="s">
        <v>2373</v>
      </c>
      <c r="D394" s="36" t="s">
        <v>1005</v>
      </c>
      <c r="E394" s="73" t="s">
        <v>1080</v>
      </c>
      <c r="F394" s="38" t="s">
        <v>2374</v>
      </c>
      <c r="G394" s="37" t="s">
        <v>2375</v>
      </c>
      <c r="H394" s="37" t="s">
        <v>2376</v>
      </c>
      <c r="I394" s="38" t="s">
        <v>1153</v>
      </c>
      <c r="J394" s="39" t="s">
        <v>2377</v>
      </c>
      <c r="K394" s="39" t="s">
        <v>5</v>
      </c>
      <c r="L394" s="39" t="s">
        <v>8</v>
      </c>
      <c r="M394" s="39">
        <v>2</v>
      </c>
      <c r="N394" s="86">
        <f t="shared" si="73"/>
        <v>370</v>
      </c>
      <c r="O394" s="41">
        <v>388.21</v>
      </c>
      <c r="P394" s="86" t="str">
        <f t="shared" si="74"/>
        <v>OK</v>
      </c>
      <c r="Q394" s="143"/>
      <c r="R394" s="78"/>
      <c r="S394" s="87" t="str">
        <f t="shared" si="75"/>
        <v/>
      </c>
      <c r="T394" s="87" t="str">
        <f t="shared" si="76"/>
        <v/>
      </c>
      <c r="U394" s="36">
        <v>44540</v>
      </c>
      <c r="V394" s="40">
        <f t="shared" si="71"/>
        <v>388.21</v>
      </c>
      <c r="W394" s="43">
        <f t="shared" si="72"/>
        <v>0</v>
      </c>
    </row>
    <row r="395" spans="1:23" ht="38.25" x14ac:dyDescent="0.25">
      <c r="A395" s="45" t="s">
        <v>1917</v>
      </c>
      <c r="B395" s="46">
        <v>44461</v>
      </c>
      <c r="C395" s="45" t="s">
        <v>2378</v>
      </c>
      <c r="D395" s="46" t="s">
        <v>1997</v>
      </c>
      <c r="E395" s="72" t="s">
        <v>1064</v>
      </c>
      <c r="F395" s="48" t="s">
        <v>2379</v>
      </c>
      <c r="G395" s="47" t="s">
        <v>2380</v>
      </c>
      <c r="H395" s="47" t="s">
        <v>2381</v>
      </c>
      <c r="I395" s="48" t="s">
        <v>2382</v>
      </c>
      <c r="J395" s="48" t="s">
        <v>2383</v>
      </c>
      <c r="K395" s="49" t="s">
        <v>31</v>
      </c>
      <c r="L395" s="49" t="s">
        <v>29</v>
      </c>
      <c r="M395" s="49">
        <v>15</v>
      </c>
      <c r="N395" s="80">
        <f t="shared" si="73"/>
        <v>370</v>
      </c>
      <c r="O395" s="51">
        <v>1110</v>
      </c>
      <c r="P395" s="81" t="str">
        <f t="shared" si="74"/>
        <v>OK</v>
      </c>
      <c r="Q395" s="142"/>
      <c r="R395" s="76"/>
      <c r="S395" s="81" t="str">
        <f t="shared" si="75"/>
        <v/>
      </c>
      <c r="T395" s="81" t="str">
        <f t="shared" si="76"/>
        <v/>
      </c>
      <c r="U395" s="46">
        <v>44540</v>
      </c>
      <c r="V395" s="50">
        <f t="shared" si="71"/>
        <v>1110</v>
      </c>
      <c r="W395" s="53">
        <f t="shared" si="72"/>
        <v>0</v>
      </c>
    </row>
    <row r="396" spans="1:23" ht="25.5" x14ac:dyDescent="0.25">
      <c r="A396" s="35" t="s">
        <v>1918</v>
      </c>
      <c r="B396" s="36">
        <v>44271</v>
      </c>
      <c r="C396" s="35" t="s">
        <v>2384</v>
      </c>
      <c r="D396" s="36" t="s">
        <v>466</v>
      </c>
      <c r="E396" s="73" t="s">
        <v>1070</v>
      </c>
      <c r="F396" s="38" t="s">
        <v>2385</v>
      </c>
      <c r="G396" s="37" t="s">
        <v>2386</v>
      </c>
      <c r="H396" s="37" t="s">
        <v>2387</v>
      </c>
      <c r="I396" s="38" t="s">
        <v>320</v>
      </c>
      <c r="J396" s="39" t="s">
        <v>317</v>
      </c>
      <c r="K396" s="39" t="s">
        <v>16</v>
      </c>
      <c r="L396" s="39" t="s">
        <v>27</v>
      </c>
      <c r="M396" s="39">
        <v>8</v>
      </c>
      <c r="N396" s="86">
        <f t="shared" si="73"/>
        <v>370</v>
      </c>
      <c r="O396" s="41">
        <v>622</v>
      </c>
      <c r="P396" s="86" t="str">
        <f t="shared" si="74"/>
        <v>OK</v>
      </c>
      <c r="Q396" s="143"/>
      <c r="R396" s="78"/>
      <c r="S396" s="87" t="str">
        <f t="shared" si="75"/>
        <v/>
      </c>
      <c r="T396" s="87" t="str">
        <f t="shared" si="76"/>
        <v/>
      </c>
      <c r="U396" s="36">
        <v>44540</v>
      </c>
      <c r="V396" s="40">
        <f t="shared" si="71"/>
        <v>622</v>
      </c>
      <c r="W396" s="43">
        <f t="shared" si="72"/>
        <v>0</v>
      </c>
    </row>
    <row r="397" spans="1:23" ht="25.5" x14ac:dyDescent="0.25">
      <c r="A397" s="45" t="s">
        <v>1919</v>
      </c>
      <c r="B397" s="46">
        <v>44539</v>
      </c>
      <c r="C397" s="45" t="s">
        <v>2388</v>
      </c>
      <c r="D397" s="46" t="s">
        <v>1134</v>
      </c>
      <c r="E397" s="72" t="s">
        <v>1073</v>
      </c>
      <c r="F397" s="48" t="s">
        <v>2389</v>
      </c>
      <c r="G397" s="47" t="s">
        <v>2390</v>
      </c>
      <c r="H397" s="47" t="s">
        <v>2391</v>
      </c>
      <c r="I397" s="48" t="s">
        <v>320</v>
      </c>
      <c r="J397" s="48" t="s">
        <v>317</v>
      </c>
      <c r="K397" s="49" t="s">
        <v>432</v>
      </c>
      <c r="L397" s="49" t="s">
        <v>480</v>
      </c>
      <c r="M397" s="49">
        <v>1</v>
      </c>
      <c r="N397" s="80">
        <f t="shared" si="73"/>
        <v>300</v>
      </c>
      <c r="O397" s="51">
        <v>300</v>
      </c>
      <c r="P397" s="81" t="str">
        <f t="shared" si="74"/>
        <v>OK</v>
      </c>
      <c r="Q397" s="142"/>
      <c r="R397" s="76"/>
      <c r="S397" s="81" t="str">
        <f t="shared" si="75"/>
        <v/>
      </c>
      <c r="T397" s="81" t="str">
        <f t="shared" si="76"/>
        <v/>
      </c>
      <c r="U397" s="46">
        <v>44540</v>
      </c>
      <c r="V397" s="50">
        <f t="shared" si="71"/>
        <v>300</v>
      </c>
      <c r="W397" s="53">
        <f t="shared" si="72"/>
        <v>0</v>
      </c>
    </row>
    <row r="398" spans="1:23" ht="25.5" x14ac:dyDescent="0.25">
      <c r="A398" s="35" t="s">
        <v>1920</v>
      </c>
      <c r="B398" s="36">
        <v>44539</v>
      </c>
      <c r="C398" s="35" t="s">
        <v>2392</v>
      </c>
      <c r="D398" s="36" t="s">
        <v>1134</v>
      </c>
      <c r="E398" s="73" t="s">
        <v>1073</v>
      </c>
      <c r="F398" s="38" t="s">
        <v>2393</v>
      </c>
      <c r="G398" s="37" t="s">
        <v>2395</v>
      </c>
      <c r="H398" s="37" t="s">
        <v>2394</v>
      </c>
      <c r="I398" s="38" t="s">
        <v>320</v>
      </c>
      <c r="J398" s="39" t="s">
        <v>317</v>
      </c>
      <c r="K398" s="39" t="s">
        <v>16</v>
      </c>
      <c r="L398" s="39" t="s">
        <v>27</v>
      </c>
      <c r="M398" s="39">
        <v>8</v>
      </c>
      <c r="N398" s="86">
        <v>300</v>
      </c>
      <c r="O398" s="41">
        <v>370</v>
      </c>
      <c r="P398" s="86" t="s">
        <v>1017</v>
      </c>
      <c r="Q398" s="143"/>
      <c r="R398" s="78"/>
      <c r="S398" s="87" t="s">
        <v>415</v>
      </c>
      <c r="T398" s="87" t="s">
        <v>415</v>
      </c>
      <c r="U398" s="36">
        <v>44540</v>
      </c>
      <c r="V398" s="40">
        <f t="shared" si="71"/>
        <v>370</v>
      </c>
      <c r="W398" s="43">
        <f t="shared" si="72"/>
        <v>0</v>
      </c>
    </row>
    <row r="399" spans="1:23" ht="25.5" x14ac:dyDescent="0.25">
      <c r="A399" s="45" t="s">
        <v>1921</v>
      </c>
      <c r="B399" s="46">
        <v>44280</v>
      </c>
      <c r="C399" s="45" t="s">
        <v>2396</v>
      </c>
      <c r="D399" s="46" t="s">
        <v>2397</v>
      </c>
      <c r="E399" s="72" t="s">
        <v>1080</v>
      </c>
      <c r="F399" s="48" t="s">
        <v>2398</v>
      </c>
      <c r="G399" s="47" t="s">
        <v>2399</v>
      </c>
      <c r="H399" s="47" t="s">
        <v>2400</v>
      </c>
      <c r="I399" s="48" t="s">
        <v>2401</v>
      </c>
      <c r="J399" s="48"/>
      <c r="K399" s="49" t="s">
        <v>5</v>
      </c>
      <c r="L399" s="49" t="s">
        <v>8</v>
      </c>
      <c r="M399" s="49">
        <v>2</v>
      </c>
      <c r="N399" s="80">
        <f t="shared" si="73"/>
        <v>370</v>
      </c>
      <c r="O399" s="51">
        <v>900</v>
      </c>
      <c r="P399" s="81" t="str">
        <f t="shared" si="74"/>
        <v>OK</v>
      </c>
      <c r="Q399" s="142"/>
      <c r="R399" s="76"/>
      <c r="S399" s="81" t="str">
        <f t="shared" si="75"/>
        <v/>
      </c>
      <c r="T399" s="81" t="str">
        <f t="shared" si="76"/>
        <v/>
      </c>
      <c r="U399" s="46">
        <v>44540</v>
      </c>
      <c r="V399" s="50">
        <f t="shared" si="71"/>
        <v>900</v>
      </c>
      <c r="W399" s="53">
        <f t="shared" si="72"/>
        <v>0</v>
      </c>
    </row>
    <row r="400" spans="1:23" ht="38.25" x14ac:dyDescent="0.25">
      <c r="A400" s="35" t="s">
        <v>1922</v>
      </c>
      <c r="B400" s="36">
        <v>44540</v>
      </c>
      <c r="C400" s="35" t="s">
        <v>2402</v>
      </c>
      <c r="D400" s="36" t="s">
        <v>501</v>
      </c>
      <c r="E400" s="73" t="s">
        <v>1072</v>
      </c>
      <c r="F400" s="38" t="s">
        <v>2403</v>
      </c>
      <c r="G400" s="37" t="s">
        <v>2404</v>
      </c>
      <c r="H400" s="37" t="s">
        <v>437</v>
      </c>
      <c r="I400" s="38" t="s">
        <v>2225</v>
      </c>
      <c r="J400" s="39" t="s">
        <v>2226</v>
      </c>
      <c r="K400" s="39" t="s">
        <v>31</v>
      </c>
      <c r="L400" s="39" t="s">
        <v>32</v>
      </c>
      <c r="M400" s="39">
        <v>13</v>
      </c>
      <c r="N400" s="86">
        <f t="shared" si="73"/>
        <v>370</v>
      </c>
      <c r="O400" s="41">
        <v>370</v>
      </c>
      <c r="P400" s="86" t="str">
        <f t="shared" si="74"/>
        <v>OK</v>
      </c>
      <c r="Q400" s="143"/>
      <c r="R400" s="78"/>
      <c r="S400" s="87" t="str">
        <f t="shared" si="75"/>
        <v/>
      </c>
      <c r="T400" s="87" t="str">
        <f t="shared" si="76"/>
        <v/>
      </c>
      <c r="U400" s="36">
        <v>44543</v>
      </c>
      <c r="V400" s="40">
        <f t="shared" si="71"/>
        <v>370</v>
      </c>
      <c r="W400" s="43">
        <f t="shared" si="72"/>
        <v>0</v>
      </c>
    </row>
    <row r="401" spans="1:23" ht="25.5" x14ac:dyDescent="0.25">
      <c r="A401" s="45" t="s">
        <v>1923</v>
      </c>
      <c r="B401" s="46">
        <v>44540</v>
      </c>
      <c r="C401" s="45" t="s">
        <v>2405</v>
      </c>
      <c r="D401" s="46" t="s">
        <v>1134</v>
      </c>
      <c r="E401" s="72" t="s">
        <v>1073</v>
      </c>
      <c r="F401" s="48" t="s">
        <v>2406</v>
      </c>
      <c r="G401" s="47" t="s">
        <v>2407</v>
      </c>
      <c r="H401" s="47" t="s">
        <v>1143</v>
      </c>
      <c r="I401" s="48" t="s">
        <v>320</v>
      </c>
      <c r="J401" s="48" t="s">
        <v>317</v>
      </c>
      <c r="K401" s="49" t="s">
        <v>432</v>
      </c>
      <c r="L401" s="49" t="s">
        <v>480</v>
      </c>
      <c r="M401" s="49">
        <v>1</v>
      </c>
      <c r="N401" s="80">
        <f t="shared" si="73"/>
        <v>300</v>
      </c>
      <c r="O401" s="51">
        <v>300</v>
      </c>
      <c r="P401" s="81" t="str">
        <f t="shared" si="74"/>
        <v>OK</v>
      </c>
      <c r="Q401" s="142"/>
      <c r="R401" s="76"/>
      <c r="S401" s="81" t="str">
        <f t="shared" si="75"/>
        <v/>
      </c>
      <c r="T401" s="81" t="str">
        <f t="shared" si="76"/>
        <v/>
      </c>
      <c r="U401" s="46">
        <v>44543</v>
      </c>
      <c r="V401" s="50">
        <f t="shared" si="71"/>
        <v>300</v>
      </c>
      <c r="W401" s="53">
        <f t="shared" si="72"/>
        <v>0</v>
      </c>
    </row>
    <row r="402" spans="1:23" ht="38.25" x14ac:dyDescent="0.25">
      <c r="A402" s="35" t="s">
        <v>1924</v>
      </c>
      <c r="B402" s="36">
        <v>44539</v>
      </c>
      <c r="C402" s="35" t="s">
        <v>2408</v>
      </c>
      <c r="D402" s="36" t="s">
        <v>1134</v>
      </c>
      <c r="E402" s="73" t="s">
        <v>1073</v>
      </c>
      <c r="F402" s="38" t="s">
        <v>2409</v>
      </c>
      <c r="G402" s="37" t="s">
        <v>2410</v>
      </c>
      <c r="H402" s="37" t="s">
        <v>934</v>
      </c>
      <c r="I402" s="38" t="s">
        <v>320</v>
      </c>
      <c r="J402" s="39" t="s">
        <v>317</v>
      </c>
      <c r="K402" s="39" t="s">
        <v>432</v>
      </c>
      <c r="L402" s="39" t="s">
        <v>480</v>
      </c>
      <c r="M402" s="39">
        <v>1</v>
      </c>
      <c r="N402" s="86">
        <v>300</v>
      </c>
      <c r="O402" s="41">
        <v>300</v>
      </c>
      <c r="P402" s="86" t="s">
        <v>1017</v>
      </c>
      <c r="Q402" s="143"/>
      <c r="R402" s="78"/>
      <c r="S402" s="87" t="s">
        <v>415</v>
      </c>
      <c r="T402" s="87" t="s">
        <v>415</v>
      </c>
      <c r="U402" s="36">
        <v>44543</v>
      </c>
      <c r="V402" s="40">
        <f t="shared" si="71"/>
        <v>300</v>
      </c>
      <c r="W402" s="43">
        <f t="shared" si="72"/>
        <v>0</v>
      </c>
    </row>
    <row r="403" spans="1:23" ht="25.5" x14ac:dyDescent="0.25">
      <c r="A403" s="45" t="s">
        <v>1925</v>
      </c>
      <c r="B403" s="46">
        <v>44539</v>
      </c>
      <c r="C403" s="45" t="s">
        <v>2411</v>
      </c>
      <c r="D403" s="46" t="s">
        <v>1134</v>
      </c>
      <c r="E403" s="72" t="s">
        <v>1073</v>
      </c>
      <c r="F403" s="48" t="s">
        <v>2412</v>
      </c>
      <c r="G403" s="47" t="s">
        <v>2413</v>
      </c>
      <c r="H403" s="47" t="s">
        <v>2414</v>
      </c>
      <c r="I403" s="48" t="s">
        <v>320</v>
      </c>
      <c r="J403" s="48" t="s">
        <v>317</v>
      </c>
      <c r="K403" s="49" t="s">
        <v>432</v>
      </c>
      <c r="L403" s="49" t="s">
        <v>480</v>
      </c>
      <c r="M403" s="49">
        <v>1</v>
      </c>
      <c r="N403" s="80">
        <v>300</v>
      </c>
      <c r="O403" s="51">
        <v>300</v>
      </c>
      <c r="P403" s="81" t="s">
        <v>1017</v>
      </c>
      <c r="Q403" s="142"/>
      <c r="R403" s="76"/>
      <c r="S403" s="81" t="s">
        <v>415</v>
      </c>
      <c r="T403" s="81" t="s">
        <v>415</v>
      </c>
      <c r="U403" s="46">
        <v>44543</v>
      </c>
      <c r="V403" s="50">
        <f t="shared" si="71"/>
        <v>300</v>
      </c>
      <c r="W403" s="53">
        <f t="shared" si="72"/>
        <v>0</v>
      </c>
    </row>
    <row r="404" spans="1:23" ht="38.25" x14ac:dyDescent="0.25">
      <c r="A404" s="35" t="s">
        <v>1926</v>
      </c>
      <c r="B404" s="36">
        <v>44544</v>
      </c>
      <c r="C404" s="35" t="s">
        <v>2415</v>
      </c>
      <c r="D404" s="36" t="s">
        <v>501</v>
      </c>
      <c r="E404" s="73" t="s">
        <v>1072</v>
      </c>
      <c r="F404" s="38" t="s">
        <v>2416</v>
      </c>
      <c r="G404" s="37" t="s">
        <v>2417</v>
      </c>
      <c r="H404" s="37" t="s">
        <v>437</v>
      </c>
      <c r="I404" s="38" t="s">
        <v>2225</v>
      </c>
      <c r="J404" s="39" t="s">
        <v>2226</v>
      </c>
      <c r="K404" s="39" t="s">
        <v>31</v>
      </c>
      <c r="L404" s="39" t="s">
        <v>32</v>
      </c>
      <c r="M404" s="39">
        <v>13</v>
      </c>
      <c r="N404" s="86">
        <f t="shared" si="73"/>
        <v>370</v>
      </c>
      <c r="O404" s="41">
        <v>370</v>
      </c>
      <c r="P404" s="86" t="str">
        <f t="shared" si="74"/>
        <v>OK</v>
      </c>
      <c r="Q404" s="143"/>
      <c r="R404" s="78"/>
      <c r="S404" s="87" t="str">
        <f t="shared" si="75"/>
        <v/>
      </c>
      <c r="T404" s="87" t="str">
        <f t="shared" si="76"/>
        <v/>
      </c>
      <c r="U404" s="36">
        <v>44544</v>
      </c>
      <c r="V404" s="40">
        <f t="shared" si="71"/>
        <v>370</v>
      </c>
      <c r="W404" s="43">
        <f t="shared" si="72"/>
        <v>0</v>
      </c>
    </row>
    <row r="405" spans="1:23" ht="38.25" x14ac:dyDescent="0.25">
      <c r="A405" s="45" t="s">
        <v>1927</v>
      </c>
      <c r="B405" s="46">
        <v>44545</v>
      </c>
      <c r="C405" s="45" t="s">
        <v>2418</v>
      </c>
      <c r="D405" s="46" t="s">
        <v>501</v>
      </c>
      <c r="E405" s="72" t="s">
        <v>1072</v>
      </c>
      <c r="F405" s="48" t="s">
        <v>2419</v>
      </c>
      <c r="G405" s="47" t="s">
        <v>2420</v>
      </c>
      <c r="H405" s="47" t="s">
        <v>1028</v>
      </c>
      <c r="I405" s="48" t="s">
        <v>320</v>
      </c>
      <c r="J405" s="48" t="s">
        <v>317</v>
      </c>
      <c r="K405" s="49" t="s">
        <v>432</v>
      </c>
      <c r="L405" s="49" t="s">
        <v>480</v>
      </c>
      <c r="M405" s="49">
        <v>1</v>
      </c>
      <c r="N405" s="80">
        <f t="shared" si="73"/>
        <v>300</v>
      </c>
      <c r="O405" s="51">
        <v>300</v>
      </c>
      <c r="P405" s="81" t="str">
        <f t="shared" si="74"/>
        <v>OK</v>
      </c>
      <c r="Q405" s="142"/>
      <c r="R405" s="76"/>
      <c r="S405" s="81" t="str">
        <f t="shared" si="75"/>
        <v/>
      </c>
      <c r="T405" s="81" t="str">
        <f t="shared" si="76"/>
        <v/>
      </c>
      <c r="U405" s="46">
        <v>44546</v>
      </c>
      <c r="V405" s="50">
        <f t="shared" si="71"/>
        <v>300</v>
      </c>
      <c r="W405" s="53">
        <f t="shared" si="72"/>
        <v>0</v>
      </c>
    </row>
    <row r="406" spans="1:23" ht="38.25" x14ac:dyDescent="0.25">
      <c r="A406" s="35" t="s">
        <v>1928</v>
      </c>
      <c r="B406" s="73">
        <v>44545</v>
      </c>
      <c r="C406" s="35" t="s">
        <v>2421</v>
      </c>
      <c r="D406" s="36" t="s">
        <v>767</v>
      </c>
      <c r="E406" s="73" t="s">
        <v>1067</v>
      </c>
      <c r="F406" s="38" t="s">
        <v>2422</v>
      </c>
      <c r="G406" s="37" t="s">
        <v>2423</v>
      </c>
      <c r="H406" s="37" t="s">
        <v>2424</v>
      </c>
      <c r="I406" s="38" t="s">
        <v>771</v>
      </c>
      <c r="J406" s="39" t="s">
        <v>772</v>
      </c>
      <c r="K406" s="39" t="s">
        <v>31</v>
      </c>
      <c r="L406" s="39" t="s">
        <v>32</v>
      </c>
      <c r="M406" s="39">
        <v>13</v>
      </c>
      <c r="N406" s="86">
        <f t="shared" si="73"/>
        <v>370</v>
      </c>
      <c r="O406" s="41">
        <v>370</v>
      </c>
      <c r="P406" s="86" t="str">
        <f t="shared" si="74"/>
        <v>OK</v>
      </c>
      <c r="Q406" s="143"/>
      <c r="R406" s="78"/>
      <c r="S406" s="87" t="str">
        <f t="shared" si="75"/>
        <v/>
      </c>
      <c r="T406" s="87" t="str">
        <f t="shared" si="76"/>
        <v/>
      </c>
      <c r="U406" s="36">
        <v>44546</v>
      </c>
      <c r="V406" s="40">
        <f t="shared" si="71"/>
        <v>370</v>
      </c>
      <c r="W406" s="43">
        <f t="shared" si="72"/>
        <v>0</v>
      </c>
    </row>
    <row r="407" spans="1:23" ht="25.5" x14ac:dyDescent="0.25">
      <c r="A407" s="45" t="s">
        <v>1929</v>
      </c>
      <c r="B407" s="46">
        <v>44546</v>
      </c>
      <c r="C407" s="45" t="s">
        <v>2425</v>
      </c>
      <c r="D407" s="46" t="s">
        <v>1134</v>
      </c>
      <c r="E407" s="72" t="s">
        <v>1073</v>
      </c>
      <c r="F407" s="48" t="s">
        <v>2426</v>
      </c>
      <c r="G407" s="47" t="s">
        <v>2427</v>
      </c>
      <c r="H407" s="47" t="s">
        <v>1165</v>
      </c>
      <c r="I407" s="48" t="s">
        <v>320</v>
      </c>
      <c r="J407" s="48" t="s">
        <v>317</v>
      </c>
      <c r="K407" s="49" t="s">
        <v>16</v>
      </c>
      <c r="L407" s="49" t="s">
        <v>27</v>
      </c>
      <c r="M407" s="49">
        <v>8</v>
      </c>
      <c r="N407" s="80">
        <f t="shared" si="73"/>
        <v>370</v>
      </c>
      <c r="O407" s="51">
        <v>370</v>
      </c>
      <c r="P407" s="81" t="str">
        <f t="shared" si="74"/>
        <v>OK</v>
      </c>
      <c r="Q407" s="142"/>
      <c r="R407" s="76"/>
      <c r="S407" s="81" t="str">
        <f t="shared" si="75"/>
        <v/>
      </c>
      <c r="T407" s="81" t="str">
        <f t="shared" si="76"/>
        <v/>
      </c>
      <c r="U407" s="46">
        <v>44546</v>
      </c>
      <c r="V407" s="50">
        <f t="shared" si="71"/>
        <v>370</v>
      </c>
      <c r="W407" s="53">
        <f t="shared" si="72"/>
        <v>0</v>
      </c>
    </row>
    <row r="408" spans="1:23" ht="38.25" x14ac:dyDescent="0.25">
      <c r="A408" s="35" t="s">
        <v>1930</v>
      </c>
      <c r="B408" s="36">
        <v>44546</v>
      </c>
      <c r="C408" s="35" t="s">
        <v>2428</v>
      </c>
      <c r="D408" s="36" t="s">
        <v>659</v>
      </c>
      <c r="E408" s="73" t="s">
        <v>1073</v>
      </c>
      <c r="F408" s="38" t="s">
        <v>2429</v>
      </c>
      <c r="G408" s="37" t="s">
        <v>2430</v>
      </c>
      <c r="H408" s="37" t="s">
        <v>1044</v>
      </c>
      <c r="I408" s="38" t="s">
        <v>320</v>
      </c>
      <c r="J408" s="39" t="s">
        <v>317</v>
      </c>
      <c r="K408" s="39" t="s">
        <v>432</v>
      </c>
      <c r="L408" s="39" t="s">
        <v>480</v>
      </c>
      <c r="M408" s="39">
        <v>1</v>
      </c>
      <c r="N408" s="86">
        <f t="shared" si="73"/>
        <v>300</v>
      </c>
      <c r="O408" s="41">
        <v>300</v>
      </c>
      <c r="P408" s="86" t="str">
        <f t="shared" si="74"/>
        <v>OK</v>
      </c>
      <c r="Q408" s="143"/>
      <c r="R408" s="78"/>
      <c r="S408" s="87" t="str">
        <f t="shared" si="75"/>
        <v/>
      </c>
      <c r="T408" s="87" t="str">
        <f t="shared" si="76"/>
        <v/>
      </c>
      <c r="U408" s="36">
        <v>44547</v>
      </c>
      <c r="V408" s="40">
        <f t="shared" si="71"/>
        <v>300</v>
      </c>
      <c r="W408" s="43">
        <f t="shared" si="72"/>
        <v>0</v>
      </c>
    </row>
    <row r="409" spans="1:23" ht="38.25" x14ac:dyDescent="0.25">
      <c r="A409" s="45" t="s">
        <v>1931</v>
      </c>
      <c r="B409" s="46">
        <v>44546</v>
      </c>
      <c r="C409" s="45" t="s">
        <v>2431</v>
      </c>
      <c r="D409" s="46" t="s">
        <v>659</v>
      </c>
      <c r="E409" s="72" t="s">
        <v>1073</v>
      </c>
      <c r="F409" s="48" t="s">
        <v>2432</v>
      </c>
      <c r="G409" s="47" t="s">
        <v>2433</v>
      </c>
      <c r="H409" s="47" t="s">
        <v>1044</v>
      </c>
      <c r="I409" s="48" t="s">
        <v>320</v>
      </c>
      <c r="J409" s="48" t="s">
        <v>317</v>
      </c>
      <c r="K409" s="49" t="s">
        <v>432</v>
      </c>
      <c r="L409" s="49" t="s">
        <v>480</v>
      </c>
      <c r="M409" s="49">
        <v>1</v>
      </c>
      <c r="N409" s="80">
        <f t="shared" si="73"/>
        <v>300</v>
      </c>
      <c r="O409" s="51">
        <v>300</v>
      </c>
      <c r="P409" s="81" t="str">
        <f t="shared" si="74"/>
        <v>OK</v>
      </c>
      <c r="Q409" s="142"/>
      <c r="R409" s="76"/>
      <c r="S409" s="81" t="str">
        <f t="shared" si="75"/>
        <v/>
      </c>
      <c r="T409" s="81" t="str">
        <f t="shared" si="76"/>
        <v/>
      </c>
      <c r="U409" s="46">
        <v>44547</v>
      </c>
      <c r="V409" s="50">
        <f t="shared" si="71"/>
        <v>300</v>
      </c>
      <c r="W409" s="53">
        <f t="shared" si="72"/>
        <v>0</v>
      </c>
    </row>
    <row r="410" spans="1:23" ht="38.25" x14ac:dyDescent="0.25">
      <c r="A410" s="35" t="s">
        <v>1932</v>
      </c>
      <c r="B410" s="36">
        <v>44546</v>
      </c>
      <c r="C410" s="35" t="s">
        <v>2434</v>
      </c>
      <c r="D410" s="36" t="s">
        <v>659</v>
      </c>
      <c r="E410" s="73" t="s">
        <v>1073</v>
      </c>
      <c r="F410" s="38" t="s">
        <v>2435</v>
      </c>
      <c r="G410" s="37" t="s">
        <v>2436</v>
      </c>
      <c r="H410" s="37" t="s">
        <v>2437</v>
      </c>
      <c r="I410" s="38" t="s">
        <v>320</v>
      </c>
      <c r="J410" s="39" t="s">
        <v>317</v>
      </c>
      <c r="K410" s="39" t="s">
        <v>432</v>
      </c>
      <c r="L410" s="39" t="s">
        <v>480</v>
      </c>
      <c r="M410" s="39">
        <v>1</v>
      </c>
      <c r="N410" s="86">
        <v>300</v>
      </c>
      <c r="O410" s="41">
        <v>300</v>
      </c>
      <c r="P410" s="86" t="s">
        <v>1017</v>
      </c>
      <c r="Q410" s="143"/>
      <c r="R410" s="78"/>
      <c r="S410" s="87" t="s">
        <v>415</v>
      </c>
      <c r="T410" s="87" t="s">
        <v>415</v>
      </c>
      <c r="U410" s="36">
        <v>44547</v>
      </c>
      <c r="V410" s="40">
        <f t="shared" si="71"/>
        <v>300</v>
      </c>
      <c r="W410" s="43">
        <f t="shared" si="72"/>
        <v>0</v>
      </c>
    </row>
    <row r="411" spans="1:23" ht="63.75" x14ac:dyDescent="0.25">
      <c r="A411" s="45" t="s">
        <v>1933</v>
      </c>
      <c r="B411" s="46">
        <v>44546</v>
      </c>
      <c r="C411" s="45" t="s">
        <v>2438</v>
      </c>
      <c r="D411" s="46" t="s">
        <v>659</v>
      </c>
      <c r="E411" s="72" t="s">
        <v>1073</v>
      </c>
      <c r="F411" s="48" t="s">
        <v>2439</v>
      </c>
      <c r="G411" s="47" t="s">
        <v>2440</v>
      </c>
      <c r="H411" s="47" t="s">
        <v>2441</v>
      </c>
      <c r="I411" s="48" t="s">
        <v>320</v>
      </c>
      <c r="J411" s="48" t="s">
        <v>317</v>
      </c>
      <c r="K411" s="49" t="s">
        <v>432</v>
      </c>
      <c r="L411" s="49" t="s">
        <v>480</v>
      </c>
      <c r="M411" s="49">
        <v>1</v>
      </c>
      <c r="N411" s="80">
        <v>300</v>
      </c>
      <c r="O411" s="51">
        <v>300</v>
      </c>
      <c r="P411" s="81" t="s">
        <v>1017</v>
      </c>
      <c r="Q411" s="142"/>
      <c r="R411" s="76"/>
      <c r="S411" s="81" t="s">
        <v>415</v>
      </c>
      <c r="T411" s="81" t="s">
        <v>415</v>
      </c>
      <c r="U411" s="46">
        <v>44547</v>
      </c>
      <c r="V411" s="50">
        <f t="shared" si="71"/>
        <v>300</v>
      </c>
      <c r="W411" s="53">
        <f t="shared" si="72"/>
        <v>0</v>
      </c>
    </row>
    <row r="412" spans="1:23" ht="25.5" x14ac:dyDescent="0.25">
      <c r="A412" s="35" t="s">
        <v>1934</v>
      </c>
      <c r="B412" s="36">
        <v>44546</v>
      </c>
      <c r="C412" s="35" t="s">
        <v>2442</v>
      </c>
      <c r="D412" s="36" t="s">
        <v>1079</v>
      </c>
      <c r="E412" s="73" t="s">
        <v>980</v>
      </c>
      <c r="F412" s="38" t="s">
        <v>2443</v>
      </c>
      <c r="G412" s="37" t="s">
        <v>2444</v>
      </c>
      <c r="H412" s="37" t="s">
        <v>2445</v>
      </c>
      <c r="I412" s="38" t="s">
        <v>2446</v>
      </c>
      <c r="J412" s="39" t="s">
        <v>2447</v>
      </c>
      <c r="K412" s="39" t="s">
        <v>39</v>
      </c>
      <c r="L412" s="39" t="s">
        <v>40</v>
      </c>
      <c r="M412" s="39">
        <v>17</v>
      </c>
      <c r="N412" s="86">
        <f t="shared" si="73"/>
        <v>300</v>
      </c>
      <c r="O412" s="41">
        <v>200</v>
      </c>
      <c r="P412" s="86" t="str">
        <f t="shared" si="74"/>
        <v>OK</v>
      </c>
      <c r="Q412" s="143"/>
      <c r="R412" s="78"/>
      <c r="S412" s="87" t="str">
        <f t="shared" si="75"/>
        <v/>
      </c>
      <c r="T412" s="87" t="str">
        <f t="shared" si="76"/>
        <v/>
      </c>
      <c r="U412" s="36">
        <v>44546</v>
      </c>
      <c r="V412" s="40">
        <f t="shared" si="71"/>
        <v>200</v>
      </c>
      <c r="W412" s="43">
        <f t="shared" si="72"/>
        <v>0</v>
      </c>
    </row>
    <row r="413" spans="1:23" ht="25.5" x14ac:dyDescent="0.25">
      <c r="A413" s="45" t="s">
        <v>1935</v>
      </c>
      <c r="B413" s="46">
        <v>44208</v>
      </c>
      <c r="C413" s="45" t="s">
        <v>2448</v>
      </c>
      <c r="D413" s="46" t="s">
        <v>1134</v>
      </c>
      <c r="E413" s="72" t="s">
        <v>1073</v>
      </c>
      <c r="F413" s="48" t="s">
        <v>2449</v>
      </c>
      <c r="G413" s="47" t="s">
        <v>2450</v>
      </c>
      <c r="H413" s="47" t="s">
        <v>2391</v>
      </c>
      <c r="I413" s="48" t="s">
        <v>320</v>
      </c>
      <c r="J413" s="48" t="s">
        <v>317</v>
      </c>
      <c r="K413" s="49" t="s">
        <v>432</v>
      </c>
      <c r="L413" s="49" t="s">
        <v>480</v>
      </c>
      <c r="M413" s="49">
        <v>1</v>
      </c>
      <c r="N413" s="80">
        <f t="shared" si="73"/>
        <v>300</v>
      </c>
      <c r="O413" s="51">
        <v>300</v>
      </c>
      <c r="P413" s="81" t="str">
        <f t="shared" si="74"/>
        <v>OK</v>
      </c>
      <c r="Q413" s="142"/>
      <c r="R413" s="76"/>
      <c r="S413" s="81" t="str">
        <f t="shared" si="75"/>
        <v/>
      </c>
      <c r="T413" s="81" t="str">
        <f t="shared" si="76"/>
        <v/>
      </c>
      <c r="U413" s="46">
        <v>44573</v>
      </c>
      <c r="V413" s="50">
        <f t="shared" si="71"/>
        <v>300</v>
      </c>
      <c r="W413" s="53">
        <f t="shared" si="72"/>
        <v>0</v>
      </c>
    </row>
    <row r="414" spans="1:23" ht="25.5" x14ac:dyDescent="0.25">
      <c r="A414" s="35" t="s">
        <v>1936</v>
      </c>
      <c r="B414" s="36">
        <v>44579</v>
      </c>
      <c r="C414" s="35" t="s">
        <v>2451</v>
      </c>
      <c r="D414" s="36" t="s">
        <v>1079</v>
      </c>
      <c r="E414" s="73" t="s">
        <v>980</v>
      </c>
      <c r="F414" s="38" t="s">
        <v>2452</v>
      </c>
      <c r="G414" s="37" t="s">
        <v>2453</v>
      </c>
      <c r="H414" s="37" t="s">
        <v>437</v>
      </c>
      <c r="I414" s="38" t="s">
        <v>2446</v>
      </c>
      <c r="J414" s="39" t="s">
        <v>2447</v>
      </c>
      <c r="K414" s="39" t="s">
        <v>39</v>
      </c>
      <c r="L414" s="39" t="s">
        <v>40</v>
      </c>
      <c r="M414" s="39">
        <v>17</v>
      </c>
      <c r="N414" s="86">
        <f t="shared" si="73"/>
        <v>300</v>
      </c>
      <c r="O414" s="41">
        <v>200</v>
      </c>
      <c r="P414" s="86" t="str">
        <f t="shared" si="74"/>
        <v>OK</v>
      </c>
      <c r="Q414" s="143"/>
      <c r="R414" s="78"/>
      <c r="S414" s="87" t="str">
        <f t="shared" si="75"/>
        <v/>
      </c>
      <c r="T414" s="87" t="str">
        <f t="shared" si="76"/>
        <v/>
      </c>
      <c r="U414" s="36">
        <v>44579</v>
      </c>
      <c r="V414" s="40">
        <f t="shared" si="71"/>
        <v>200</v>
      </c>
      <c r="W414" s="43">
        <f t="shared" si="72"/>
        <v>0</v>
      </c>
    </row>
    <row r="415" spans="1:23" ht="25.5" x14ac:dyDescent="0.25">
      <c r="A415" s="45" t="s">
        <v>1937</v>
      </c>
      <c r="B415" s="46">
        <v>44589</v>
      </c>
      <c r="C415" s="45" t="s">
        <v>2454</v>
      </c>
      <c r="D415" s="46" t="s">
        <v>1173</v>
      </c>
      <c r="E415" s="72" t="s">
        <v>1311</v>
      </c>
      <c r="F415" s="48" t="s">
        <v>2455</v>
      </c>
      <c r="G415" s="47" t="s">
        <v>2456</v>
      </c>
      <c r="H415" s="47" t="s">
        <v>2457</v>
      </c>
      <c r="I415" s="48" t="s">
        <v>1189</v>
      </c>
      <c r="J415" s="48" t="s">
        <v>743</v>
      </c>
      <c r="K415" s="49" t="s">
        <v>31</v>
      </c>
      <c r="L415" s="49" t="s">
        <v>32</v>
      </c>
      <c r="M415" s="49">
        <v>13</v>
      </c>
      <c r="N415" s="80">
        <f t="shared" si="73"/>
        <v>370</v>
      </c>
      <c r="O415" s="51">
        <v>370</v>
      </c>
      <c r="P415" s="81" t="str">
        <f t="shared" si="74"/>
        <v>OK</v>
      </c>
      <c r="Q415" s="142"/>
      <c r="R415" s="76"/>
      <c r="S415" s="81" t="str">
        <f t="shared" si="75"/>
        <v/>
      </c>
      <c r="T415" s="81" t="str">
        <f t="shared" si="76"/>
        <v/>
      </c>
      <c r="U415" s="46">
        <v>44594</v>
      </c>
      <c r="V415" s="50">
        <f t="shared" si="71"/>
        <v>370</v>
      </c>
      <c r="W415" s="53">
        <f t="shared" si="72"/>
        <v>0</v>
      </c>
    </row>
    <row r="416" spans="1:23" ht="25.5" x14ac:dyDescent="0.25">
      <c r="A416" s="35" t="s">
        <v>1938</v>
      </c>
      <c r="B416" s="36">
        <v>44589</v>
      </c>
      <c r="C416" s="35" t="s">
        <v>2458</v>
      </c>
      <c r="D416" s="36" t="s">
        <v>1173</v>
      </c>
      <c r="E416" s="73" t="s">
        <v>1311</v>
      </c>
      <c r="F416" s="38" t="s">
        <v>2459</v>
      </c>
      <c r="G416" s="37" t="s">
        <v>2456</v>
      </c>
      <c r="H416" s="37" t="s">
        <v>2460</v>
      </c>
      <c r="I416" s="38" t="s">
        <v>1189</v>
      </c>
      <c r="J416" s="39" t="s">
        <v>743</v>
      </c>
      <c r="K416" s="39" t="s">
        <v>31</v>
      </c>
      <c r="L416" s="39" t="s">
        <v>32</v>
      </c>
      <c r="M416" s="39">
        <v>13</v>
      </c>
      <c r="N416" s="86">
        <f t="shared" si="73"/>
        <v>370</v>
      </c>
      <c r="O416" s="41">
        <v>370</v>
      </c>
      <c r="P416" s="86" t="str">
        <f t="shared" si="74"/>
        <v>OK</v>
      </c>
      <c r="Q416" s="143"/>
      <c r="R416" s="78"/>
      <c r="S416" s="87" t="str">
        <f t="shared" si="75"/>
        <v/>
      </c>
      <c r="T416" s="87" t="str">
        <f t="shared" si="76"/>
        <v/>
      </c>
      <c r="U416" s="36">
        <v>44594</v>
      </c>
      <c r="V416" s="40">
        <f t="shared" si="71"/>
        <v>370</v>
      </c>
      <c r="W416" s="43">
        <f t="shared" si="72"/>
        <v>0</v>
      </c>
    </row>
    <row r="417" spans="1:23" ht="25.5" x14ac:dyDescent="0.25">
      <c r="A417" s="45" t="s">
        <v>1939</v>
      </c>
      <c r="B417" s="46">
        <v>44595</v>
      </c>
      <c r="C417" s="45" t="s">
        <v>2462</v>
      </c>
      <c r="D417" s="46" t="s">
        <v>1079</v>
      </c>
      <c r="E417" s="72" t="s">
        <v>980</v>
      </c>
      <c r="F417" s="48" t="s">
        <v>2463</v>
      </c>
      <c r="G417" s="47" t="s">
        <v>2464</v>
      </c>
      <c r="H417" s="47" t="s">
        <v>2465</v>
      </c>
      <c r="I417" s="48" t="s">
        <v>2238</v>
      </c>
      <c r="J417" s="48" t="s">
        <v>2466</v>
      </c>
      <c r="K417" s="49" t="s">
        <v>31</v>
      </c>
      <c r="L417" s="49" t="s">
        <v>32</v>
      </c>
      <c r="M417" s="49">
        <v>13</v>
      </c>
      <c r="N417" s="80">
        <f t="shared" si="73"/>
        <v>370</v>
      </c>
      <c r="O417" s="51">
        <v>370</v>
      </c>
      <c r="P417" s="81" t="str">
        <f t="shared" si="74"/>
        <v>OK</v>
      </c>
      <c r="Q417" s="142"/>
      <c r="R417" s="76"/>
      <c r="S417" s="81" t="str">
        <f t="shared" si="75"/>
        <v/>
      </c>
      <c r="T417" s="81" t="str">
        <f t="shared" si="76"/>
        <v/>
      </c>
      <c r="U417" s="46">
        <v>44596</v>
      </c>
      <c r="V417" s="50">
        <f t="shared" si="71"/>
        <v>370</v>
      </c>
      <c r="W417" s="53">
        <f t="shared" si="72"/>
        <v>0</v>
      </c>
    </row>
    <row r="418" spans="1:23" ht="25.5" x14ac:dyDescent="0.25">
      <c r="A418" s="35" t="s">
        <v>1940</v>
      </c>
      <c r="B418" s="36">
        <v>44595</v>
      </c>
      <c r="C418" s="35" t="s">
        <v>2461</v>
      </c>
      <c r="D418" s="36" t="s">
        <v>1079</v>
      </c>
      <c r="E418" s="73" t="s">
        <v>980</v>
      </c>
      <c r="F418" s="38" t="s">
        <v>2468</v>
      </c>
      <c r="G418" s="37" t="s">
        <v>2467</v>
      </c>
      <c r="H418" s="37" t="s">
        <v>2469</v>
      </c>
      <c r="I418" s="38" t="s">
        <v>2238</v>
      </c>
      <c r="J418" s="39" t="s">
        <v>2466</v>
      </c>
      <c r="K418" s="39" t="s">
        <v>31</v>
      </c>
      <c r="L418" s="39" t="s">
        <v>32</v>
      </c>
      <c r="M418" s="39">
        <v>13</v>
      </c>
      <c r="N418" s="86">
        <f t="shared" si="73"/>
        <v>370</v>
      </c>
      <c r="O418" s="41">
        <v>370</v>
      </c>
      <c r="P418" s="86" t="str">
        <f t="shared" si="74"/>
        <v>OK</v>
      </c>
      <c r="Q418" s="143"/>
      <c r="R418" s="78"/>
      <c r="S418" s="87" t="str">
        <f t="shared" si="75"/>
        <v/>
      </c>
      <c r="T418" s="87" t="str">
        <f t="shared" si="76"/>
        <v/>
      </c>
      <c r="U418" s="36">
        <v>44596</v>
      </c>
      <c r="V418" s="40">
        <f t="shared" si="71"/>
        <v>370</v>
      </c>
      <c r="W418" s="43">
        <f t="shared" si="72"/>
        <v>0</v>
      </c>
    </row>
    <row r="419" spans="1:23" ht="25.5" x14ac:dyDescent="0.25">
      <c r="A419" s="45" t="s">
        <v>1941</v>
      </c>
      <c r="B419" s="46">
        <v>44598</v>
      </c>
      <c r="C419" s="45" t="s">
        <v>2470</v>
      </c>
      <c r="D419" s="46" t="s">
        <v>993</v>
      </c>
      <c r="E419" s="72" t="s">
        <v>1080</v>
      </c>
      <c r="F419" s="48" t="s">
        <v>2471</v>
      </c>
      <c r="G419" s="47" t="s">
        <v>2472</v>
      </c>
      <c r="H419" s="47" t="s">
        <v>2473</v>
      </c>
      <c r="I419" s="48" t="s">
        <v>1425</v>
      </c>
      <c r="J419" s="48" t="s">
        <v>1426</v>
      </c>
      <c r="K419" s="49" t="s">
        <v>432</v>
      </c>
      <c r="L419" s="49" t="s">
        <v>480</v>
      </c>
      <c r="M419" s="49">
        <v>1</v>
      </c>
      <c r="N419" s="80">
        <f t="shared" si="73"/>
        <v>300</v>
      </c>
      <c r="O419" s="51">
        <v>370</v>
      </c>
      <c r="P419" s="81" t="str">
        <f t="shared" si="74"/>
        <v>OK</v>
      </c>
      <c r="Q419" s="142"/>
      <c r="R419" s="76"/>
      <c r="S419" s="81" t="str">
        <f t="shared" si="75"/>
        <v/>
      </c>
      <c r="T419" s="81" t="str">
        <f t="shared" si="76"/>
        <v/>
      </c>
      <c r="U419" s="46">
        <v>44599</v>
      </c>
      <c r="V419" s="50">
        <f t="shared" si="71"/>
        <v>370</v>
      </c>
      <c r="W419" s="53">
        <f t="shared" si="72"/>
        <v>0</v>
      </c>
    </row>
    <row r="420" spans="1:23" ht="25.5" x14ac:dyDescent="0.25">
      <c r="A420" s="35" t="s">
        <v>1942</v>
      </c>
      <c r="B420" s="36">
        <v>44606</v>
      </c>
      <c r="C420" s="35" t="s">
        <v>2474</v>
      </c>
      <c r="D420" s="36" t="s">
        <v>1134</v>
      </c>
      <c r="E420" s="73" t="s">
        <v>1073</v>
      </c>
      <c r="F420" s="38" t="s">
        <v>2475</v>
      </c>
      <c r="G420" s="37" t="s">
        <v>2476</v>
      </c>
      <c r="H420" s="37" t="s">
        <v>2477</v>
      </c>
      <c r="I420" s="38" t="s">
        <v>320</v>
      </c>
      <c r="J420" s="39" t="s">
        <v>317</v>
      </c>
      <c r="K420" s="39" t="s">
        <v>432</v>
      </c>
      <c r="L420" s="39" t="s">
        <v>480</v>
      </c>
      <c r="M420" s="39">
        <v>1</v>
      </c>
      <c r="N420" s="86">
        <f t="shared" si="73"/>
        <v>300</v>
      </c>
      <c r="O420" s="41">
        <v>300</v>
      </c>
      <c r="P420" s="86" t="str">
        <f t="shared" si="74"/>
        <v>OK</v>
      </c>
      <c r="Q420" s="143"/>
      <c r="R420" s="78"/>
      <c r="S420" s="87" t="str">
        <f t="shared" si="75"/>
        <v/>
      </c>
      <c r="T420" s="87" t="str">
        <f t="shared" si="76"/>
        <v/>
      </c>
      <c r="U420" s="36">
        <v>44606</v>
      </c>
      <c r="V420" s="40">
        <f t="shared" si="71"/>
        <v>300</v>
      </c>
      <c r="W420" s="43">
        <f t="shared" si="72"/>
        <v>0</v>
      </c>
    </row>
    <row r="421" spans="1:23" ht="25.5" x14ac:dyDescent="0.25">
      <c r="A421" s="45" t="s">
        <v>1943</v>
      </c>
      <c r="B421" s="46">
        <v>44898</v>
      </c>
      <c r="C421" s="45" t="s">
        <v>2478</v>
      </c>
      <c r="D421" s="46" t="s">
        <v>868</v>
      </c>
      <c r="E421" s="72" t="s">
        <v>1070</v>
      </c>
      <c r="F421" s="48" t="s">
        <v>2479</v>
      </c>
      <c r="G421" s="47" t="s">
        <v>2480</v>
      </c>
      <c r="H421" s="47" t="s">
        <v>2481</v>
      </c>
      <c r="I421" s="48" t="s">
        <v>320</v>
      </c>
      <c r="J421" s="48" t="s">
        <v>317</v>
      </c>
      <c r="K421" s="49" t="s">
        <v>16</v>
      </c>
      <c r="L421" s="49" t="s">
        <v>27</v>
      </c>
      <c r="M421" s="49">
        <v>11</v>
      </c>
      <c r="N421" s="80">
        <f t="shared" si="73"/>
        <v>370</v>
      </c>
      <c r="O421" s="51">
        <v>370</v>
      </c>
      <c r="P421" s="81" t="str">
        <f t="shared" si="74"/>
        <v>OK</v>
      </c>
      <c r="Q421" s="142"/>
      <c r="R421" s="76"/>
      <c r="S421" s="81" t="str">
        <f t="shared" si="75"/>
        <v/>
      </c>
      <c r="T421" s="81" t="str">
        <f t="shared" si="76"/>
        <v/>
      </c>
      <c r="U421" s="46">
        <v>44606</v>
      </c>
      <c r="V421" s="50">
        <f t="shared" si="71"/>
        <v>370</v>
      </c>
      <c r="W421" s="53">
        <f t="shared" si="72"/>
        <v>0</v>
      </c>
    </row>
    <row r="422" spans="1:23" ht="25.5" x14ac:dyDescent="0.25">
      <c r="A422" s="35" t="s">
        <v>1944</v>
      </c>
      <c r="B422" s="36">
        <v>44403</v>
      </c>
      <c r="C422" s="35" t="s">
        <v>2482</v>
      </c>
      <c r="D422" s="36" t="s">
        <v>466</v>
      </c>
      <c r="E422" s="73" t="s">
        <v>1070</v>
      </c>
      <c r="F422" s="38" t="s">
        <v>2485</v>
      </c>
      <c r="G422" s="37" t="s">
        <v>2483</v>
      </c>
      <c r="H422" s="37" t="s">
        <v>2484</v>
      </c>
      <c r="I422" s="38" t="s">
        <v>2486</v>
      </c>
      <c r="J422" s="39" t="s">
        <v>2487</v>
      </c>
      <c r="K422" s="39" t="s">
        <v>16</v>
      </c>
      <c r="L422" s="39" t="s">
        <v>765</v>
      </c>
      <c r="M422" s="39">
        <v>8</v>
      </c>
      <c r="N422" s="86">
        <f t="shared" si="73"/>
        <v>370</v>
      </c>
      <c r="O422" s="41">
        <v>838.78</v>
      </c>
      <c r="P422" s="86" t="str">
        <f t="shared" si="74"/>
        <v>OK</v>
      </c>
      <c r="Q422" s="143"/>
      <c r="R422" s="78"/>
      <c r="S422" s="87" t="str">
        <f t="shared" si="75"/>
        <v/>
      </c>
      <c r="T422" s="87" t="str">
        <f t="shared" si="76"/>
        <v/>
      </c>
      <c r="U422" s="36">
        <v>44603</v>
      </c>
      <c r="V422" s="40">
        <f t="shared" si="71"/>
        <v>838.78</v>
      </c>
      <c r="W422" s="43">
        <f t="shared" si="72"/>
        <v>0</v>
      </c>
    </row>
    <row r="423" spans="1:23" ht="38.25" x14ac:dyDescent="0.25">
      <c r="A423" s="45" t="s">
        <v>1945</v>
      </c>
      <c r="B423" s="46">
        <v>44470</v>
      </c>
      <c r="C423" s="45" t="s">
        <v>2488</v>
      </c>
      <c r="D423" s="46" t="s">
        <v>659</v>
      </c>
      <c r="E423" s="72" t="s">
        <v>1073</v>
      </c>
      <c r="F423" s="48" t="s">
        <v>2489</v>
      </c>
      <c r="G423" s="47" t="s">
        <v>2497</v>
      </c>
      <c r="H423" s="47" t="s">
        <v>2490</v>
      </c>
      <c r="I423" s="48" t="s">
        <v>320</v>
      </c>
      <c r="J423" s="48" t="s">
        <v>317</v>
      </c>
      <c r="K423" s="49" t="s">
        <v>432</v>
      </c>
      <c r="L423" s="49" t="s">
        <v>480</v>
      </c>
      <c r="M423" s="49">
        <v>1</v>
      </c>
      <c r="N423" s="80">
        <f t="shared" si="73"/>
        <v>300</v>
      </c>
      <c r="O423" s="51">
        <v>370</v>
      </c>
      <c r="P423" s="81" t="str">
        <f t="shared" si="74"/>
        <v>OK</v>
      </c>
      <c r="Q423" s="142"/>
      <c r="R423" s="76"/>
      <c r="S423" s="81" t="str">
        <f t="shared" si="75"/>
        <v/>
      </c>
      <c r="T423" s="81" t="str">
        <f t="shared" si="76"/>
        <v/>
      </c>
      <c r="U423" s="46">
        <v>44603</v>
      </c>
      <c r="V423" s="50">
        <f t="shared" si="71"/>
        <v>370</v>
      </c>
      <c r="W423" s="53">
        <f t="shared" si="72"/>
        <v>0</v>
      </c>
    </row>
    <row r="424" spans="1:23" ht="25.5" x14ac:dyDescent="0.25">
      <c r="A424" s="35" t="s">
        <v>1946</v>
      </c>
      <c r="B424" s="36">
        <v>44482</v>
      </c>
      <c r="C424" s="35" t="s">
        <v>2491</v>
      </c>
      <c r="D424" s="36" t="s">
        <v>1134</v>
      </c>
      <c r="E424" s="73" t="s">
        <v>1073</v>
      </c>
      <c r="F424" s="38" t="s">
        <v>2492</v>
      </c>
      <c r="G424" s="37" t="s">
        <v>1684</v>
      </c>
      <c r="H424" s="37" t="s">
        <v>2493</v>
      </c>
      <c r="I424" s="38" t="s">
        <v>320</v>
      </c>
      <c r="J424" s="39" t="s">
        <v>317</v>
      </c>
      <c r="K424" s="39" t="s">
        <v>432</v>
      </c>
      <c r="L424" s="39" t="s">
        <v>480</v>
      </c>
      <c r="M424" s="39">
        <v>1</v>
      </c>
      <c r="N424" s="86">
        <f t="shared" si="73"/>
        <v>300</v>
      </c>
      <c r="O424" s="41">
        <v>370</v>
      </c>
      <c r="P424" s="86" t="str">
        <f t="shared" si="74"/>
        <v>OK</v>
      </c>
      <c r="Q424" s="143"/>
      <c r="R424" s="78"/>
      <c r="S424" s="87" t="str">
        <f t="shared" si="75"/>
        <v/>
      </c>
      <c r="T424" s="87" t="str">
        <f t="shared" si="76"/>
        <v/>
      </c>
      <c r="U424" s="36">
        <v>44603</v>
      </c>
      <c r="V424" s="40">
        <f t="shared" si="71"/>
        <v>370</v>
      </c>
      <c r="W424" s="43">
        <f t="shared" si="72"/>
        <v>0</v>
      </c>
    </row>
    <row r="425" spans="1:23" ht="25.5" x14ac:dyDescent="0.25">
      <c r="A425" s="45" t="s">
        <v>1947</v>
      </c>
      <c r="B425" s="46">
        <v>44495</v>
      </c>
      <c r="C425" s="45" t="s">
        <v>2494</v>
      </c>
      <c r="D425" s="46" t="s">
        <v>659</v>
      </c>
      <c r="E425" s="72" t="s">
        <v>1073</v>
      </c>
      <c r="F425" s="48" t="s">
        <v>2495</v>
      </c>
      <c r="G425" s="47" t="s">
        <v>2496</v>
      </c>
      <c r="H425" s="47" t="s">
        <v>2414</v>
      </c>
      <c r="I425" s="48" t="s">
        <v>320</v>
      </c>
      <c r="J425" s="48" t="s">
        <v>317</v>
      </c>
      <c r="K425" s="49" t="s">
        <v>432</v>
      </c>
      <c r="L425" s="49" t="s">
        <v>480</v>
      </c>
      <c r="M425" s="49">
        <v>1</v>
      </c>
      <c r="N425" s="80">
        <f t="shared" si="73"/>
        <v>300</v>
      </c>
      <c r="O425" s="51">
        <v>370</v>
      </c>
      <c r="P425" s="81" t="str">
        <f t="shared" si="74"/>
        <v>OK</v>
      </c>
      <c r="Q425" s="142"/>
      <c r="R425" s="76"/>
      <c r="S425" s="81" t="str">
        <f t="shared" si="75"/>
        <v/>
      </c>
      <c r="T425" s="81" t="str">
        <f t="shared" si="76"/>
        <v/>
      </c>
      <c r="U425" s="46">
        <v>44603</v>
      </c>
      <c r="V425" s="50">
        <f t="shared" si="71"/>
        <v>370</v>
      </c>
      <c r="W425" s="53">
        <f t="shared" si="72"/>
        <v>0</v>
      </c>
    </row>
    <row r="426" spans="1:23" ht="25.5" x14ac:dyDescent="0.25">
      <c r="A426" s="35" t="s">
        <v>1948</v>
      </c>
      <c r="B426" s="36">
        <v>44537</v>
      </c>
      <c r="C426" s="35" t="s">
        <v>2498</v>
      </c>
      <c r="D426" s="36" t="s">
        <v>659</v>
      </c>
      <c r="E426" s="73" t="s">
        <v>1073</v>
      </c>
      <c r="F426" s="38" t="s">
        <v>2499</v>
      </c>
      <c r="G426" s="37" t="s">
        <v>2500</v>
      </c>
      <c r="H426" s="37" t="s">
        <v>2501</v>
      </c>
      <c r="I426" s="38" t="s">
        <v>320</v>
      </c>
      <c r="J426" s="39" t="s">
        <v>317</v>
      </c>
      <c r="K426" s="39" t="s">
        <v>432</v>
      </c>
      <c r="L426" s="39" t="s">
        <v>480</v>
      </c>
      <c r="M426" s="39">
        <v>1</v>
      </c>
      <c r="N426" s="86">
        <f t="shared" si="73"/>
        <v>300</v>
      </c>
      <c r="O426" s="41">
        <v>370</v>
      </c>
      <c r="P426" s="86" t="str">
        <f t="shared" si="74"/>
        <v>OK</v>
      </c>
      <c r="Q426" s="143"/>
      <c r="R426" s="78"/>
      <c r="S426" s="87" t="str">
        <f t="shared" si="75"/>
        <v/>
      </c>
      <c r="T426" s="87" t="str">
        <f t="shared" si="76"/>
        <v/>
      </c>
      <c r="U426" s="36">
        <v>44603</v>
      </c>
      <c r="V426" s="40">
        <f t="shared" si="71"/>
        <v>370</v>
      </c>
      <c r="W426" s="43">
        <f t="shared" si="72"/>
        <v>0</v>
      </c>
    </row>
    <row r="427" spans="1:23" ht="25.5" x14ac:dyDescent="0.25">
      <c r="A427" s="45" t="s">
        <v>1949</v>
      </c>
      <c r="B427" s="46">
        <v>44505</v>
      </c>
      <c r="C427" s="45" t="s">
        <v>2502</v>
      </c>
      <c r="D427" s="46" t="s">
        <v>1079</v>
      </c>
      <c r="E427" s="72" t="s">
        <v>980</v>
      </c>
      <c r="F427" s="48" t="s">
        <v>2503</v>
      </c>
      <c r="G427" s="47" t="s">
        <v>2504</v>
      </c>
      <c r="H427" s="47" t="s">
        <v>2505</v>
      </c>
      <c r="I427" s="48" t="s">
        <v>320</v>
      </c>
      <c r="J427" s="48" t="s">
        <v>317</v>
      </c>
      <c r="K427" s="49" t="s">
        <v>16</v>
      </c>
      <c r="L427" s="49" t="s">
        <v>27</v>
      </c>
      <c r="M427" s="49">
        <v>11</v>
      </c>
      <c r="N427" s="80">
        <f t="shared" si="73"/>
        <v>370</v>
      </c>
      <c r="O427" s="51">
        <v>870</v>
      </c>
      <c r="P427" s="81" t="str">
        <f t="shared" si="74"/>
        <v>OK</v>
      </c>
      <c r="Q427" s="142"/>
      <c r="R427" s="76"/>
      <c r="S427" s="81" t="str">
        <f t="shared" si="75"/>
        <v/>
      </c>
      <c r="T427" s="81" t="str">
        <f t="shared" si="76"/>
        <v/>
      </c>
      <c r="U427" s="46">
        <v>44603</v>
      </c>
      <c r="V427" s="50">
        <f t="shared" si="71"/>
        <v>870</v>
      </c>
      <c r="W427" s="53">
        <f t="shared" si="72"/>
        <v>0</v>
      </c>
    </row>
    <row r="428" spans="1:23" ht="25.5" x14ac:dyDescent="0.25">
      <c r="A428" s="35" t="s">
        <v>1950</v>
      </c>
      <c r="B428" s="36">
        <v>44488</v>
      </c>
      <c r="C428" s="35" t="s">
        <v>2506</v>
      </c>
      <c r="D428" s="36" t="s">
        <v>999</v>
      </c>
      <c r="E428" s="73" t="s">
        <v>1064</v>
      </c>
      <c r="F428" s="38" t="s">
        <v>2507</v>
      </c>
      <c r="G428" s="37" t="s">
        <v>2508</v>
      </c>
      <c r="H428" s="37" t="s">
        <v>2509</v>
      </c>
      <c r="I428" s="38" t="s">
        <v>2510</v>
      </c>
      <c r="J428" s="39" t="s">
        <v>2511</v>
      </c>
      <c r="K428" s="39" t="s">
        <v>16</v>
      </c>
      <c r="L428" s="39" t="s">
        <v>765</v>
      </c>
      <c r="M428" s="39">
        <v>8</v>
      </c>
      <c r="N428" s="86">
        <f t="shared" si="73"/>
        <v>370</v>
      </c>
      <c r="O428" s="41">
        <v>1500</v>
      </c>
      <c r="P428" s="86" t="str">
        <f t="shared" si="74"/>
        <v>OK</v>
      </c>
      <c r="Q428" s="143"/>
      <c r="R428" s="78"/>
      <c r="S428" s="87" t="str">
        <f t="shared" si="75"/>
        <v/>
      </c>
      <c r="T428" s="87" t="str">
        <f t="shared" si="76"/>
        <v/>
      </c>
      <c r="U428" s="36">
        <v>44603</v>
      </c>
      <c r="V428" s="40">
        <f t="shared" si="71"/>
        <v>1500</v>
      </c>
      <c r="W428" s="43">
        <f t="shared" si="72"/>
        <v>0</v>
      </c>
    </row>
    <row r="429" spans="1:23" ht="25.5" x14ac:dyDescent="0.25">
      <c r="A429" s="45" t="s">
        <v>1951</v>
      </c>
      <c r="B429" s="46">
        <v>44497</v>
      </c>
      <c r="C429" s="45" t="s">
        <v>2512</v>
      </c>
      <c r="D429" s="46" t="s">
        <v>1134</v>
      </c>
      <c r="E429" s="72" t="s">
        <v>1073</v>
      </c>
      <c r="F429" s="48" t="s">
        <v>2513</v>
      </c>
      <c r="G429" s="47" t="s">
        <v>1102</v>
      </c>
      <c r="H429" s="47" t="s">
        <v>2514</v>
      </c>
      <c r="I429" s="48" t="s">
        <v>320</v>
      </c>
      <c r="J429" s="48" t="s">
        <v>317</v>
      </c>
      <c r="K429" s="49" t="s">
        <v>432</v>
      </c>
      <c r="L429" s="49" t="s">
        <v>480</v>
      </c>
      <c r="M429" s="49">
        <v>1</v>
      </c>
      <c r="N429" s="80">
        <f t="shared" si="73"/>
        <v>300</v>
      </c>
      <c r="O429" s="51">
        <v>370</v>
      </c>
      <c r="P429" s="81" t="str">
        <f t="shared" si="74"/>
        <v>OK</v>
      </c>
      <c r="Q429" s="142"/>
      <c r="R429" s="76"/>
      <c r="S429" s="81" t="str">
        <f t="shared" si="75"/>
        <v/>
      </c>
      <c r="T429" s="81" t="str">
        <f t="shared" si="76"/>
        <v/>
      </c>
      <c r="U429" s="46">
        <v>44603</v>
      </c>
      <c r="V429" s="50">
        <f t="shared" si="71"/>
        <v>370</v>
      </c>
      <c r="W429" s="53">
        <f t="shared" si="72"/>
        <v>0</v>
      </c>
    </row>
    <row r="430" spans="1:23" ht="38.25" x14ac:dyDescent="0.25">
      <c r="A430" s="35" t="s">
        <v>1952</v>
      </c>
      <c r="B430" s="36">
        <v>44544</v>
      </c>
      <c r="C430" s="35" t="s">
        <v>2515</v>
      </c>
      <c r="D430" s="36" t="s">
        <v>2516</v>
      </c>
      <c r="E430" s="73" t="s">
        <v>1080</v>
      </c>
      <c r="F430" s="38" t="s">
        <v>2517</v>
      </c>
      <c r="G430" s="37" t="s">
        <v>2518</v>
      </c>
      <c r="H430" s="37" t="s">
        <v>2519</v>
      </c>
      <c r="I430" s="38" t="s">
        <v>1307</v>
      </c>
      <c r="J430" s="39" t="s">
        <v>2520</v>
      </c>
      <c r="K430" s="39" t="s">
        <v>5</v>
      </c>
      <c r="L430" s="39" t="s">
        <v>14</v>
      </c>
      <c r="M430" s="39">
        <v>5</v>
      </c>
      <c r="N430" s="86">
        <f t="shared" si="73"/>
        <v>370</v>
      </c>
      <c r="O430" s="41">
        <v>1850</v>
      </c>
      <c r="P430" s="86" t="str">
        <f t="shared" si="74"/>
        <v>OK</v>
      </c>
      <c r="Q430" s="143"/>
      <c r="R430" s="78"/>
      <c r="S430" s="87" t="str">
        <f t="shared" si="75"/>
        <v/>
      </c>
      <c r="T430" s="87" t="str">
        <f t="shared" si="76"/>
        <v/>
      </c>
      <c r="U430" s="36">
        <v>44603</v>
      </c>
      <c r="V430" s="40">
        <f t="shared" si="71"/>
        <v>1850</v>
      </c>
      <c r="W430" s="43">
        <f t="shared" si="72"/>
        <v>0</v>
      </c>
    </row>
    <row r="431" spans="1:23" ht="38.25" x14ac:dyDescent="0.25">
      <c r="A431" s="45" t="s">
        <v>1953</v>
      </c>
      <c r="B431" s="46">
        <v>44602</v>
      </c>
      <c r="C431" s="45" t="s">
        <v>2521</v>
      </c>
      <c r="D431" s="46" t="s">
        <v>2522</v>
      </c>
      <c r="E431" s="72" t="s">
        <v>1066</v>
      </c>
      <c r="F431" s="48" t="s">
        <v>2523</v>
      </c>
      <c r="G431" s="47" t="s">
        <v>2524</v>
      </c>
      <c r="H431" s="47" t="s">
        <v>2525</v>
      </c>
      <c r="I431" s="48" t="s">
        <v>320</v>
      </c>
      <c r="J431" s="48" t="s">
        <v>317</v>
      </c>
      <c r="K431" s="49" t="s">
        <v>432</v>
      </c>
      <c r="L431" s="49" t="s">
        <v>480</v>
      </c>
      <c r="M431" s="49">
        <v>1</v>
      </c>
      <c r="N431" s="80">
        <f t="shared" si="73"/>
        <v>300</v>
      </c>
      <c r="O431" s="51">
        <v>300</v>
      </c>
      <c r="P431" s="81" t="str">
        <f t="shared" si="74"/>
        <v>OK</v>
      </c>
      <c r="Q431" s="142"/>
      <c r="R431" s="76"/>
      <c r="S431" s="81" t="str">
        <f t="shared" si="75"/>
        <v/>
      </c>
      <c r="T431" s="81" t="str">
        <f t="shared" si="76"/>
        <v/>
      </c>
      <c r="U431" s="46">
        <v>44603</v>
      </c>
      <c r="V431" s="50">
        <f t="shared" si="71"/>
        <v>300</v>
      </c>
      <c r="W431" s="53">
        <f t="shared" si="72"/>
        <v>0</v>
      </c>
    </row>
    <row r="432" spans="1:23" ht="25.5" x14ac:dyDescent="0.25">
      <c r="A432" s="35" t="s">
        <v>1954</v>
      </c>
      <c r="B432" s="36">
        <v>44494</v>
      </c>
      <c r="C432" s="35" t="s">
        <v>2526</v>
      </c>
      <c r="D432" s="36" t="s">
        <v>802</v>
      </c>
      <c r="E432" s="73" t="s">
        <v>1068</v>
      </c>
      <c r="F432" s="38" t="s">
        <v>2527</v>
      </c>
      <c r="G432" s="37" t="s">
        <v>2528</v>
      </c>
      <c r="H432" s="37" t="s">
        <v>437</v>
      </c>
      <c r="I432" s="38" t="s">
        <v>806</v>
      </c>
      <c r="J432" s="39" t="s">
        <v>807</v>
      </c>
      <c r="K432" s="39" t="s">
        <v>31</v>
      </c>
      <c r="L432" s="39" t="s">
        <v>29</v>
      </c>
      <c r="M432" s="39">
        <v>15</v>
      </c>
      <c r="N432" s="86">
        <f t="shared" si="73"/>
        <v>370</v>
      </c>
      <c r="O432" s="41">
        <v>600</v>
      </c>
      <c r="P432" s="86" t="str">
        <f t="shared" si="74"/>
        <v>OK</v>
      </c>
      <c r="Q432" s="143"/>
      <c r="R432" s="78"/>
      <c r="S432" s="87" t="str">
        <f t="shared" si="75"/>
        <v/>
      </c>
      <c r="T432" s="87" t="str">
        <f t="shared" si="76"/>
        <v/>
      </c>
      <c r="U432" s="36">
        <v>44603</v>
      </c>
      <c r="V432" s="40">
        <f t="shared" si="71"/>
        <v>600</v>
      </c>
      <c r="W432" s="43">
        <f t="shared" si="72"/>
        <v>0</v>
      </c>
    </row>
    <row r="433" spans="1:23" ht="38.25" x14ac:dyDescent="0.25">
      <c r="A433" s="45" t="s">
        <v>1955</v>
      </c>
      <c r="B433" s="46">
        <v>44241</v>
      </c>
      <c r="C433" s="45" t="s">
        <v>2529</v>
      </c>
      <c r="D433" s="46" t="s">
        <v>993</v>
      </c>
      <c r="E433" s="72" t="s">
        <v>1080</v>
      </c>
      <c r="F433" s="48" t="s">
        <v>2530</v>
      </c>
      <c r="G433" s="47" t="s">
        <v>1151</v>
      </c>
      <c r="H433" s="47" t="s">
        <v>2531</v>
      </c>
      <c r="I433" s="48" t="s">
        <v>1153</v>
      </c>
      <c r="J433" s="48" t="s">
        <v>1154</v>
      </c>
      <c r="K433" s="49" t="s">
        <v>5</v>
      </c>
      <c r="L433" s="49" t="s">
        <v>10</v>
      </c>
      <c r="M433" s="49">
        <v>3</v>
      </c>
      <c r="N433" s="80">
        <f t="shared" si="73"/>
        <v>630</v>
      </c>
      <c r="O433" s="51">
        <v>200</v>
      </c>
      <c r="P433" s="81" t="str">
        <f t="shared" si="74"/>
        <v>OK</v>
      </c>
      <c r="Q433" s="142"/>
      <c r="R433" s="76"/>
      <c r="S433" s="81" t="str">
        <f t="shared" si="75"/>
        <v/>
      </c>
      <c r="T433" s="81" t="str">
        <f t="shared" si="76"/>
        <v/>
      </c>
      <c r="U433" s="46">
        <v>44606</v>
      </c>
      <c r="V433" s="50">
        <f t="shared" si="71"/>
        <v>200</v>
      </c>
      <c r="W433" s="53">
        <f t="shared" si="72"/>
        <v>0</v>
      </c>
    </row>
    <row r="434" spans="1:23" ht="25.5" x14ac:dyDescent="0.25">
      <c r="A434" s="35" t="s">
        <v>1956</v>
      </c>
      <c r="B434" s="36">
        <v>44606</v>
      </c>
      <c r="C434" s="35" t="s">
        <v>2532</v>
      </c>
      <c r="D434" s="36" t="s">
        <v>526</v>
      </c>
      <c r="E434" s="73" t="s">
        <v>1066</v>
      </c>
      <c r="F434" s="38" t="s">
        <v>2533</v>
      </c>
      <c r="G434" s="37" t="s">
        <v>2534</v>
      </c>
      <c r="H434" s="37" t="s">
        <v>2535</v>
      </c>
      <c r="I434" s="38" t="s">
        <v>2536</v>
      </c>
      <c r="J434" s="39" t="s">
        <v>2537</v>
      </c>
      <c r="K434" s="39" t="s">
        <v>39</v>
      </c>
      <c r="L434" s="39" t="s">
        <v>40</v>
      </c>
      <c r="M434" s="39">
        <v>17</v>
      </c>
      <c r="N434" s="86">
        <f t="shared" si="73"/>
        <v>300</v>
      </c>
      <c r="O434" s="41">
        <v>300</v>
      </c>
      <c r="P434" s="86" t="str">
        <f t="shared" si="74"/>
        <v>OK</v>
      </c>
      <c r="Q434" s="143"/>
      <c r="R434" s="78"/>
      <c r="S434" s="87" t="str">
        <f t="shared" si="75"/>
        <v/>
      </c>
      <c r="T434" s="87" t="str">
        <f t="shared" si="76"/>
        <v/>
      </c>
      <c r="U434" s="36">
        <v>44607</v>
      </c>
      <c r="V434" s="40">
        <f t="shared" si="71"/>
        <v>300</v>
      </c>
      <c r="W434" s="43">
        <f t="shared" si="72"/>
        <v>0</v>
      </c>
    </row>
    <row r="435" spans="1:23" ht="25.5" x14ac:dyDescent="0.25">
      <c r="A435" s="45" t="s">
        <v>1957</v>
      </c>
      <c r="B435" s="46">
        <v>44657</v>
      </c>
      <c r="C435" s="45" t="s">
        <v>2538</v>
      </c>
      <c r="D435" s="46" t="s">
        <v>868</v>
      </c>
      <c r="E435" s="72" t="s">
        <v>1070</v>
      </c>
      <c r="F435" s="48" t="s">
        <v>2539</v>
      </c>
      <c r="G435" s="47" t="s">
        <v>2540</v>
      </c>
      <c r="H435" s="47" t="s">
        <v>1768</v>
      </c>
      <c r="I435" s="48" t="s">
        <v>320</v>
      </c>
      <c r="J435" s="48" t="s">
        <v>317</v>
      </c>
      <c r="K435" s="49" t="s">
        <v>16</v>
      </c>
      <c r="L435" s="49" t="s">
        <v>27</v>
      </c>
      <c r="M435" s="49">
        <v>11</v>
      </c>
      <c r="N435" s="80">
        <f t="shared" si="73"/>
        <v>370</v>
      </c>
      <c r="O435" s="51">
        <v>370</v>
      </c>
      <c r="P435" s="81" t="str">
        <f t="shared" si="74"/>
        <v>OK</v>
      </c>
      <c r="Q435" s="142"/>
      <c r="R435" s="76"/>
      <c r="S435" s="81" t="str">
        <f t="shared" si="75"/>
        <v/>
      </c>
      <c r="T435" s="81" t="str">
        <f t="shared" si="76"/>
        <v/>
      </c>
      <c r="U435" s="46">
        <v>44607</v>
      </c>
      <c r="V435" s="50">
        <f t="shared" si="71"/>
        <v>370</v>
      </c>
      <c r="W435" s="53">
        <f t="shared" si="72"/>
        <v>0</v>
      </c>
    </row>
    <row r="436" spans="1:23" ht="25.5" x14ac:dyDescent="0.25">
      <c r="A436" s="35" t="s">
        <v>1958</v>
      </c>
      <c r="B436" s="36">
        <v>44498</v>
      </c>
      <c r="C436" s="35" t="s">
        <v>2541</v>
      </c>
      <c r="D436" s="36" t="s">
        <v>868</v>
      </c>
      <c r="E436" s="73" t="s">
        <v>1070</v>
      </c>
      <c r="F436" s="38" t="s">
        <v>2542</v>
      </c>
      <c r="G436" s="37" t="s">
        <v>2543</v>
      </c>
      <c r="H436" s="37" t="s">
        <v>1768</v>
      </c>
      <c r="I436" s="38" t="s">
        <v>320</v>
      </c>
      <c r="J436" s="39" t="s">
        <v>317</v>
      </c>
      <c r="K436" s="39" t="s">
        <v>16</v>
      </c>
      <c r="L436" s="39" t="s">
        <v>27</v>
      </c>
      <c r="M436" s="39">
        <v>11</v>
      </c>
      <c r="N436" s="86">
        <f t="shared" si="73"/>
        <v>370</v>
      </c>
      <c r="O436" s="41">
        <v>370</v>
      </c>
      <c r="P436" s="86" t="str">
        <f t="shared" si="74"/>
        <v>OK</v>
      </c>
      <c r="Q436" s="143"/>
      <c r="R436" s="78"/>
      <c r="S436" s="87" t="str">
        <f t="shared" si="75"/>
        <v/>
      </c>
      <c r="T436" s="87" t="str">
        <f t="shared" si="76"/>
        <v/>
      </c>
      <c r="U436" s="36">
        <v>44606</v>
      </c>
      <c r="V436" s="40">
        <f t="shared" si="71"/>
        <v>370</v>
      </c>
      <c r="W436" s="43">
        <f t="shared" si="72"/>
        <v>0</v>
      </c>
    </row>
    <row r="437" spans="1:23" ht="25.5" x14ac:dyDescent="0.25">
      <c r="A437" s="45" t="s">
        <v>1959</v>
      </c>
      <c r="B437" s="46">
        <v>44498</v>
      </c>
      <c r="C437" s="45" t="s">
        <v>2544</v>
      </c>
      <c r="D437" s="46" t="s">
        <v>1000</v>
      </c>
      <c r="E437" s="72" t="s">
        <v>1064</v>
      </c>
      <c r="F437" s="48" t="s">
        <v>2545</v>
      </c>
      <c r="G437" s="47" t="s">
        <v>2546</v>
      </c>
      <c r="H437" s="47" t="s">
        <v>2547</v>
      </c>
      <c r="I437" s="48" t="s">
        <v>2322</v>
      </c>
      <c r="J437" s="48" t="s">
        <v>2323</v>
      </c>
      <c r="K437" s="49" t="s">
        <v>37</v>
      </c>
      <c r="L437" s="49"/>
      <c r="M437" s="49">
        <v>16</v>
      </c>
      <c r="N437" s="80">
        <f t="shared" si="73"/>
        <v>300</v>
      </c>
      <c r="O437" s="51">
        <v>300</v>
      </c>
      <c r="P437" s="81" t="str">
        <f t="shared" si="74"/>
        <v>OK</v>
      </c>
      <c r="Q437" s="142"/>
      <c r="R437" s="76"/>
      <c r="S437" s="81" t="str">
        <f t="shared" si="75"/>
        <v/>
      </c>
      <c r="T437" s="81" t="str">
        <f t="shared" si="76"/>
        <v/>
      </c>
      <c r="U437" s="46">
        <v>44606</v>
      </c>
      <c r="V437" s="50">
        <f t="shared" si="71"/>
        <v>300</v>
      </c>
      <c r="W437" s="53">
        <f t="shared" si="72"/>
        <v>0</v>
      </c>
    </row>
    <row r="438" spans="1:23" ht="38.25" x14ac:dyDescent="0.25">
      <c r="A438" s="35" t="s">
        <v>1960</v>
      </c>
      <c r="B438" s="36">
        <v>44606</v>
      </c>
      <c r="C438" s="35" t="s">
        <v>2548</v>
      </c>
      <c r="D438" s="36" t="s">
        <v>999</v>
      </c>
      <c r="E438" s="73" t="s">
        <v>1064</v>
      </c>
      <c r="F438" s="38" t="s">
        <v>2549</v>
      </c>
      <c r="G438" s="37" t="s">
        <v>2550</v>
      </c>
      <c r="H438" s="37" t="s">
        <v>2551</v>
      </c>
      <c r="I438" s="38" t="s">
        <v>2030</v>
      </c>
      <c r="J438" s="39" t="s">
        <v>2031</v>
      </c>
      <c r="K438" s="39" t="s">
        <v>16</v>
      </c>
      <c r="L438" s="39"/>
      <c r="M438" s="39">
        <v>9</v>
      </c>
      <c r="N438" s="86">
        <f t="shared" si="73"/>
        <v>700</v>
      </c>
      <c r="O438" s="41">
        <v>430</v>
      </c>
      <c r="P438" s="86" t="str">
        <f t="shared" si="74"/>
        <v>OK</v>
      </c>
      <c r="Q438" s="143"/>
      <c r="R438" s="78"/>
      <c r="S438" s="87" t="str">
        <f t="shared" si="75"/>
        <v/>
      </c>
      <c r="T438" s="87" t="str">
        <f t="shared" si="76"/>
        <v/>
      </c>
      <c r="U438" s="36">
        <v>44606</v>
      </c>
      <c r="V438" s="40">
        <f t="shared" si="71"/>
        <v>430</v>
      </c>
      <c r="W438" s="43">
        <f t="shared" si="72"/>
        <v>0</v>
      </c>
    </row>
    <row r="439" spans="1:23" ht="25.5" x14ac:dyDescent="0.25">
      <c r="A439" s="45" t="s">
        <v>1961</v>
      </c>
      <c r="B439" s="46">
        <v>44496</v>
      </c>
      <c r="C439" s="45" t="s">
        <v>2552</v>
      </c>
      <c r="D439" s="46" t="s">
        <v>868</v>
      </c>
      <c r="E439" s="72" t="s">
        <v>1070</v>
      </c>
      <c r="F439" s="48" t="s">
        <v>2553</v>
      </c>
      <c r="G439" s="47" t="s">
        <v>2554</v>
      </c>
      <c r="H439" s="47" t="s">
        <v>314</v>
      </c>
      <c r="I439" s="48" t="s">
        <v>320</v>
      </c>
      <c r="J439" s="48" t="s">
        <v>317</v>
      </c>
      <c r="K439" s="49" t="s">
        <v>16</v>
      </c>
      <c r="L439" s="49" t="s">
        <v>27</v>
      </c>
      <c r="M439" s="49">
        <v>11</v>
      </c>
      <c r="N439" s="80">
        <f t="shared" si="73"/>
        <v>370</v>
      </c>
      <c r="O439" s="51">
        <v>370</v>
      </c>
      <c r="P439" s="81" t="str">
        <f t="shared" si="74"/>
        <v>OK</v>
      </c>
      <c r="Q439" s="142"/>
      <c r="R439" s="76"/>
      <c r="S439" s="81" t="str">
        <f t="shared" si="75"/>
        <v/>
      </c>
      <c r="T439" s="81" t="str">
        <f t="shared" si="76"/>
        <v/>
      </c>
      <c r="U439" s="46">
        <v>44606</v>
      </c>
      <c r="V439" s="50">
        <f t="shared" si="71"/>
        <v>370</v>
      </c>
      <c r="W439" s="53">
        <f t="shared" si="72"/>
        <v>0</v>
      </c>
    </row>
    <row r="440" spans="1:23" ht="25.5" x14ac:dyDescent="0.25">
      <c r="A440" s="35" t="s">
        <v>1962</v>
      </c>
      <c r="B440" s="36">
        <v>44497</v>
      </c>
      <c r="C440" s="35" t="s">
        <v>2555</v>
      </c>
      <c r="D440" s="36" t="s">
        <v>1000</v>
      </c>
      <c r="E440" s="73" t="s">
        <v>1064</v>
      </c>
      <c r="F440" s="38" t="s">
        <v>2556</v>
      </c>
      <c r="G440" s="37" t="s">
        <v>2557</v>
      </c>
      <c r="H440" s="37" t="s">
        <v>2558</v>
      </c>
      <c r="I440" s="38" t="s">
        <v>2151</v>
      </c>
      <c r="J440" s="39" t="s">
        <v>2152</v>
      </c>
      <c r="K440" s="39" t="s">
        <v>37</v>
      </c>
      <c r="L440" s="39"/>
      <c r="M440" s="39">
        <v>16</v>
      </c>
      <c r="N440" s="86">
        <f t="shared" si="73"/>
        <v>300</v>
      </c>
      <c r="O440" s="41">
        <v>300</v>
      </c>
      <c r="P440" s="86" t="str">
        <f t="shared" si="74"/>
        <v>OK</v>
      </c>
      <c r="Q440" s="143"/>
      <c r="R440" s="78"/>
      <c r="S440" s="87" t="str">
        <f t="shared" si="75"/>
        <v/>
      </c>
      <c r="T440" s="87" t="str">
        <f t="shared" si="76"/>
        <v/>
      </c>
      <c r="U440" s="36">
        <v>44606</v>
      </c>
      <c r="V440" s="40">
        <f t="shared" si="71"/>
        <v>300</v>
      </c>
      <c r="W440" s="43">
        <f t="shared" si="72"/>
        <v>0</v>
      </c>
    </row>
    <row r="441" spans="1:23" ht="25.5" x14ac:dyDescent="0.25">
      <c r="A441" s="45" t="s">
        <v>1963</v>
      </c>
      <c r="B441" s="46">
        <v>44494</v>
      </c>
      <c r="C441" s="45" t="s">
        <v>2559</v>
      </c>
      <c r="D441" s="46" t="s">
        <v>1000</v>
      </c>
      <c r="E441" s="72" t="s">
        <v>1064</v>
      </c>
      <c r="F441" s="48" t="s">
        <v>2560</v>
      </c>
      <c r="G441" s="47" t="s">
        <v>1162</v>
      </c>
      <c r="H441" s="47" t="s">
        <v>1168</v>
      </c>
      <c r="I441" s="48" t="s">
        <v>2151</v>
      </c>
      <c r="J441" s="48" t="s">
        <v>2152</v>
      </c>
      <c r="K441" s="49" t="s">
        <v>37</v>
      </c>
      <c r="L441" s="49"/>
      <c r="M441" s="49">
        <v>16</v>
      </c>
      <c r="N441" s="80">
        <f t="shared" si="73"/>
        <v>300</v>
      </c>
      <c r="O441" s="51">
        <v>300</v>
      </c>
      <c r="P441" s="81" t="str">
        <f t="shared" si="74"/>
        <v>OK</v>
      </c>
      <c r="Q441" s="142"/>
      <c r="R441" s="76"/>
      <c r="S441" s="81" t="str">
        <f t="shared" si="75"/>
        <v/>
      </c>
      <c r="T441" s="81" t="str">
        <f t="shared" si="76"/>
        <v/>
      </c>
      <c r="U441" s="46">
        <v>44606</v>
      </c>
      <c r="V441" s="50">
        <f t="shared" si="71"/>
        <v>300</v>
      </c>
      <c r="W441" s="53">
        <f t="shared" si="72"/>
        <v>0</v>
      </c>
    </row>
    <row r="442" spans="1:23" ht="25.5" x14ac:dyDescent="0.25">
      <c r="A442" s="35" t="s">
        <v>1964</v>
      </c>
      <c r="B442" s="36">
        <v>44365</v>
      </c>
      <c r="C442" s="35" t="s">
        <v>2561</v>
      </c>
      <c r="D442" s="36" t="s">
        <v>996</v>
      </c>
      <c r="E442" s="73" t="s">
        <v>1064</v>
      </c>
      <c r="F442" s="38" t="s">
        <v>2565</v>
      </c>
      <c r="G442" s="37" t="s">
        <v>2562</v>
      </c>
      <c r="H442" s="37" t="s">
        <v>2563</v>
      </c>
      <c r="I442" s="38" t="s">
        <v>2564</v>
      </c>
      <c r="J442" s="39" t="s">
        <v>2089</v>
      </c>
      <c r="K442" s="39" t="s">
        <v>16</v>
      </c>
      <c r="L442" s="39" t="s">
        <v>765</v>
      </c>
      <c r="M442" s="39">
        <v>8</v>
      </c>
      <c r="N442" s="86">
        <f t="shared" ref="N442:N450" si="77">IF(M442="","",IF(M442=1,300,IF(M442=2,370,IF(M442=3,630,IF(M442=4,830,IF(M442=5,370,IF(M442=6,430,IF(M442=7,530,IF(M442=8,370,IF(M442=9,700,IF(M442=10,870,IF(M442=11,370,IF(M442=12,370,IF(M442=13,370,IF(M442=13,370,IF(M442=14,370,IF(M442=15,370,IF(M442=16,300,IF(M442=17,300,IF(M442=18,170,IF(M442=19,330)))))))))))))))))))))</f>
        <v>370</v>
      </c>
      <c r="O442" s="41">
        <v>296</v>
      </c>
      <c r="P442" s="86" t="str">
        <f t="shared" ref="P442:P450" si="78">IF(M442="","",IF(O442&gt;(5*N442),"ACIMA","OK"))</f>
        <v>OK</v>
      </c>
      <c r="Q442" s="143"/>
      <c r="R442" s="78"/>
      <c r="S442" s="87" t="str">
        <f t="shared" ref="S442:S450" si="79">IF(R442="","",R442/O442)</f>
        <v/>
      </c>
      <c r="T442" s="87" t="str">
        <f t="shared" ref="T442:T450" si="80">IF(S442="","",IF(S442&gt;$Z$5,"ACIMA","OK"))</f>
        <v/>
      </c>
      <c r="U442" s="36">
        <v>44606</v>
      </c>
      <c r="V442" s="40">
        <f t="shared" ref="V442:V450" si="81">IF(M442="","",O442-R442)</f>
        <v>296</v>
      </c>
      <c r="W442" s="43">
        <f t="shared" ref="W442:W450" si="82">IF(M442="","",IF(AND(M442&gt;0,U442=""),V442,O442-(R442+V442)))</f>
        <v>0</v>
      </c>
    </row>
    <row r="443" spans="1:23" ht="25.5" x14ac:dyDescent="0.25">
      <c r="A443" s="45" t="s">
        <v>1965</v>
      </c>
      <c r="B443" s="46">
        <v>44536</v>
      </c>
      <c r="C443" s="45" t="s">
        <v>2566</v>
      </c>
      <c r="D443" s="46" t="s">
        <v>868</v>
      </c>
      <c r="E443" s="72" t="s">
        <v>1070</v>
      </c>
      <c r="F443" s="48" t="s">
        <v>2567</v>
      </c>
      <c r="G443" s="47" t="s">
        <v>2568</v>
      </c>
      <c r="H443" s="47" t="s">
        <v>314</v>
      </c>
      <c r="I443" s="48" t="s">
        <v>320</v>
      </c>
      <c r="J443" s="48" t="s">
        <v>317</v>
      </c>
      <c r="K443" s="49" t="s">
        <v>16</v>
      </c>
      <c r="L443" s="49" t="s">
        <v>27</v>
      </c>
      <c r="M443" s="49">
        <v>11</v>
      </c>
      <c r="N443" s="80">
        <f t="shared" si="77"/>
        <v>370</v>
      </c>
      <c r="O443" s="51">
        <v>370</v>
      </c>
      <c r="P443" s="81" t="str">
        <f t="shared" si="78"/>
        <v>OK</v>
      </c>
      <c r="Q443" s="142"/>
      <c r="R443" s="76"/>
      <c r="S443" s="81" t="str">
        <f t="shared" si="79"/>
        <v/>
      </c>
      <c r="T443" s="81" t="str">
        <f t="shared" si="80"/>
        <v/>
      </c>
      <c r="U443" s="46">
        <v>44606</v>
      </c>
      <c r="V443" s="50">
        <f t="shared" si="81"/>
        <v>370</v>
      </c>
      <c r="W443" s="53">
        <f t="shared" si="82"/>
        <v>0</v>
      </c>
    </row>
    <row r="444" spans="1:23" ht="25.5" x14ac:dyDescent="0.25">
      <c r="A444" s="35" t="s">
        <v>1966</v>
      </c>
      <c r="B444" s="36">
        <v>44530</v>
      </c>
      <c r="C444" s="35" t="s">
        <v>2924</v>
      </c>
      <c r="D444" s="36" t="s">
        <v>868</v>
      </c>
      <c r="E444" s="73" t="s">
        <v>1070</v>
      </c>
      <c r="F444" s="38" t="s">
        <v>2925</v>
      </c>
      <c r="G444" s="37" t="s">
        <v>2926</v>
      </c>
      <c r="H444" s="37" t="s">
        <v>1708</v>
      </c>
      <c r="I444" s="38" t="s">
        <v>320</v>
      </c>
      <c r="J444" s="39" t="s">
        <v>317</v>
      </c>
      <c r="K444" s="39" t="s">
        <v>16</v>
      </c>
      <c r="L444" s="39" t="s">
        <v>27</v>
      </c>
      <c r="M444" s="39">
        <v>11</v>
      </c>
      <c r="N444" s="86">
        <f t="shared" si="77"/>
        <v>370</v>
      </c>
      <c r="O444" s="41">
        <v>370</v>
      </c>
      <c r="P444" s="86" t="str">
        <f t="shared" si="78"/>
        <v>OK</v>
      </c>
      <c r="Q444" s="143"/>
      <c r="R444" s="78"/>
      <c r="S444" s="87" t="str">
        <f t="shared" si="79"/>
        <v/>
      </c>
      <c r="T444" s="87" t="str">
        <f t="shared" si="80"/>
        <v/>
      </c>
      <c r="U444" s="36">
        <v>44606</v>
      </c>
      <c r="V444" s="40">
        <f t="shared" si="81"/>
        <v>370</v>
      </c>
      <c r="W444" s="43">
        <f t="shared" si="82"/>
        <v>0</v>
      </c>
    </row>
    <row r="445" spans="1:23" ht="25.5" x14ac:dyDescent="0.25">
      <c r="A445" s="45" t="s">
        <v>1967</v>
      </c>
      <c r="B445" s="46">
        <v>44498</v>
      </c>
      <c r="C445" s="45" t="s">
        <v>2927</v>
      </c>
      <c r="D445" s="46" t="s">
        <v>1000</v>
      </c>
      <c r="E445" s="72" t="s">
        <v>1064</v>
      </c>
      <c r="F445" s="48" t="s">
        <v>2928</v>
      </c>
      <c r="G445" s="47" t="s">
        <v>2929</v>
      </c>
      <c r="H445" s="47" t="s">
        <v>2930</v>
      </c>
      <c r="I445" s="48" t="s">
        <v>2322</v>
      </c>
      <c r="J445" s="48" t="s">
        <v>2323</v>
      </c>
      <c r="K445" s="49" t="s">
        <v>37</v>
      </c>
      <c r="L445" s="49"/>
      <c r="M445" s="49">
        <v>16</v>
      </c>
      <c r="N445" s="80">
        <f t="shared" si="77"/>
        <v>300</v>
      </c>
      <c r="O445" s="51">
        <v>300</v>
      </c>
      <c r="P445" s="81" t="str">
        <f t="shared" si="78"/>
        <v>OK</v>
      </c>
      <c r="Q445" s="142"/>
      <c r="R445" s="76"/>
      <c r="S445" s="81" t="str">
        <f t="shared" si="79"/>
        <v/>
      </c>
      <c r="T445" s="81" t="str">
        <f t="shared" si="80"/>
        <v/>
      </c>
      <c r="U445" s="46">
        <v>44606</v>
      </c>
      <c r="V445" s="50">
        <f t="shared" si="81"/>
        <v>300</v>
      </c>
      <c r="W445" s="53">
        <f t="shared" si="82"/>
        <v>0</v>
      </c>
    </row>
    <row r="446" spans="1:23" ht="25.5" x14ac:dyDescent="0.25">
      <c r="A446" s="35" t="s">
        <v>1968</v>
      </c>
      <c r="B446" s="36">
        <v>44497</v>
      </c>
      <c r="C446" s="35" t="s">
        <v>2931</v>
      </c>
      <c r="D446" s="36" t="s">
        <v>1000</v>
      </c>
      <c r="E446" s="73" t="s">
        <v>1064</v>
      </c>
      <c r="F446" s="38" t="s">
        <v>2932</v>
      </c>
      <c r="G446" s="37" t="s">
        <v>2933</v>
      </c>
      <c r="H446" s="37" t="s">
        <v>2934</v>
      </c>
      <c r="I446" s="38" t="s">
        <v>2151</v>
      </c>
      <c r="J446" s="39" t="s">
        <v>2152</v>
      </c>
      <c r="K446" s="39" t="s">
        <v>37</v>
      </c>
      <c r="L446" s="39"/>
      <c r="M446" s="39">
        <v>16</v>
      </c>
      <c r="N446" s="86">
        <v>300</v>
      </c>
      <c r="O446" s="41">
        <v>300</v>
      </c>
      <c r="P446" s="86" t="str">
        <f t="shared" si="78"/>
        <v>OK</v>
      </c>
      <c r="Q446" s="143"/>
      <c r="R446" s="78"/>
      <c r="S446" s="87" t="str">
        <f t="shared" si="79"/>
        <v/>
      </c>
      <c r="T446" s="87" t="str">
        <f t="shared" si="80"/>
        <v/>
      </c>
      <c r="U446" s="36">
        <v>44606</v>
      </c>
      <c r="V446" s="40">
        <f t="shared" si="81"/>
        <v>300</v>
      </c>
      <c r="W446" s="43">
        <f t="shared" si="82"/>
        <v>0</v>
      </c>
    </row>
    <row r="447" spans="1:23" ht="25.5" x14ac:dyDescent="0.25">
      <c r="A447" s="45" t="s">
        <v>1969</v>
      </c>
      <c r="B447" s="46">
        <v>44468</v>
      </c>
      <c r="C447" s="45" t="s">
        <v>2935</v>
      </c>
      <c r="D447" s="46" t="s">
        <v>868</v>
      </c>
      <c r="E447" s="72" t="s">
        <v>1070</v>
      </c>
      <c r="F447" s="48" t="s">
        <v>2937</v>
      </c>
      <c r="G447" s="47" t="s">
        <v>2938</v>
      </c>
      <c r="H447" s="47" t="s">
        <v>2936</v>
      </c>
      <c r="I447" s="48" t="s">
        <v>320</v>
      </c>
      <c r="J447" s="48" t="s">
        <v>317</v>
      </c>
      <c r="K447" s="49" t="s">
        <v>16</v>
      </c>
      <c r="L447" s="49" t="s">
        <v>27</v>
      </c>
      <c r="M447" s="49">
        <v>11</v>
      </c>
      <c r="N447" s="80">
        <f t="shared" si="77"/>
        <v>370</v>
      </c>
      <c r="O447" s="51">
        <v>370</v>
      </c>
      <c r="P447" s="81" t="str">
        <f t="shared" si="78"/>
        <v>OK</v>
      </c>
      <c r="Q447" s="142"/>
      <c r="R447" s="76"/>
      <c r="S447" s="81" t="str">
        <f t="shared" si="79"/>
        <v/>
      </c>
      <c r="T447" s="81" t="str">
        <f t="shared" si="80"/>
        <v/>
      </c>
      <c r="U447" s="46">
        <v>44612</v>
      </c>
      <c r="V447" s="50">
        <f t="shared" si="81"/>
        <v>370</v>
      </c>
      <c r="W447" s="53">
        <f t="shared" si="82"/>
        <v>0</v>
      </c>
    </row>
    <row r="448" spans="1:23" ht="25.5" x14ac:dyDescent="0.25">
      <c r="A448" s="35" t="s">
        <v>1970</v>
      </c>
      <c r="B448" s="36">
        <v>44610</v>
      </c>
      <c r="C448" s="35" t="s">
        <v>2939</v>
      </c>
      <c r="D448" s="36" t="s">
        <v>466</v>
      </c>
      <c r="E448" s="73" t="s">
        <v>1070</v>
      </c>
      <c r="F448" s="38" t="s">
        <v>2940</v>
      </c>
      <c r="G448" s="37" t="s">
        <v>2941</v>
      </c>
      <c r="H448" s="37" t="s">
        <v>2942</v>
      </c>
      <c r="I448" s="38" t="s">
        <v>320</v>
      </c>
      <c r="J448" s="39" t="s">
        <v>317</v>
      </c>
      <c r="K448" s="39" t="s">
        <v>16</v>
      </c>
      <c r="L448" s="39" t="s">
        <v>27</v>
      </c>
      <c r="M448" s="39">
        <v>11</v>
      </c>
      <c r="N448" s="86">
        <v>370</v>
      </c>
      <c r="O448" s="41">
        <v>370</v>
      </c>
      <c r="P448" s="86" t="s">
        <v>1017</v>
      </c>
      <c r="Q448" s="143"/>
      <c r="R448" s="78"/>
      <c r="S448" s="87" t="s">
        <v>415</v>
      </c>
      <c r="T448" s="87" t="s">
        <v>415</v>
      </c>
      <c r="U448" s="36">
        <v>44613</v>
      </c>
      <c r="V448" s="40">
        <f t="shared" si="81"/>
        <v>370</v>
      </c>
      <c r="W448" s="43">
        <f t="shared" si="82"/>
        <v>0</v>
      </c>
    </row>
    <row r="449" spans="1:23" ht="25.5" x14ac:dyDescent="0.25">
      <c r="A449" s="45" t="s">
        <v>1971</v>
      </c>
      <c r="B449" s="46">
        <v>44607</v>
      </c>
      <c r="C449" s="45" t="s">
        <v>2943</v>
      </c>
      <c r="D449" s="46" t="s">
        <v>767</v>
      </c>
      <c r="E449" s="72" t="s">
        <v>1067</v>
      </c>
      <c r="F449" s="48" t="s">
        <v>2944</v>
      </c>
      <c r="G449" s="47" t="s">
        <v>2945</v>
      </c>
      <c r="H449" s="47" t="s">
        <v>2946</v>
      </c>
      <c r="I449" s="48" t="s">
        <v>2947</v>
      </c>
      <c r="J449" s="48" t="s">
        <v>2948</v>
      </c>
      <c r="K449" s="49" t="s">
        <v>39</v>
      </c>
      <c r="L449" s="49" t="s">
        <v>40</v>
      </c>
      <c r="M449" s="49">
        <v>17</v>
      </c>
      <c r="N449" s="80">
        <f t="shared" si="77"/>
        <v>300</v>
      </c>
      <c r="O449" s="51">
        <v>300</v>
      </c>
      <c r="P449" s="81" t="str">
        <f t="shared" si="78"/>
        <v>OK</v>
      </c>
      <c r="Q449" s="142"/>
      <c r="R449" s="76"/>
      <c r="S449" s="81" t="str">
        <f t="shared" si="79"/>
        <v/>
      </c>
      <c r="T449" s="81" t="str">
        <f t="shared" si="80"/>
        <v/>
      </c>
      <c r="U449" s="46">
        <v>44610</v>
      </c>
      <c r="V449" s="50">
        <f t="shared" si="81"/>
        <v>300</v>
      </c>
      <c r="W449" s="53">
        <f t="shared" si="82"/>
        <v>0</v>
      </c>
    </row>
    <row r="450" spans="1:23" ht="25.5" x14ac:dyDescent="0.25">
      <c r="A450" s="35" t="s">
        <v>1972</v>
      </c>
      <c r="B450" s="36">
        <v>43509</v>
      </c>
      <c r="C450" s="35" t="s">
        <v>2949</v>
      </c>
      <c r="D450" s="36" t="s">
        <v>1790</v>
      </c>
      <c r="E450" s="73" t="s">
        <v>1069</v>
      </c>
      <c r="F450" s="38" t="s">
        <v>2950</v>
      </c>
      <c r="G450" s="37" t="s">
        <v>2951</v>
      </c>
      <c r="H450" s="37" t="s">
        <v>437</v>
      </c>
      <c r="I450" s="38" t="s">
        <v>2952</v>
      </c>
      <c r="J450" s="39" t="s">
        <v>2953</v>
      </c>
      <c r="K450" s="39" t="s">
        <v>31</v>
      </c>
      <c r="L450" s="39" t="s">
        <v>32</v>
      </c>
      <c r="M450" s="39">
        <v>13</v>
      </c>
      <c r="N450" s="86">
        <f t="shared" si="77"/>
        <v>370</v>
      </c>
      <c r="O450" s="41">
        <v>281.24</v>
      </c>
      <c r="P450" s="86" t="str">
        <f t="shared" si="78"/>
        <v>OK</v>
      </c>
      <c r="Q450" s="143"/>
      <c r="R450" s="78"/>
      <c r="S450" s="87" t="str">
        <f t="shared" si="79"/>
        <v/>
      </c>
      <c r="T450" s="87" t="str">
        <f t="shared" si="80"/>
        <v/>
      </c>
      <c r="U450" s="36">
        <v>44614</v>
      </c>
      <c r="V450" s="40">
        <f t="shared" si="81"/>
        <v>281.24</v>
      </c>
      <c r="W450" s="43">
        <f t="shared" si="82"/>
        <v>0</v>
      </c>
    </row>
    <row r="451" spans="1:23" ht="38.25" x14ac:dyDescent="0.25">
      <c r="A451" s="45" t="s">
        <v>1973</v>
      </c>
      <c r="B451" s="46">
        <v>43962</v>
      </c>
      <c r="C451" s="45" t="s">
        <v>2954</v>
      </c>
      <c r="D451" s="46" t="s">
        <v>659</v>
      </c>
      <c r="E451" s="72" t="s">
        <v>1073</v>
      </c>
      <c r="F451" s="48" t="s">
        <v>2955</v>
      </c>
      <c r="G451" s="47" t="s">
        <v>2956</v>
      </c>
      <c r="H451" s="47" t="s">
        <v>2957</v>
      </c>
      <c r="I451" s="48" t="s">
        <v>320</v>
      </c>
      <c r="J451" s="48" t="s">
        <v>317</v>
      </c>
      <c r="K451" s="49" t="s">
        <v>16</v>
      </c>
      <c r="L451" s="49" t="s">
        <v>27</v>
      </c>
      <c r="M451" s="49">
        <v>11</v>
      </c>
      <c r="N451" s="80">
        <f t="shared" ref="N451:N456" si="83">IF(M451="","",IF(M451=1,300,IF(M451=2,370,IF(M451=3,630,IF(M451=4,830,IF(M451=5,370,IF(M451=6,430,IF(M451=7,530,IF(M451=8,370,IF(M451=9,700,IF(M451=10,870,IF(M451=11,370,IF(M451=12,370,IF(M451=13,370,IF(M451=13,370,IF(M451=14,370,IF(M451=15,370,IF(M451=16,300,IF(M451=17,300,IF(M451=18,170,IF(M451=19,330)))))))))))))))))))))</f>
        <v>370</v>
      </c>
      <c r="O451" s="51">
        <v>370</v>
      </c>
      <c r="P451" s="81" t="str">
        <f t="shared" ref="P451:P456" si="84">IF(M451="","",IF(O451&gt;(5*N451),"ACIMA","OK"))</f>
        <v>OK</v>
      </c>
      <c r="Q451" s="142"/>
      <c r="R451" s="76"/>
      <c r="S451" s="81" t="str">
        <f t="shared" ref="S451:S456" si="85">IF(R451="","",R451/O451)</f>
        <v/>
      </c>
      <c r="T451" s="81" t="str">
        <f t="shared" ref="T451:T456" si="86">IF(S451="","",IF(S451&gt;$Z$5,"ACIMA","OK"))</f>
        <v/>
      </c>
      <c r="U451" s="46">
        <v>44622</v>
      </c>
      <c r="V451" s="50">
        <f t="shared" ref="V451:V483" si="87">IF(M451="","",O451-R451)</f>
        <v>370</v>
      </c>
      <c r="W451" s="53">
        <f t="shared" ref="W451:W483" si="88">IF(M451="","",IF(AND(M451&gt;0,U451=""),V451,O451-(R451+V451)))</f>
        <v>0</v>
      </c>
    </row>
    <row r="452" spans="1:23" ht="38.25" x14ac:dyDescent="0.25">
      <c r="A452" s="35" t="s">
        <v>1974</v>
      </c>
      <c r="B452" s="36">
        <v>44624</v>
      </c>
      <c r="C452" s="35" t="s">
        <v>2958</v>
      </c>
      <c r="D452" s="36" t="s">
        <v>1079</v>
      </c>
      <c r="E452" s="73" t="s">
        <v>980</v>
      </c>
      <c r="F452" s="38" t="s">
        <v>2959</v>
      </c>
      <c r="G452" s="37" t="s">
        <v>2960</v>
      </c>
      <c r="H452" s="37" t="s">
        <v>2961</v>
      </c>
      <c r="I452" s="38" t="s">
        <v>320</v>
      </c>
      <c r="J452" s="39" t="s">
        <v>317</v>
      </c>
      <c r="K452" s="39" t="s">
        <v>16</v>
      </c>
      <c r="L452" s="39" t="s">
        <v>27</v>
      </c>
      <c r="M452" s="39">
        <v>11</v>
      </c>
      <c r="N452" s="86">
        <f t="shared" si="83"/>
        <v>370</v>
      </c>
      <c r="O452" s="41">
        <v>300</v>
      </c>
      <c r="P452" s="86" t="str">
        <f t="shared" si="84"/>
        <v>OK</v>
      </c>
      <c r="Q452" s="143"/>
      <c r="R452" s="78"/>
      <c r="S452" s="87" t="str">
        <f t="shared" si="85"/>
        <v/>
      </c>
      <c r="T452" s="87" t="str">
        <f t="shared" si="86"/>
        <v/>
      </c>
      <c r="U452" s="36">
        <v>44624</v>
      </c>
      <c r="V452" s="40">
        <f t="shared" si="87"/>
        <v>300</v>
      </c>
      <c r="W452" s="43">
        <f t="shared" si="88"/>
        <v>0</v>
      </c>
    </row>
    <row r="453" spans="1:23" ht="25.5" x14ac:dyDescent="0.25">
      <c r="A453" s="45" t="s">
        <v>2569</v>
      </c>
      <c r="B453" s="46">
        <v>44615</v>
      </c>
      <c r="C453" s="45" t="s">
        <v>2962</v>
      </c>
      <c r="D453" s="46" t="s">
        <v>1079</v>
      </c>
      <c r="E453" s="72" t="s">
        <v>980</v>
      </c>
      <c r="F453" s="48" t="s">
        <v>2963</v>
      </c>
      <c r="G453" s="47" t="s">
        <v>2964</v>
      </c>
      <c r="H453" s="47" t="s">
        <v>1148</v>
      </c>
      <c r="I453" s="48" t="s">
        <v>1434</v>
      </c>
      <c r="J453" s="48" t="s">
        <v>2965</v>
      </c>
      <c r="K453" s="49" t="s">
        <v>39</v>
      </c>
      <c r="L453" s="49" t="s">
        <v>40</v>
      </c>
      <c r="M453" s="49">
        <v>17</v>
      </c>
      <c r="N453" s="80">
        <f t="shared" si="83"/>
        <v>300</v>
      </c>
      <c r="O453" s="51">
        <v>240</v>
      </c>
      <c r="P453" s="81" t="str">
        <f t="shared" si="84"/>
        <v>OK</v>
      </c>
      <c r="Q453" s="142"/>
      <c r="R453" s="76"/>
      <c r="S453" s="81" t="str">
        <f t="shared" si="85"/>
        <v/>
      </c>
      <c r="T453" s="81" t="str">
        <f t="shared" si="86"/>
        <v/>
      </c>
      <c r="U453" s="46">
        <v>44616</v>
      </c>
      <c r="V453" s="50">
        <f t="shared" si="87"/>
        <v>240</v>
      </c>
      <c r="W453" s="53">
        <f t="shared" si="88"/>
        <v>0</v>
      </c>
    </row>
    <row r="454" spans="1:23" ht="25.5" x14ac:dyDescent="0.25">
      <c r="A454" s="35" t="s">
        <v>2570</v>
      </c>
      <c r="B454" s="36">
        <v>44259</v>
      </c>
      <c r="C454" s="35" t="s">
        <v>1210</v>
      </c>
      <c r="D454" s="36" t="s">
        <v>1211</v>
      </c>
      <c r="E454" s="73" t="s">
        <v>1071</v>
      </c>
      <c r="F454" s="38" t="s">
        <v>2966</v>
      </c>
      <c r="G454" s="37" t="s">
        <v>1273</v>
      </c>
      <c r="H454" s="37" t="s">
        <v>585</v>
      </c>
      <c r="I454" s="38" t="s">
        <v>320</v>
      </c>
      <c r="J454" s="39" t="s">
        <v>317</v>
      </c>
      <c r="K454" s="39" t="s">
        <v>432</v>
      </c>
      <c r="L454" s="39" t="s">
        <v>480</v>
      </c>
      <c r="M454" s="39">
        <v>1</v>
      </c>
      <c r="N454" s="86">
        <f t="shared" si="83"/>
        <v>300</v>
      </c>
      <c r="O454" s="41">
        <v>300</v>
      </c>
      <c r="P454" s="86" t="str">
        <f t="shared" si="84"/>
        <v>OK</v>
      </c>
      <c r="Q454" s="143"/>
      <c r="R454" s="78"/>
      <c r="S454" s="87" t="str">
        <f t="shared" si="85"/>
        <v/>
      </c>
      <c r="T454" s="87" t="str">
        <f t="shared" si="86"/>
        <v/>
      </c>
      <c r="U454" s="36">
        <v>44624</v>
      </c>
      <c r="V454" s="40">
        <f t="shared" si="87"/>
        <v>300</v>
      </c>
      <c r="W454" s="43">
        <f t="shared" si="88"/>
        <v>0</v>
      </c>
    </row>
    <row r="455" spans="1:23" ht="38.25" x14ac:dyDescent="0.25">
      <c r="A455" s="45" t="s">
        <v>2571</v>
      </c>
      <c r="B455" s="46">
        <v>44029</v>
      </c>
      <c r="C455" s="45" t="s">
        <v>2967</v>
      </c>
      <c r="D455" s="46" t="s">
        <v>2968</v>
      </c>
      <c r="E455" s="72" t="s">
        <v>1812</v>
      </c>
      <c r="F455" s="48" t="s">
        <v>2969</v>
      </c>
      <c r="G455" s="47" t="s">
        <v>2970</v>
      </c>
      <c r="H455" s="47" t="s">
        <v>2971</v>
      </c>
      <c r="I455" s="48" t="s">
        <v>328</v>
      </c>
      <c r="J455" s="48" t="s">
        <v>2972</v>
      </c>
      <c r="K455" s="49" t="s">
        <v>31</v>
      </c>
      <c r="L455" s="49" t="s">
        <v>29</v>
      </c>
      <c r="M455" s="49">
        <v>15</v>
      </c>
      <c r="N455" s="80">
        <f t="shared" si="83"/>
        <v>370</v>
      </c>
      <c r="O455" s="51">
        <v>370</v>
      </c>
      <c r="P455" s="81" t="str">
        <f t="shared" si="84"/>
        <v>OK</v>
      </c>
      <c r="Q455" s="142"/>
      <c r="R455" s="76"/>
      <c r="S455" s="81" t="str">
        <f t="shared" si="85"/>
        <v/>
      </c>
      <c r="T455" s="81" t="str">
        <f t="shared" si="86"/>
        <v/>
      </c>
      <c r="U455" s="46">
        <v>44628</v>
      </c>
      <c r="V455" s="50">
        <f t="shared" si="87"/>
        <v>370</v>
      </c>
      <c r="W455" s="53">
        <f t="shared" si="88"/>
        <v>0</v>
      </c>
    </row>
    <row r="456" spans="1:23" ht="38.25" x14ac:dyDescent="0.25">
      <c r="A456" s="35" t="s">
        <v>2572</v>
      </c>
      <c r="B456" s="36">
        <v>44032</v>
      </c>
      <c r="C456" s="35" t="s">
        <v>2973</v>
      </c>
      <c r="D456" s="36" t="s">
        <v>2968</v>
      </c>
      <c r="E456" s="73" t="s">
        <v>1812</v>
      </c>
      <c r="F456" s="38" t="s">
        <v>2974</v>
      </c>
      <c r="G456" s="37" t="s">
        <v>2975</v>
      </c>
      <c r="H456" s="37" t="s">
        <v>2971</v>
      </c>
      <c r="I456" s="38" t="s">
        <v>328</v>
      </c>
      <c r="J456" s="39" t="s">
        <v>2972</v>
      </c>
      <c r="K456" s="39" t="s">
        <v>31</v>
      </c>
      <c r="L456" s="39" t="s">
        <v>29</v>
      </c>
      <c r="M456" s="39">
        <v>15</v>
      </c>
      <c r="N456" s="86">
        <f t="shared" si="83"/>
        <v>370</v>
      </c>
      <c r="O456" s="41">
        <v>370</v>
      </c>
      <c r="P456" s="86" t="str">
        <f t="shared" si="84"/>
        <v>OK</v>
      </c>
      <c r="Q456" s="143"/>
      <c r="R456" s="78"/>
      <c r="S456" s="87" t="str">
        <f t="shared" si="85"/>
        <v/>
      </c>
      <c r="T456" s="87" t="str">
        <f t="shared" si="86"/>
        <v/>
      </c>
      <c r="U456" s="36">
        <v>44628</v>
      </c>
      <c r="V456" s="40">
        <f t="shared" si="87"/>
        <v>370</v>
      </c>
      <c r="W456" s="43">
        <f t="shared" si="88"/>
        <v>0</v>
      </c>
    </row>
    <row r="457" spans="1:23" ht="38.25" x14ac:dyDescent="0.25">
      <c r="A457" s="45" t="s">
        <v>2573</v>
      </c>
      <c r="B457" s="46">
        <v>44029</v>
      </c>
      <c r="C457" s="45" t="s">
        <v>2976</v>
      </c>
      <c r="D457" s="46" t="s">
        <v>2968</v>
      </c>
      <c r="E457" s="72" t="s">
        <v>1812</v>
      </c>
      <c r="F457" s="48" t="s">
        <v>2977</v>
      </c>
      <c r="G457" s="47" t="s">
        <v>2978</v>
      </c>
      <c r="H457" s="47" t="s">
        <v>2971</v>
      </c>
      <c r="I457" s="48" t="s">
        <v>328</v>
      </c>
      <c r="J457" s="48" t="s">
        <v>2972</v>
      </c>
      <c r="K457" s="49" t="s">
        <v>31</v>
      </c>
      <c r="L457" s="49" t="s">
        <v>29</v>
      </c>
      <c r="M457" s="49">
        <v>15</v>
      </c>
      <c r="N457" s="80">
        <v>370</v>
      </c>
      <c r="O457" s="51">
        <v>370</v>
      </c>
      <c r="P457" s="81" t="s">
        <v>1017</v>
      </c>
      <c r="Q457" s="142"/>
      <c r="R457" s="76"/>
      <c r="S457" s="81" t="s">
        <v>415</v>
      </c>
      <c r="T457" s="81" t="s">
        <v>415</v>
      </c>
      <c r="U457" s="46">
        <v>44628</v>
      </c>
      <c r="V457" s="50">
        <f t="shared" si="87"/>
        <v>370</v>
      </c>
      <c r="W457" s="53">
        <f t="shared" si="88"/>
        <v>0</v>
      </c>
    </row>
    <row r="458" spans="1:23" ht="38.25" x14ac:dyDescent="0.25">
      <c r="A458" s="35" t="s">
        <v>2574</v>
      </c>
      <c r="B458" s="36">
        <v>44029</v>
      </c>
      <c r="C458" s="35" t="s">
        <v>2979</v>
      </c>
      <c r="D458" s="36" t="s">
        <v>2968</v>
      </c>
      <c r="E458" s="73" t="s">
        <v>1812</v>
      </c>
      <c r="F458" s="38" t="s">
        <v>2980</v>
      </c>
      <c r="G458" s="37" t="s">
        <v>2981</v>
      </c>
      <c r="H458" s="37" t="s">
        <v>2971</v>
      </c>
      <c r="I458" s="38" t="s">
        <v>328</v>
      </c>
      <c r="J458" s="39" t="s">
        <v>2972</v>
      </c>
      <c r="K458" s="39" t="s">
        <v>31</v>
      </c>
      <c r="L458" s="39" t="s">
        <v>29</v>
      </c>
      <c r="M458" s="39">
        <v>15</v>
      </c>
      <c r="N458" s="86">
        <v>370</v>
      </c>
      <c r="O458" s="41">
        <v>370</v>
      </c>
      <c r="P458" s="86" t="s">
        <v>1017</v>
      </c>
      <c r="Q458" s="143"/>
      <c r="R458" s="78"/>
      <c r="S458" s="87" t="s">
        <v>415</v>
      </c>
      <c r="T458" s="87" t="s">
        <v>415</v>
      </c>
      <c r="U458" s="36">
        <v>44628</v>
      </c>
      <c r="V458" s="40">
        <f t="shared" si="87"/>
        <v>370</v>
      </c>
      <c r="W458" s="43">
        <f t="shared" si="88"/>
        <v>0</v>
      </c>
    </row>
    <row r="459" spans="1:23" ht="38.25" x14ac:dyDescent="0.25">
      <c r="A459" s="45" t="s">
        <v>2575</v>
      </c>
      <c r="B459" s="46">
        <v>44029</v>
      </c>
      <c r="C459" s="45" t="s">
        <v>2985</v>
      </c>
      <c r="D459" s="46" t="s">
        <v>2968</v>
      </c>
      <c r="E459" s="72" t="s">
        <v>1812</v>
      </c>
      <c r="F459" s="48" t="s">
        <v>2986</v>
      </c>
      <c r="G459" s="47" t="s">
        <v>2987</v>
      </c>
      <c r="H459" s="47" t="s">
        <v>2971</v>
      </c>
      <c r="I459" s="48" t="s">
        <v>328</v>
      </c>
      <c r="J459" s="48" t="s">
        <v>2972</v>
      </c>
      <c r="K459" s="49" t="s">
        <v>31</v>
      </c>
      <c r="L459" s="49" t="s">
        <v>29</v>
      </c>
      <c r="M459" s="49">
        <v>15</v>
      </c>
      <c r="N459" s="80">
        <v>370</v>
      </c>
      <c r="O459" s="51">
        <v>370</v>
      </c>
      <c r="P459" s="81" t="s">
        <v>1017</v>
      </c>
      <c r="Q459" s="142"/>
      <c r="R459" s="76"/>
      <c r="S459" s="81" t="s">
        <v>415</v>
      </c>
      <c r="T459" s="81" t="s">
        <v>415</v>
      </c>
      <c r="U459" s="46">
        <v>44628</v>
      </c>
      <c r="V459" s="50">
        <f t="shared" si="87"/>
        <v>370</v>
      </c>
      <c r="W459" s="53">
        <f t="shared" si="88"/>
        <v>0</v>
      </c>
    </row>
    <row r="460" spans="1:23" ht="38.25" x14ac:dyDescent="0.25">
      <c r="A460" s="35" t="s">
        <v>2576</v>
      </c>
      <c r="B460" s="36">
        <v>44029</v>
      </c>
      <c r="C460" s="35" t="s">
        <v>2988</v>
      </c>
      <c r="D460" s="36" t="s">
        <v>2968</v>
      </c>
      <c r="E460" s="73" t="s">
        <v>1812</v>
      </c>
      <c r="F460" s="38" t="s">
        <v>2989</v>
      </c>
      <c r="G460" s="37" t="s">
        <v>2990</v>
      </c>
      <c r="H460" s="37" t="s">
        <v>2971</v>
      </c>
      <c r="I460" s="38" t="s">
        <v>328</v>
      </c>
      <c r="J460" s="39" t="s">
        <v>2972</v>
      </c>
      <c r="K460" s="39" t="s">
        <v>31</v>
      </c>
      <c r="L460" s="39" t="s">
        <v>29</v>
      </c>
      <c r="M460" s="39">
        <v>15</v>
      </c>
      <c r="N460" s="86">
        <v>370</v>
      </c>
      <c r="O460" s="41">
        <v>370</v>
      </c>
      <c r="P460" s="86" t="s">
        <v>1017</v>
      </c>
      <c r="Q460" s="143"/>
      <c r="R460" s="78"/>
      <c r="S460" s="87" t="s">
        <v>415</v>
      </c>
      <c r="T460" s="87" t="s">
        <v>415</v>
      </c>
      <c r="U460" s="36">
        <v>44628</v>
      </c>
      <c r="V460" s="40">
        <f t="shared" si="87"/>
        <v>370</v>
      </c>
      <c r="W460" s="43">
        <f t="shared" si="88"/>
        <v>0</v>
      </c>
    </row>
    <row r="461" spans="1:23" ht="38.25" x14ac:dyDescent="0.25">
      <c r="A461" s="45" t="s">
        <v>2577</v>
      </c>
      <c r="B461" s="46">
        <v>44029</v>
      </c>
      <c r="C461" s="45" t="s">
        <v>2991</v>
      </c>
      <c r="D461" s="46" t="s">
        <v>2968</v>
      </c>
      <c r="E461" s="72" t="s">
        <v>1812</v>
      </c>
      <c r="F461" s="48" t="s">
        <v>2992</v>
      </c>
      <c r="G461" s="47" t="s">
        <v>2993</v>
      </c>
      <c r="H461" s="47" t="s">
        <v>2971</v>
      </c>
      <c r="I461" s="48" t="s">
        <v>328</v>
      </c>
      <c r="J461" s="48" t="s">
        <v>2972</v>
      </c>
      <c r="K461" s="49" t="s">
        <v>31</v>
      </c>
      <c r="L461" s="49" t="s">
        <v>29</v>
      </c>
      <c r="M461" s="49">
        <v>15</v>
      </c>
      <c r="N461" s="80">
        <v>370</v>
      </c>
      <c r="O461" s="51">
        <v>370</v>
      </c>
      <c r="P461" s="81" t="s">
        <v>1017</v>
      </c>
      <c r="Q461" s="142"/>
      <c r="R461" s="76"/>
      <c r="S461" s="81" t="s">
        <v>415</v>
      </c>
      <c r="T461" s="81" t="s">
        <v>415</v>
      </c>
      <c r="U461" s="46">
        <v>44628</v>
      </c>
      <c r="V461" s="50">
        <f t="shared" si="87"/>
        <v>370</v>
      </c>
      <c r="W461" s="53">
        <f t="shared" si="88"/>
        <v>0</v>
      </c>
    </row>
    <row r="462" spans="1:23" ht="38.25" x14ac:dyDescent="0.25">
      <c r="A462" s="35" t="s">
        <v>2578</v>
      </c>
      <c r="B462" s="36">
        <v>44029</v>
      </c>
      <c r="C462" s="35" t="s">
        <v>2994</v>
      </c>
      <c r="D462" s="36" t="s">
        <v>2968</v>
      </c>
      <c r="E462" s="73" t="s">
        <v>1812</v>
      </c>
      <c r="F462" s="38" t="s">
        <v>2995</v>
      </c>
      <c r="G462" s="37" t="s">
        <v>2996</v>
      </c>
      <c r="H462" s="37" t="s">
        <v>2971</v>
      </c>
      <c r="I462" s="38" t="s">
        <v>328</v>
      </c>
      <c r="J462" s="39" t="s">
        <v>2972</v>
      </c>
      <c r="K462" s="39" t="s">
        <v>31</v>
      </c>
      <c r="L462" s="39" t="s">
        <v>29</v>
      </c>
      <c r="M462" s="39">
        <v>15</v>
      </c>
      <c r="N462" s="86">
        <v>370</v>
      </c>
      <c r="O462" s="41">
        <v>370</v>
      </c>
      <c r="P462" s="86" t="s">
        <v>1017</v>
      </c>
      <c r="Q462" s="143"/>
      <c r="R462" s="78"/>
      <c r="S462" s="87" t="s">
        <v>415</v>
      </c>
      <c r="T462" s="87" t="s">
        <v>415</v>
      </c>
      <c r="U462" s="36">
        <v>44628</v>
      </c>
      <c r="V462" s="40">
        <f t="shared" si="87"/>
        <v>370</v>
      </c>
      <c r="W462" s="43">
        <f t="shared" si="88"/>
        <v>0</v>
      </c>
    </row>
    <row r="463" spans="1:23" ht="38.25" x14ac:dyDescent="0.25">
      <c r="A463" s="45" t="s">
        <v>2579</v>
      </c>
      <c r="B463" s="46">
        <v>44029</v>
      </c>
      <c r="C463" s="45" t="s">
        <v>2982</v>
      </c>
      <c r="D463" s="46" t="s">
        <v>2968</v>
      </c>
      <c r="E463" s="72" t="s">
        <v>1812</v>
      </c>
      <c r="F463" s="48" t="s">
        <v>2983</v>
      </c>
      <c r="G463" s="47" t="s">
        <v>2984</v>
      </c>
      <c r="H463" s="47" t="s">
        <v>2971</v>
      </c>
      <c r="I463" s="48" t="s">
        <v>328</v>
      </c>
      <c r="J463" s="48" t="s">
        <v>2972</v>
      </c>
      <c r="K463" s="49" t="s">
        <v>31</v>
      </c>
      <c r="L463" s="49" t="s">
        <v>29</v>
      </c>
      <c r="M463" s="49">
        <v>15</v>
      </c>
      <c r="N463" s="80">
        <v>370</v>
      </c>
      <c r="O463" s="51">
        <v>370</v>
      </c>
      <c r="P463" s="81" t="s">
        <v>1017</v>
      </c>
      <c r="Q463" s="142"/>
      <c r="R463" s="76"/>
      <c r="S463" s="81" t="s">
        <v>415</v>
      </c>
      <c r="T463" s="81" t="s">
        <v>415</v>
      </c>
      <c r="U463" s="46">
        <v>44628</v>
      </c>
      <c r="V463" s="50">
        <f t="shared" si="87"/>
        <v>370</v>
      </c>
      <c r="W463" s="53">
        <f t="shared" si="88"/>
        <v>0</v>
      </c>
    </row>
    <row r="464" spans="1:23" ht="38.25" x14ac:dyDescent="0.25">
      <c r="A464" s="35" t="s">
        <v>2580</v>
      </c>
      <c r="B464" s="36">
        <v>44032</v>
      </c>
      <c r="C464" s="35" t="s">
        <v>2997</v>
      </c>
      <c r="D464" s="36" t="s">
        <v>2968</v>
      </c>
      <c r="E464" s="73" t="s">
        <v>1812</v>
      </c>
      <c r="F464" s="38" t="s">
        <v>2998</v>
      </c>
      <c r="G464" s="37" t="s">
        <v>2999</v>
      </c>
      <c r="H464" s="37" t="s">
        <v>2971</v>
      </c>
      <c r="I464" s="38" t="s">
        <v>328</v>
      </c>
      <c r="J464" s="39" t="s">
        <v>2972</v>
      </c>
      <c r="K464" s="39" t="s">
        <v>31</v>
      </c>
      <c r="L464" s="39" t="s">
        <v>29</v>
      </c>
      <c r="M464" s="39">
        <v>15</v>
      </c>
      <c r="N464" s="86">
        <v>370</v>
      </c>
      <c r="O464" s="41">
        <v>370</v>
      </c>
      <c r="P464" s="86" t="s">
        <v>1017</v>
      </c>
      <c r="Q464" s="143"/>
      <c r="R464" s="78"/>
      <c r="S464" s="87" t="s">
        <v>415</v>
      </c>
      <c r="T464" s="87" t="s">
        <v>415</v>
      </c>
      <c r="U464" s="36">
        <v>44628</v>
      </c>
      <c r="V464" s="40">
        <f t="shared" si="87"/>
        <v>370</v>
      </c>
      <c r="W464" s="43">
        <f t="shared" si="88"/>
        <v>0</v>
      </c>
    </row>
    <row r="465" spans="1:23" ht="38.25" x14ac:dyDescent="0.25">
      <c r="A465" s="45" t="s">
        <v>2581</v>
      </c>
      <c r="B465" s="46">
        <v>44032</v>
      </c>
      <c r="C465" s="45" t="s">
        <v>3000</v>
      </c>
      <c r="D465" s="46" t="s">
        <v>2968</v>
      </c>
      <c r="E465" s="72" t="s">
        <v>1812</v>
      </c>
      <c r="F465" s="48" t="s">
        <v>3001</v>
      </c>
      <c r="G465" s="47" t="s">
        <v>3002</v>
      </c>
      <c r="H465" s="47" t="s">
        <v>2971</v>
      </c>
      <c r="I465" s="48" t="s">
        <v>328</v>
      </c>
      <c r="J465" s="48" t="s">
        <v>2972</v>
      </c>
      <c r="K465" s="49" t="s">
        <v>31</v>
      </c>
      <c r="L465" s="49" t="s">
        <v>29</v>
      </c>
      <c r="M465" s="49">
        <v>15</v>
      </c>
      <c r="N465" s="80">
        <v>370</v>
      </c>
      <c r="O465" s="51">
        <v>370</v>
      </c>
      <c r="P465" s="81" t="s">
        <v>1017</v>
      </c>
      <c r="Q465" s="142"/>
      <c r="R465" s="76"/>
      <c r="S465" s="81" t="s">
        <v>415</v>
      </c>
      <c r="T465" s="81" t="s">
        <v>415</v>
      </c>
      <c r="U465" s="46">
        <v>44628</v>
      </c>
      <c r="V465" s="50">
        <f t="shared" si="87"/>
        <v>370</v>
      </c>
      <c r="W465" s="53">
        <f t="shared" si="88"/>
        <v>0</v>
      </c>
    </row>
    <row r="466" spans="1:23" ht="38.25" x14ac:dyDescent="0.25">
      <c r="A466" s="35" t="s">
        <v>2582</v>
      </c>
      <c r="B466" s="36">
        <v>44029</v>
      </c>
      <c r="C466" s="35" t="s">
        <v>3003</v>
      </c>
      <c r="D466" s="36" t="s">
        <v>2968</v>
      </c>
      <c r="E466" s="73" t="s">
        <v>1812</v>
      </c>
      <c r="F466" s="38" t="s">
        <v>3004</v>
      </c>
      <c r="G466" s="37" t="s">
        <v>3005</v>
      </c>
      <c r="H466" s="37" t="s">
        <v>2971</v>
      </c>
      <c r="I466" s="38" t="s">
        <v>328</v>
      </c>
      <c r="J466" s="39" t="s">
        <v>2972</v>
      </c>
      <c r="K466" s="39" t="s">
        <v>31</v>
      </c>
      <c r="L466" s="39" t="s">
        <v>29</v>
      </c>
      <c r="M466" s="39">
        <v>15</v>
      </c>
      <c r="N466" s="86">
        <v>370</v>
      </c>
      <c r="O466" s="41">
        <v>370</v>
      </c>
      <c r="P466" s="86" t="s">
        <v>1017</v>
      </c>
      <c r="Q466" s="143"/>
      <c r="R466" s="78"/>
      <c r="S466" s="87" t="s">
        <v>415</v>
      </c>
      <c r="T466" s="87" t="s">
        <v>415</v>
      </c>
      <c r="U466" s="36">
        <v>44628</v>
      </c>
      <c r="V466" s="40">
        <f t="shared" si="87"/>
        <v>370</v>
      </c>
      <c r="W466" s="43">
        <f t="shared" si="88"/>
        <v>0</v>
      </c>
    </row>
    <row r="467" spans="1:23" ht="38.25" x14ac:dyDescent="0.25">
      <c r="A467" s="45" t="s">
        <v>2583</v>
      </c>
      <c r="B467" s="46">
        <v>44029</v>
      </c>
      <c r="C467" s="45" t="s">
        <v>3006</v>
      </c>
      <c r="D467" s="46" t="s">
        <v>2968</v>
      </c>
      <c r="E467" s="72" t="s">
        <v>1812</v>
      </c>
      <c r="F467" s="48" t="s">
        <v>3007</v>
      </c>
      <c r="G467" s="47" t="s">
        <v>3008</v>
      </c>
      <c r="H467" s="47" t="s">
        <v>2971</v>
      </c>
      <c r="I467" s="48" t="s">
        <v>328</v>
      </c>
      <c r="J467" s="48" t="s">
        <v>2972</v>
      </c>
      <c r="K467" s="49" t="s">
        <v>31</v>
      </c>
      <c r="L467" s="49" t="s">
        <v>29</v>
      </c>
      <c r="M467" s="49">
        <v>15</v>
      </c>
      <c r="N467" s="80">
        <v>370</v>
      </c>
      <c r="O467" s="51">
        <v>370</v>
      </c>
      <c r="P467" s="81" t="s">
        <v>1017</v>
      </c>
      <c r="Q467" s="142"/>
      <c r="R467" s="76"/>
      <c r="S467" s="81" t="s">
        <v>415</v>
      </c>
      <c r="T467" s="81" t="s">
        <v>415</v>
      </c>
      <c r="U467" s="46">
        <v>44628</v>
      </c>
      <c r="V467" s="50">
        <f t="shared" si="87"/>
        <v>370</v>
      </c>
      <c r="W467" s="53">
        <f t="shared" si="88"/>
        <v>0</v>
      </c>
    </row>
    <row r="468" spans="1:23" ht="38.25" x14ac:dyDescent="0.25">
      <c r="A468" s="35" t="s">
        <v>2584</v>
      </c>
      <c r="B468" s="36">
        <v>44624</v>
      </c>
      <c r="C468" s="35" t="s">
        <v>3009</v>
      </c>
      <c r="D468" s="36" t="s">
        <v>466</v>
      </c>
      <c r="E468" s="73" t="s">
        <v>1070</v>
      </c>
      <c r="F468" s="38" t="s">
        <v>3012</v>
      </c>
      <c r="G468" s="37" t="s">
        <v>3010</v>
      </c>
      <c r="H468" s="37" t="s">
        <v>3011</v>
      </c>
      <c r="I468" s="38" t="s">
        <v>320</v>
      </c>
      <c r="J468" s="39" t="s">
        <v>317</v>
      </c>
      <c r="K468" s="39" t="s">
        <v>16</v>
      </c>
      <c r="L468" s="39" t="s">
        <v>27</v>
      </c>
      <c r="M468" s="39">
        <v>11</v>
      </c>
      <c r="N468" s="86">
        <f>IF(M468="","",IF(M468=1,300,IF(M468=2,370,IF(M468=3,630,IF(M468=4,830,IF(M468=5,370,IF(M468=6,430,IF(M468=7,530,IF(M468=8,370,IF(M468=9,700,IF(M468=10,870,IF(M468=11,370,IF(M468=12,370,IF(M468=13,370,IF(M468=13,370,IF(M468=14,370,IF(M468=15,370,IF(M468=16,300,IF(M468=17,300,IF(M468=18,170,IF(M468=19,330)))))))))))))))))))))</f>
        <v>370</v>
      </c>
      <c r="O468" s="41">
        <v>370</v>
      </c>
      <c r="P468" s="86" t="str">
        <f>IF(M468="","",IF(O468&gt;(5*N468),"ACIMA","OK"))</f>
        <v>OK</v>
      </c>
      <c r="Q468" s="143"/>
      <c r="R468" s="78"/>
      <c r="S468" s="87" t="str">
        <f>IF(R468="","",R468/O468)</f>
        <v/>
      </c>
      <c r="T468" s="87" t="str">
        <f>IF(S468="","",IF(S468&gt;$Z$5,"ACIMA","OK"))</f>
        <v/>
      </c>
      <c r="U468" s="36">
        <v>44628</v>
      </c>
      <c r="V468" s="40">
        <f t="shared" si="87"/>
        <v>370</v>
      </c>
      <c r="W468" s="43">
        <f t="shared" si="88"/>
        <v>0</v>
      </c>
    </row>
    <row r="469" spans="1:23" ht="25.5" x14ac:dyDescent="0.25">
      <c r="A469" s="45" t="s">
        <v>2585</v>
      </c>
      <c r="B469" s="46">
        <v>44624</v>
      </c>
      <c r="C469" s="45" t="s">
        <v>3013</v>
      </c>
      <c r="D469" s="46" t="s">
        <v>1211</v>
      </c>
      <c r="E469" s="72" t="s">
        <v>1071</v>
      </c>
      <c r="F469" s="48" t="s">
        <v>3014</v>
      </c>
      <c r="G469" s="47" t="s">
        <v>3015</v>
      </c>
      <c r="H469" s="47" t="s">
        <v>3016</v>
      </c>
      <c r="I469" s="48" t="s">
        <v>320</v>
      </c>
      <c r="J469" s="48" t="s">
        <v>317</v>
      </c>
      <c r="K469" s="49" t="s">
        <v>432</v>
      </c>
      <c r="L469" s="49" t="s">
        <v>480</v>
      </c>
      <c r="M469" s="49">
        <v>1</v>
      </c>
      <c r="N469" s="80">
        <v>370</v>
      </c>
      <c r="O469" s="51">
        <v>300</v>
      </c>
      <c r="P469" s="81" t="s">
        <v>1017</v>
      </c>
      <c r="Q469" s="142"/>
      <c r="R469" s="76"/>
      <c r="S469" s="81" t="s">
        <v>415</v>
      </c>
      <c r="T469" s="81" t="s">
        <v>415</v>
      </c>
      <c r="U469" s="46">
        <v>44628</v>
      </c>
      <c r="V469" s="50">
        <f t="shared" si="87"/>
        <v>300</v>
      </c>
      <c r="W469" s="53">
        <f t="shared" si="88"/>
        <v>0</v>
      </c>
    </row>
    <row r="470" spans="1:23" ht="25.5" x14ac:dyDescent="0.25">
      <c r="A470" s="35" t="s">
        <v>2586</v>
      </c>
      <c r="B470" s="36">
        <v>44546</v>
      </c>
      <c r="C470" s="35" t="s">
        <v>3017</v>
      </c>
      <c r="D470" s="36" t="s">
        <v>3018</v>
      </c>
      <c r="E470" s="73" t="s">
        <v>1064</v>
      </c>
      <c r="F470" s="38" t="s">
        <v>3019</v>
      </c>
      <c r="G470" s="37" t="s">
        <v>3020</v>
      </c>
      <c r="H470" s="37" t="s">
        <v>3021</v>
      </c>
      <c r="I470" s="38" t="s">
        <v>3022</v>
      </c>
      <c r="J470" s="39"/>
      <c r="K470" s="39" t="s">
        <v>16</v>
      </c>
      <c r="L470" s="39" t="s">
        <v>765</v>
      </c>
      <c r="M470" s="39">
        <v>8</v>
      </c>
      <c r="N470" s="86">
        <f t="shared" ref="N470:N476" si="89">IF(M470="","",IF(M470=1,300,IF(M470=2,370,IF(M470=3,630,IF(M470=4,830,IF(M470=5,370,IF(M470=6,430,IF(M470=7,530,IF(M470=8,370,IF(M470=9,700,IF(M470=10,870,IF(M470=11,370,IF(M470=12,370,IF(M470=13,370,IF(M470=13,370,IF(M470=14,370,IF(M470=15,370,IF(M470=16,300,IF(M470=17,300,IF(M470=18,170,IF(M470=19,330)))))))))))))))))))))</f>
        <v>370</v>
      </c>
      <c r="O470" s="41">
        <v>370</v>
      </c>
      <c r="P470" s="86" t="str">
        <f t="shared" ref="P470:P476" si="90">IF(M470="","",IF(O470&gt;(5*N470),"ACIMA","OK"))</f>
        <v>OK</v>
      </c>
      <c r="Q470" s="143"/>
      <c r="R470" s="78"/>
      <c r="S470" s="87" t="str">
        <f t="shared" ref="S470:S476" si="91">IF(R470="","",R470/O470)</f>
        <v/>
      </c>
      <c r="T470" s="87" t="str">
        <f t="shared" ref="T470:T476" si="92">IF(S470="","",IF(S470&gt;$Z$5,"ACIMA","OK"))</f>
        <v/>
      </c>
      <c r="U470" s="36">
        <v>44638</v>
      </c>
      <c r="V470" s="40">
        <f t="shared" si="87"/>
        <v>370</v>
      </c>
      <c r="W470" s="43">
        <f t="shared" si="88"/>
        <v>0</v>
      </c>
    </row>
    <row r="471" spans="1:23" ht="25.5" x14ac:dyDescent="0.25">
      <c r="A471" s="45" t="s">
        <v>2587</v>
      </c>
      <c r="B471" s="46">
        <v>44532</v>
      </c>
      <c r="C471" s="45" t="s">
        <v>3023</v>
      </c>
      <c r="D471" s="46" t="s">
        <v>1134</v>
      </c>
      <c r="E471" s="72" t="s">
        <v>1073</v>
      </c>
      <c r="F471" s="48" t="s">
        <v>3024</v>
      </c>
      <c r="G471" s="47" t="s">
        <v>3025</v>
      </c>
      <c r="H471" s="47" t="s">
        <v>3026</v>
      </c>
      <c r="I471" s="48" t="s">
        <v>320</v>
      </c>
      <c r="J471" s="48" t="s">
        <v>317</v>
      </c>
      <c r="K471" s="49" t="s">
        <v>432</v>
      </c>
      <c r="L471" s="49" t="s">
        <v>480</v>
      </c>
      <c r="M471" s="49">
        <v>1</v>
      </c>
      <c r="N471" s="80">
        <f t="shared" si="89"/>
        <v>300</v>
      </c>
      <c r="O471" s="51">
        <v>300</v>
      </c>
      <c r="P471" s="81" t="str">
        <f t="shared" si="90"/>
        <v>OK</v>
      </c>
      <c r="Q471" s="142"/>
      <c r="R471" s="76"/>
      <c r="S471" s="81" t="str">
        <f t="shared" si="91"/>
        <v/>
      </c>
      <c r="T471" s="81" t="str">
        <f t="shared" si="92"/>
        <v/>
      </c>
      <c r="U471" s="46">
        <v>44631</v>
      </c>
      <c r="V471" s="50">
        <f t="shared" si="87"/>
        <v>300</v>
      </c>
      <c r="W471" s="53">
        <f t="shared" si="88"/>
        <v>0</v>
      </c>
    </row>
    <row r="472" spans="1:23" ht="25.5" x14ac:dyDescent="0.25">
      <c r="A472" s="35" t="s">
        <v>2588</v>
      </c>
      <c r="B472" s="36">
        <v>44518</v>
      </c>
      <c r="C472" s="35" t="s">
        <v>3027</v>
      </c>
      <c r="D472" s="36" t="s">
        <v>526</v>
      </c>
      <c r="E472" s="73" t="s">
        <v>1066</v>
      </c>
      <c r="F472" s="38" t="s">
        <v>3028</v>
      </c>
      <c r="G472" s="37" t="s">
        <v>3029</v>
      </c>
      <c r="H472" s="37" t="s">
        <v>3030</v>
      </c>
      <c r="I472" s="38" t="s">
        <v>3031</v>
      </c>
      <c r="J472" s="39" t="s">
        <v>3032</v>
      </c>
      <c r="K472" s="39" t="s">
        <v>16</v>
      </c>
      <c r="L472" s="39" t="s">
        <v>19</v>
      </c>
      <c r="M472" s="39">
        <v>7</v>
      </c>
      <c r="N472" s="86">
        <f t="shared" si="89"/>
        <v>530</v>
      </c>
      <c r="O472" s="41">
        <v>4350</v>
      </c>
      <c r="P472" s="86" t="str">
        <f t="shared" si="90"/>
        <v>ACIMA</v>
      </c>
      <c r="Q472" s="143"/>
      <c r="R472" s="78"/>
      <c r="S472" s="87" t="str">
        <f t="shared" si="91"/>
        <v/>
      </c>
      <c r="T472" s="87" t="str">
        <f t="shared" si="92"/>
        <v/>
      </c>
      <c r="U472" s="36">
        <v>44631</v>
      </c>
      <c r="V472" s="40">
        <f t="shared" si="87"/>
        <v>4350</v>
      </c>
      <c r="W472" s="43">
        <f t="shared" si="88"/>
        <v>0</v>
      </c>
    </row>
    <row r="473" spans="1:23" ht="25.5" x14ac:dyDescent="0.25">
      <c r="A473" s="45" t="s">
        <v>2589</v>
      </c>
      <c r="B473" s="46">
        <v>44511</v>
      </c>
      <c r="C473" s="45" t="s">
        <v>3033</v>
      </c>
      <c r="D473" s="46" t="s">
        <v>1532</v>
      </c>
      <c r="E473" s="72" t="s">
        <v>1064</v>
      </c>
      <c r="F473" s="48" t="s">
        <v>3034</v>
      </c>
      <c r="G473" s="47" t="s">
        <v>3035</v>
      </c>
      <c r="H473" s="47" t="s">
        <v>3036</v>
      </c>
      <c r="I473" s="48" t="s">
        <v>763</v>
      </c>
      <c r="J473" s="48" t="s">
        <v>764</v>
      </c>
      <c r="K473" s="49" t="s">
        <v>16</v>
      </c>
      <c r="L473" s="49" t="s">
        <v>1413</v>
      </c>
      <c r="M473" s="49">
        <v>12</v>
      </c>
      <c r="N473" s="80">
        <f t="shared" si="89"/>
        <v>370</v>
      </c>
      <c r="O473" s="51">
        <v>1850</v>
      </c>
      <c r="P473" s="81" t="str">
        <f t="shared" si="90"/>
        <v>OK</v>
      </c>
      <c r="Q473" s="142"/>
      <c r="R473" s="76"/>
      <c r="S473" s="81" t="str">
        <f t="shared" si="91"/>
        <v/>
      </c>
      <c r="T473" s="81" t="str">
        <f t="shared" si="92"/>
        <v/>
      </c>
      <c r="U473" s="46">
        <v>44631</v>
      </c>
      <c r="V473" s="50">
        <f t="shared" si="87"/>
        <v>1850</v>
      </c>
      <c r="W473" s="53">
        <f t="shared" si="88"/>
        <v>0</v>
      </c>
    </row>
    <row r="474" spans="1:23" ht="51" x14ac:dyDescent="0.25">
      <c r="A474" s="35" t="s">
        <v>2590</v>
      </c>
      <c r="B474" s="36">
        <v>44424</v>
      </c>
      <c r="C474" s="35" t="s">
        <v>3037</v>
      </c>
      <c r="D474" s="36" t="s">
        <v>1770</v>
      </c>
      <c r="E474" s="73" t="s">
        <v>1771</v>
      </c>
      <c r="F474" s="38" t="s">
        <v>3038</v>
      </c>
      <c r="G474" s="37" t="s">
        <v>3039</v>
      </c>
      <c r="H474" s="37" t="s">
        <v>939</v>
      </c>
      <c r="I474" s="38" t="s">
        <v>1153</v>
      </c>
      <c r="J474" s="39" t="s">
        <v>1781</v>
      </c>
      <c r="K474" s="39" t="s">
        <v>5</v>
      </c>
      <c r="L474" s="39" t="s">
        <v>8</v>
      </c>
      <c r="M474" s="39">
        <v>2</v>
      </c>
      <c r="N474" s="86">
        <f t="shared" si="89"/>
        <v>370</v>
      </c>
      <c r="O474" s="41">
        <v>500</v>
      </c>
      <c r="P474" s="86" t="str">
        <f t="shared" si="90"/>
        <v>OK</v>
      </c>
      <c r="Q474" s="143"/>
      <c r="R474" s="78"/>
      <c r="S474" s="87" t="str">
        <f t="shared" si="91"/>
        <v/>
      </c>
      <c r="T474" s="87" t="str">
        <f t="shared" si="92"/>
        <v/>
      </c>
      <c r="U474" s="36">
        <v>44631</v>
      </c>
      <c r="V474" s="40">
        <f t="shared" si="87"/>
        <v>500</v>
      </c>
      <c r="W474" s="43">
        <f t="shared" si="88"/>
        <v>0</v>
      </c>
    </row>
    <row r="475" spans="1:23" ht="25.5" x14ac:dyDescent="0.25">
      <c r="A475" s="45" t="s">
        <v>2591</v>
      </c>
      <c r="B475" s="72">
        <v>44543</v>
      </c>
      <c r="C475" s="45" t="s">
        <v>3040</v>
      </c>
      <c r="D475" s="46" t="s">
        <v>3041</v>
      </c>
      <c r="E475" s="72" t="s">
        <v>1071</v>
      </c>
      <c r="F475" s="48" t="s">
        <v>3042</v>
      </c>
      <c r="G475" s="47" t="s">
        <v>3043</v>
      </c>
      <c r="H475" s="47" t="s">
        <v>1658</v>
      </c>
      <c r="I475" s="48" t="s">
        <v>1425</v>
      </c>
      <c r="J475" s="48" t="s">
        <v>1426</v>
      </c>
      <c r="K475" s="49" t="s">
        <v>432</v>
      </c>
      <c r="L475" s="49" t="s">
        <v>480</v>
      </c>
      <c r="M475" s="49">
        <v>1</v>
      </c>
      <c r="N475" s="80">
        <f t="shared" si="89"/>
        <v>300</v>
      </c>
      <c r="O475" s="51">
        <v>300</v>
      </c>
      <c r="P475" s="81" t="str">
        <f t="shared" si="90"/>
        <v>OK</v>
      </c>
      <c r="Q475" s="142"/>
      <c r="R475" s="76"/>
      <c r="S475" s="81" t="str">
        <f t="shared" si="91"/>
        <v/>
      </c>
      <c r="T475" s="81" t="str">
        <f t="shared" si="92"/>
        <v/>
      </c>
      <c r="U475" s="46">
        <v>44631</v>
      </c>
      <c r="V475" s="50">
        <f t="shared" si="87"/>
        <v>300</v>
      </c>
      <c r="W475" s="53">
        <f t="shared" si="88"/>
        <v>0</v>
      </c>
    </row>
    <row r="476" spans="1:23" ht="38.25" x14ac:dyDescent="0.25">
      <c r="A476" s="35" t="s">
        <v>2592</v>
      </c>
      <c r="B476" s="36">
        <v>43678</v>
      </c>
      <c r="C476" s="35" t="s">
        <v>3044</v>
      </c>
      <c r="D476" s="36" t="s">
        <v>1134</v>
      </c>
      <c r="E476" s="73" t="s">
        <v>1073</v>
      </c>
      <c r="F476" s="38" t="s">
        <v>3046</v>
      </c>
      <c r="G476" s="37" t="s">
        <v>3045</v>
      </c>
      <c r="H476" s="37" t="s">
        <v>3047</v>
      </c>
      <c r="I476" s="38" t="s">
        <v>724</v>
      </c>
      <c r="J476" s="39" t="s">
        <v>725</v>
      </c>
      <c r="K476" s="39" t="s">
        <v>31</v>
      </c>
      <c r="L476" s="39" t="s">
        <v>1413</v>
      </c>
      <c r="M476" s="39">
        <v>15</v>
      </c>
      <c r="N476" s="86">
        <f t="shared" si="89"/>
        <v>370</v>
      </c>
      <c r="O476" s="41">
        <v>370</v>
      </c>
      <c r="P476" s="86" t="str">
        <f t="shared" si="90"/>
        <v>OK</v>
      </c>
      <c r="Q476" s="143"/>
      <c r="R476" s="78"/>
      <c r="S476" s="87" t="str">
        <f t="shared" si="91"/>
        <v/>
      </c>
      <c r="T476" s="87" t="str">
        <f t="shared" si="92"/>
        <v/>
      </c>
      <c r="U476" s="36">
        <v>44632</v>
      </c>
      <c r="V476" s="40">
        <f t="shared" si="87"/>
        <v>370</v>
      </c>
      <c r="W476" s="43">
        <f t="shared" si="88"/>
        <v>0</v>
      </c>
    </row>
    <row r="477" spans="1:23" ht="25.5" x14ac:dyDescent="0.25">
      <c r="A477" s="45" t="s">
        <v>2593</v>
      </c>
      <c r="B477" s="46">
        <v>43678</v>
      </c>
      <c r="C477" s="45" t="s">
        <v>3048</v>
      </c>
      <c r="D477" s="46" t="s">
        <v>659</v>
      </c>
      <c r="E477" s="72" t="s">
        <v>1073</v>
      </c>
      <c r="F477" s="48" t="s">
        <v>3049</v>
      </c>
      <c r="G477" s="47" t="s">
        <v>3050</v>
      </c>
      <c r="H477" s="47" t="s">
        <v>3047</v>
      </c>
      <c r="I477" s="48" t="s">
        <v>724</v>
      </c>
      <c r="J477" s="48" t="s">
        <v>725</v>
      </c>
      <c r="K477" s="49" t="s">
        <v>31</v>
      </c>
      <c r="L477" s="49" t="s">
        <v>1413</v>
      </c>
      <c r="M477" s="49">
        <v>15</v>
      </c>
      <c r="N477" s="80">
        <v>370</v>
      </c>
      <c r="O477" s="51">
        <v>370</v>
      </c>
      <c r="P477" s="81" t="s">
        <v>1017</v>
      </c>
      <c r="Q477" s="142"/>
      <c r="R477" s="76"/>
      <c r="S477" s="81" t="s">
        <v>415</v>
      </c>
      <c r="T477" s="81" t="s">
        <v>415</v>
      </c>
      <c r="U477" s="46">
        <v>44632</v>
      </c>
      <c r="V477" s="50">
        <f t="shared" si="87"/>
        <v>370</v>
      </c>
      <c r="W477" s="53">
        <f t="shared" si="88"/>
        <v>0</v>
      </c>
    </row>
    <row r="478" spans="1:23" ht="38.25" x14ac:dyDescent="0.25">
      <c r="A478" s="35" t="s">
        <v>2594</v>
      </c>
      <c r="B478" s="36">
        <v>43678</v>
      </c>
      <c r="C478" s="35" t="s">
        <v>3051</v>
      </c>
      <c r="D478" s="36" t="s">
        <v>1134</v>
      </c>
      <c r="E478" s="73" t="s">
        <v>1073</v>
      </c>
      <c r="F478" s="38" t="s">
        <v>3052</v>
      </c>
      <c r="G478" s="37" t="s">
        <v>3053</v>
      </c>
      <c r="H478" s="37" t="s">
        <v>1165</v>
      </c>
      <c r="I478" s="38" t="s">
        <v>724</v>
      </c>
      <c r="J478" s="39" t="s">
        <v>725</v>
      </c>
      <c r="K478" s="39" t="s">
        <v>31</v>
      </c>
      <c r="L478" s="39" t="s">
        <v>1413</v>
      </c>
      <c r="M478" s="39">
        <v>15</v>
      </c>
      <c r="N478" s="86">
        <v>370</v>
      </c>
      <c r="O478" s="41">
        <v>370</v>
      </c>
      <c r="P478" s="86" t="s">
        <v>1017</v>
      </c>
      <c r="Q478" s="143"/>
      <c r="R478" s="78"/>
      <c r="S478" s="87" t="s">
        <v>415</v>
      </c>
      <c r="T478" s="87" t="s">
        <v>415</v>
      </c>
      <c r="U478" s="36">
        <v>44633</v>
      </c>
      <c r="V478" s="40">
        <f t="shared" si="87"/>
        <v>370</v>
      </c>
      <c r="W478" s="43">
        <f t="shared" si="88"/>
        <v>0</v>
      </c>
    </row>
    <row r="479" spans="1:23" ht="25.5" x14ac:dyDescent="0.25">
      <c r="A479" s="45" t="s">
        <v>2595</v>
      </c>
      <c r="B479" s="46">
        <v>43678</v>
      </c>
      <c r="C479" s="45" t="s">
        <v>3054</v>
      </c>
      <c r="D479" s="46" t="s">
        <v>3055</v>
      </c>
      <c r="E479" s="72" t="s">
        <v>3056</v>
      </c>
      <c r="F479" s="48" t="s">
        <v>3057</v>
      </c>
      <c r="G479" s="47" t="s">
        <v>3058</v>
      </c>
      <c r="H479" s="47" t="s">
        <v>3059</v>
      </c>
      <c r="I479" s="48" t="s">
        <v>724</v>
      </c>
      <c r="J479" s="48" t="s">
        <v>725</v>
      </c>
      <c r="K479" s="49" t="s">
        <v>31</v>
      </c>
      <c r="L479" s="49" t="s">
        <v>1413</v>
      </c>
      <c r="M479" s="49">
        <v>15</v>
      </c>
      <c r="N479" s="80">
        <v>370</v>
      </c>
      <c r="O479" s="51">
        <v>370</v>
      </c>
      <c r="P479" s="81" t="s">
        <v>1017</v>
      </c>
      <c r="Q479" s="142"/>
      <c r="R479" s="76"/>
      <c r="S479" s="81" t="s">
        <v>415</v>
      </c>
      <c r="T479" s="81" t="s">
        <v>415</v>
      </c>
      <c r="U479" s="46">
        <v>44633</v>
      </c>
      <c r="V479" s="50">
        <f t="shared" si="87"/>
        <v>370</v>
      </c>
      <c r="W479" s="53">
        <f t="shared" si="88"/>
        <v>0</v>
      </c>
    </row>
    <row r="480" spans="1:23" ht="51" x14ac:dyDescent="0.25">
      <c r="A480" s="35" t="s">
        <v>2596</v>
      </c>
      <c r="B480" s="36">
        <v>44498</v>
      </c>
      <c r="C480" s="35" t="s">
        <v>3060</v>
      </c>
      <c r="D480" s="36" t="s">
        <v>501</v>
      </c>
      <c r="E480" s="73" t="s">
        <v>1072</v>
      </c>
      <c r="F480" s="38" t="s">
        <v>3061</v>
      </c>
      <c r="G480" s="37" t="s">
        <v>3062</v>
      </c>
      <c r="H480" s="37" t="s">
        <v>3063</v>
      </c>
      <c r="I480" s="38" t="s">
        <v>3064</v>
      </c>
      <c r="J480" s="39" t="s">
        <v>3065</v>
      </c>
      <c r="K480" s="39" t="s">
        <v>16</v>
      </c>
      <c r="L480" s="39" t="s">
        <v>1413</v>
      </c>
      <c r="M480" s="39">
        <v>12</v>
      </c>
      <c r="N480" s="86">
        <f>IF(M480="","",IF(M480=1,300,IF(M480=2,370,IF(M480=3,630,IF(M480=4,830,IF(M480=5,370,IF(M480=6,430,IF(M480=7,530,IF(M480=8,370,IF(M480=9,700,IF(M480=10,870,IF(M480=11,370,IF(M480=12,370,IF(M480=13,370,IF(M480=13,370,IF(M480=14,370,IF(M480=15,370,IF(M480=16,300,IF(M480=17,300,IF(M480=18,170,IF(M480=19,330)))))))))))))))))))))</f>
        <v>370</v>
      </c>
      <c r="O480" s="41">
        <v>1100</v>
      </c>
      <c r="P480" s="86" t="str">
        <f>IF(M480="","",IF(O480&gt;(5*N480),"ACIMA","OK"))</f>
        <v>OK</v>
      </c>
      <c r="Q480" s="143"/>
      <c r="R480" s="78"/>
      <c r="S480" s="87" t="str">
        <f>IF(R480="","",R480/O480)</f>
        <v/>
      </c>
      <c r="T480" s="87" t="str">
        <f>IF(S480="","",IF(S480&gt;$Z$5,"ACIMA","OK"))</f>
        <v/>
      </c>
      <c r="U480" s="36">
        <v>44631</v>
      </c>
      <c r="V480" s="40">
        <f t="shared" si="87"/>
        <v>1100</v>
      </c>
      <c r="W480" s="43">
        <f t="shared" si="88"/>
        <v>0</v>
      </c>
    </row>
    <row r="481" spans="1:23" ht="25.5" x14ac:dyDescent="0.25">
      <c r="A481" s="45" t="s">
        <v>2597</v>
      </c>
      <c r="B481" s="46">
        <v>43678</v>
      </c>
      <c r="C481" s="45" t="s">
        <v>3066</v>
      </c>
      <c r="D481" s="46" t="s">
        <v>659</v>
      </c>
      <c r="E481" s="72" t="s">
        <v>1073</v>
      </c>
      <c r="F481" s="48" t="s">
        <v>3067</v>
      </c>
      <c r="G481" s="47" t="s">
        <v>3068</v>
      </c>
      <c r="H481" s="47" t="s">
        <v>3047</v>
      </c>
      <c r="I481" s="48" t="s">
        <v>724</v>
      </c>
      <c r="J481" s="48" t="s">
        <v>725</v>
      </c>
      <c r="K481" s="49" t="s">
        <v>31</v>
      </c>
      <c r="L481" s="49" t="s">
        <v>1413</v>
      </c>
      <c r="M481" s="49">
        <v>15</v>
      </c>
      <c r="N481" s="80">
        <v>370</v>
      </c>
      <c r="O481" s="51">
        <v>370</v>
      </c>
      <c r="P481" s="81" t="s">
        <v>1017</v>
      </c>
      <c r="Q481" s="142"/>
      <c r="R481" s="76"/>
      <c r="S481" s="81" t="s">
        <v>415</v>
      </c>
      <c r="T481" s="81" t="s">
        <v>415</v>
      </c>
      <c r="U481" s="46">
        <v>44633</v>
      </c>
      <c r="V481" s="50">
        <f t="shared" si="87"/>
        <v>370</v>
      </c>
      <c r="W481" s="53">
        <f t="shared" si="88"/>
        <v>0</v>
      </c>
    </row>
    <row r="482" spans="1:23" ht="25.5" x14ac:dyDescent="0.25">
      <c r="A482" s="35" t="s">
        <v>2598</v>
      </c>
      <c r="B482" s="36">
        <v>43678</v>
      </c>
      <c r="C482" s="35" t="s">
        <v>3069</v>
      </c>
      <c r="D482" s="36" t="s">
        <v>1134</v>
      </c>
      <c r="E482" s="73" t="s">
        <v>1073</v>
      </c>
      <c r="F482" s="38" t="s">
        <v>3070</v>
      </c>
      <c r="G482" s="37" t="s">
        <v>3071</v>
      </c>
      <c r="H482" s="37" t="s">
        <v>1165</v>
      </c>
      <c r="I482" s="38" t="s">
        <v>724</v>
      </c>
      <c r="J482" s="39" t="s">
        <v>725</v>
      </c>
      <c r="K482" s="39" t="s">
        <v>31</v>
      </c>
      <c r="L482" s="39" t="s">
        <v>1413</v>
      </c>
      <c r="M482" s="39">
        <v>15</v>
      </c>
      <c r="N482" s="86">
        <v>370</v>
      </c>
      <c r="O482" s="41">
        <v>370</v>
      </c>
      <c r="P482" s="86" t="s">
        <v>1017</v>
      </c>
      <c r="Q482" s="143"/>
      <c r="R482" s="78"/>
      <c r="S482" s="87" t="s">
        <v>415</v>
      </c>
      <c r="T482" s="87" t="s">
        <v>415</v>
      </c>
      <c r="U482" s="36">
        <v>44632</v>
      </c>
      <c r="V482" s="40">
        <f t="shared" si="87"/>
        <v>370</v>
      </c>
      <c r="W482" s="43">
        <f t="shared" si="88"/>
        <v>0</v>
      </c>
    </row>
    <row r="483" spans="1:23" ht="25.5" x14ac:dyDescent="0.25">
      <c r="A483" s="45" t="s">
        <v>2599</v>
      </c>
      <c r="B483" s="46">
        <v>43678</v>
      </c>
      <c r="C483" s="45" t="s">
        <v>3072</v>
      </c>
      <c r="D483" s="46" t="s">
        <v>659</v>
      </c>
      <c r="E483" s="72" t="s">
        <v>1073</v>
      </c>
      <c r="F483" s="48" t="s">
        <v>3073</v>
      </c>
      <c r="G483" s="47" t="s">
        <v>3074</v>
      </c>
      <c r="H483" s="47" t="s">
        <v>1165</v>
      </c>
      <c r="I483" s="48" t="s">
        <v>724</v>
      </c>
      <c r="J483" s="48" t="s">
        <v>725</v>
      </c>
      <c r="K483" s="49" t="s">
        <v>31</v>
      </c>
      <c r="L483" s="49" t="s">
        <v>1413</v>
      </c>
      <c r="M483" s="49">
        <v>15</v>
      </c>
      <c r="N483" s="80">
        <v>370</v>
      </c>
      <c r="O483" s="51">
        <v>370</v>
      </c>
      <c r="P483" s="81" t="s">
        <v>1017</v>
      </c>
      <c r="Q483" s="142"/>
      <c r="R483" s="76"/>
      <c r="S483" s="81" t="s">
        <v>415</v>
      </c>
      <c r="T483" s="81" t="s">
        <v>415</v>
      </c>
      <c r="U483" s="46">
        <v>44632</v>
      </c>
      <c r="V483" s="50">
        <f t="shared" si="87"/>
        <v>370</v>
      </c>
      <c r="W483" s="53">
        <f t="shared" si="88"/>
        <v>0</v>
      </c>
    </row>
    <row r="484" spans="1:23" x14ac:dyDescent="0.25">
      <c r="A484" s="35" t="s">
        <v>2600</v>
      </c>
      <c r="B484" s="36"/>
      <c r="C484" s="35"/>
      <c r="D484" s="36"/>
      <c r="E484" s="73"/>
      <c r="F484" s="38"/>
      <c r="G484" s="37"/>
      <c r="H484" s="37"/>
      <c r="I484" s="38"/>
      <c r="J484" s="39"/>
      <c r="K484" s="39"/>
      <c r="L484" s="39"/>
      <c r="M484" s="39"/>
      <c r="N484" s="86"/>
      <c r="O484" s="41"/>
      <c r="P484" s="86"/>
      <c r="Q484" s="143"/>
      <c r="R484" s="78"/>
      <c r="S484" s="87"/>
      <c r="T484" s="87"/>
      <c r="U484" s="36"/>
      <c r="V484" s="40" t="str">
        <f t="shared" ref="V484:V547" si="93">IF(M484="","",O484-R484)</f>
        <v/>
      </c>
      <c r="W484" s="43" t="str">
        <f t="shared" ref="W484:W547" si="94">IF(M484="","",IF(AND(M484&gt;0,U484=""),V484,O484-(R484+V484)))</f>
        <v/>
      </c>
    </row>
    <row r="485" spans="1:23" ht="25.5" x14ac:dyDescent="0.25">
      <c r="A485" s="45" t="s">
        <v>2601</v>
      </c>
      <c r="B485" s="46">
        <v>44497</v>
      </c>
      <c r="C485" s="45" t="s">
        <v>3078</v>
      </c>
      <c r="D485" s="46" t="s">
        <v>1000</v>
      </c>
      <c r="E485" s="72" t="s">
        <v>1064</v>
      </c>
      <c r="F485" s="48" t="s">
        <v>3079</v>
      </c>
      <c r="G485" s="47" t="s">
        <v>3080</v>
      </c>
      <c r="H485" s="47" t="s">
        <v>3081</v>
      </c>
      <c r="I485" s="48" t="s">
        <v>2322</v>
      </c>
      <c r="J485" s="48" t="s">
        <v>2323</v>
      </c>
      <c r="K485" s="49" t="s">
        <v>37</v>
      </c>
      <c r="L485" s="49"/>
      <c r="M485" s="49">
        <v>16</v>
      </c>
      <c r="N485" s="80">
        <f>IF(M485="","",IF(M485=1,300,IF(M485=2,370,IF(M485=3,630,IF(M485=4,830,IF(M485=5,370,IF(M485=6,430,IF(M485=7,530,IF(M485=8,370,IF(M485=9,700,IF(M485=10,870,IF(M485=11,370,IF(M485=12,370,IF(M485=13,370,IF(M485=13,370,IF(M485=14,370,IF(M485=15,370,IF(M485=16,300,IF(M485=17,300,IF(M485=18,170,IF(M485=19,330)))))))))))))))))))))</f>
        <v>300</v>
      </c>
      <c r="O485" s="51">
        <v>300</v>
      </c>
      <c r="P485" s="81" t="str">
        <f>IF(M485="","",IF(O485&gt;(5*N485),"ACIMA","OK"))</f>
        <v>OK</v>
      </c>
      <c r="Q485" s="142"/>
      <c r="R485" s="76"/>
      <c r="S485" s="81" t="str">
        <f>IF(R485="","",R485/O485)</f>
        <v/>
      </c>
      <c r="T485" s="81" t="str">
        <f>IF(S485="","",IF(S485&gt;$Z$5,"ACIMA","OK"))</f>
        <v/>
      </c>
      <c r="U485" s="46">
        <v>44638</v>
      </c>
      <c r="V485" s="50">
        <f t="shared" si="93"/>
        <v>300</v>
      </c>
      <c r="W485" s="53">
        <f t="shared" si="94"/>
        <v>0</v>
      </c>
    </row>
    <row r="486" spans="1:23" ht="25.5" x14ac:dyDescent="0.25">
      <c r="A486" s="35" t="s">
        <v>2602</v>
      </c>
      <c r="B486" s="36">
        <v>44497</v>
      </c>
      <c r="C486" s="35" t="s">
        <v>3082</v>
      </c>
      <c r="D486" s="36" t="s">
        <v>1000</v>
      </c>
      <c r="E486" s="73" t="s">
        <v>1064</v>
      </c>
      <c r="F486" s="38" t="s">
        <v>3083</v>
      </c>
      <c r="G486" s="37" t="s">
        <v>3084</v>
      </c>
      <c r="H486" s="37" t="s">
        <v>3085</v>
      </c>
      <c r="I486" s="38" t="s">
        <v>2322</v>
      </c>
      <c r="J486" s="39" t="s">
        <v>2323</v>
      </c>
      <c r="K486" s="39" t="s">
        <v>37</v>
      </c>
      <c r="L486" s="39"/>
      <c r="M486" s="39">
        <v>16</v>
      </c>
      <c r="N486" s="86">
        <v>300</v>
      </c>
      <c r="O486" s="41">
        <v>300</v>
      </c>
      <c r="P486" s="86" t="s">
        <v>1017</v>
      </c>
      <c r="Q486" s="143"/>
      <c r="R486" s="78"/>
      <c r="S486" s="87" t="s">
        <v>415</v>
      </c>
      <c r="T486" s="87" t="s">
        <v>415</v>
      </c>
      <c r="U486" s="36">
        <v>44638</v>
      </c>
      <c r="V486" s="40">
        <f t="shared" si="93"/>
        <v>300</v>
      </c>
      <c r="W486" s="43">
        <f t="shared" si="94"/>
        <v>0</v>
      </c>
    </row>
    <row r="487" spans="1:23" ht="25.5" x14ac:dyDescent="0.25">
      <c r="A487" s="45" t="s">
        <v>2603</v>
      </c>
      <c r="B487" s="46">
        <v>44496</v>
      </c>
      <c r="C487" s="45" t="s">
        <v>3086</v>
      </c>
      <c r="D487" s="46" t="s">
        <v>1000</v>
      </c>
      <c r="E487" s="72" t="s">
        <v>1064</v>
      </c>
      <c r="F487" s="48" t="s">
        <v>3087</v>
      </c>
      <c r="G487" s="47" t="s">
        <v>3088</v>
      </c>
      <c r="H487" s="47" t="s">
        <v>3089</v>
      </c>
      <c r="I487" s="48" t="s">
        <v>2151</v>
      </c>
      <c r="J487" s="48" t="s">
        <v>3090</v>
      </c>
      <c r="K487" s="49" t="s">
        <v>37</v>
      </c>
      <c r="L487" s="49"/>
      <c r="M487" s="49">
        <v>16</v>
      </c>
      <c r="N487" s="80">
        <f>IF(M487="","",IF(M487=1,300,IF(M487=2,370,IF(M487=3,630,IF(M487=4,830,IF(M487=5,370,IF(M487=6,430,IF(M487=7,530,IF(M487=8,370,IF(M487=9,700,IF(M487=10,870,IF(M487=11,370,IF(M487=12,370,IF(M487=13,370,IF(M487=13,370,IF(M487=14,370,IF(M487=15,370,IF(M487=16,300,IF(M487=17,300,IF(M487=18,170,IF(M487=19,330)))))))))))))))))))))</f>
        <v>300</v>
      </c>
      <c r="O487" s="51">
        <v>300</v>
      </c>
      <c r="P487" s="81" t="str">
        <f>IF(M487="","",IF(O487&gt;(5*N487),"ACIMA","OK"))</f>
        <v>OK</v>
      </c>
      <c r="Q487" s="142"/>
      <c r="R487" s="76"/>
      <c r="S487" s="81" t="str">
        <f>IF(R487="","",R487/O487)</f>
        <v/>
      </c>
      <c r="T487" s="81" t="str">
        <f>IF(S487="","",IF(S487&gt;$Z$5,"ACIMA","OK"))</f>
        <v/>
      </c>
      <c r="U487" s="46">
        <v>44638</v>
      </c>
      <c r="V487" s="50">
        <f t="shared" si="93"/>
        <v>300</v>
      </c>
      <c r="W487" s="53">
        <f t="shared" si="94"/>
        <v>0</v>
      </c>
    </row>
    <row r="488" spans="1:23" ht="25.5" x14ac:dyDescent="0.25">
      <c r="A488" s="35" t="s">
        <v>2604</v>
      </c>
      <c r="B488" s="36">
        <v>44638</v>
      </c>
      <c r="C488" s="35" t="s">
        <v>3091</v>
      </c>
      <c r="D488" s="36" t="s">
        <v>1804</v>
      </c>
      <c r="E488" s="73" t="s">
        <v>1726</v>
      </c>
      <c r="F488" s="38" t="s">
        <v>3092</v>
      </c>
      <c r="G488" s="37" t="s">
        <v>3093</v>
      </c>
      <c r="H488" s="37" t="s">
        <v>3094</v>
      </c>
      <c r="I488" s="38" t="s">
        <v>1729</v>
      </c>
      <c r="J488" s="39" t="s">
        <v>2167</v>
      </c>
      <c r="K488" s="39" t="s">
        <v>31</v>
      </c>
      <c r="L488" s="39" t="s">
        <v>1413</v>
      </c>
      <c r="M488" s="39">
        <v>15</v>
      </c>
      <c r="N488" s="86">
        <f>IF(M488="","",IF(M488=1,300,IF(M488=2,370,IF(M488=3,630,IF(M488=4,830,IF(M488=5,370,IF(M488=6,430,IF(M488=7,530,IF(M488=8,370,IF(M488=9,700,IF(M488=10,870,IF(M488=11,370,IF(M488=12,370,IF(M488=13,370,IF(M488=13,370,IF(M488=14,370,IF(M488=15,370,IF(M488=16,300,IF(M488=17,300,IF(M488=18,170,IF(M488=19,330)))))))))))))))))))))</f>
        <v>370</v>
      </c>
      <c r="O488" s="41">
        <v>300</v>
      </c>
      <c r="P488" s="86" t="str">
        <f>IF(M488="","",IF(O488&gt;(5*N488),"ACIMA","OK"))</f>
        <v>OK</v>
      </c>
      <c r="Q488" s="143"/>
      <c r="R488" s="78"/>
      <c r="S488" s="87" t="str">
        <f>IF(R488="","",R488/O488)</f>
        <v/>
      </c>
      <c r="T488" s="87" t="str">
        <f>IF(S488="","",IF(S488&gt;$Z$5,"ACIMA","OK"))</f>
        <v/>
      </c>
      <c r="U488" s="36">
        <v>44639</v>
      </c>
      <c r="V488" s="40">
        <f t="shared" si="93"/>
        <v>300</v>
      </c>
      <c r="W488" s="43">
        <f t="shared" si="94"/>
        <v>0</v>
      </c>
    </row>
    <row r="489" spans="1:23" ht="25.5" x14ac:dyDescent="0.25">
      <c r="A489" s="45" t="s">
        <v>2605</v>
      </c>
      <c r="B489" s="46">
        <v>44641</v>
      </c>
      <c r="C489" s="45" t="s">
        <v>3095</v>
      </c>
      <c r="D489" s="46" t="s">
        <v>466</v>
      </c>
      <c r="E489" s="72" t="s">
        <v>1070</v>
      </c>
      <c r="F489" s="48" t="s">
        <v>3096</v>
      </c>
      <c r="G489" s="47" t="s">
        <v>3097</v>
      </c>
      <c r="H489" s="47" t="s">
        <v>314</v>
      </c>
      <c r="I489" s="48" t="s">
        <v>320</v>
      </c>
      <c r="J489" s="48" t="s">
        <v>317</v>
      </c>
      <c r="K489" s="49" t="s">
        <v>16</v>
      </c>
      <c r="L489" s="49" t="s">
        <v>27</v>
      </c>
      <c r="M489" s="49">
        <v>11</v>
      </c>
      <c r="N489" s="80">
        <f>IF(M489="","",IF(M489=1,300,IF(M489=2,370,IF(M489=3,630,IF(M489=4,830,IF(M489=5,370,IF(M489=6,430,IF(M489=7,530,IF(M489=8,370,IF(M489=9,700,IF(M489=10,870,IF(M489=11,370,IF(M489=12,370,IF(M489=13,370,IF(M489=13,370,IF(M489=14,370,IF(M489=15,370,IF(M489=16,300,IF(M489=17,300,IF(M489=18,170,IF(M489=19,330)))))))))))))))))))))</f>
        <v>370</v>
      </c>
      <c r="O489" s="51">
        <v>370</v>
      </c>
      <c r="P489" s="81" t="str">
        <f>IF(M489="","",IF(O489&gt;(5*N489),"ACIMA","OK"))</f>
        <v>OK</v>
      </c>
      <c r="Q489" s="142"/>
      <c r="R489" s="76"/>
      <c r="S489" s="81" t="str">
        <f>IF(R489="","",R489/O489)</f>
        <v/>
      </c>
      <c r="T489" s="81" t="str">
        <f>IF(S489="","",IF(S489&gt;$Z$5,"ACIMA","OK"))</f>
        <v/>
      </c>
      <c r="U489" s="46">
        <v>44641</v>
      </c>
      <c r="V489" s="50">
        <f t="shared" si="93"/>
        <v>370</v>
      </c>
      <c r="W489" s="53">
        <f t="shared" si="94"/>
        <v>0</v>
      </c>
    </row>
    <row r="490" spans="1:23" ht="38.25" x14ac:dyDescent="0.25">
      <c r="A490" s="35" t="s">
        <v>2606</v>
      </c>
      <c r="B490" s="36">
        <v>44641</v>
      </c>
      <c r="C490" s="35" t="s">
        <v>3098</v>
      </c>
      <c r="D490" s="36" t="s">
        <v>1804</v>
      </c>
      <c r="E490" s="73" t="s">
        <v>1726</v>
      </c>
      <c r="F490" s="38" t="s">
        <v>3099</v>
      </c>
      <c r="G490" s="37" t="s">
        <v>3100</v>
      </c>
      <c r="H490" s="37" t="s">
        <v>3101</v>
      </c>
      <c r="I490" s="38" t="s">
        <v>1729</v>
      </c>
      <c r="J490" s="39" t="s">
        <v>2167</v>
      </c>
      <c r="K490" s="39" t="s">
        <v>31</v>
      </c>
      <c r="L490" s="39" t="s">
        <v>1413</v>
      </c>
      <c r="M490" s="39">
        <v>15</v>
      </c>
      <c r="N490" s="86">
        <f>IF(M490="","",IF(M490=1,300,IF(M490=2,370,IF(M490=3,630,IF(M490=4,830,IF(M490=5,370,IF(M490=6,430,IF(M490=7,530,IF(M490=8,370,IF(M490=9,700,IF(M490=10,870,IF(M490=11,370,IF(M490=12,370,IF(M490=13,370,IF(M490=13,370,IF(M490=14,370,IF(M490=15,370,IF(M490=16,300,IF(M490=17,300,IF(M490=18,170,IF(M490=19,330)))))))))))))))))))))</f>
        <v>370</v>
      </c>
      <c r="O490" s="41">
        <v>300</v>
      </c>
      <c r="P490" s="86" t="str">
        <f>IF(M490="","",IF(O490&gt;(5*N490),"ACIMA","OK"))</f>
        <v>OK</v>
      </c>
      <c r="Q490" s="143"/>
      <c r="R490" s="78"/>
      <c r="S490" s="87" t="str">
        <f>IF(R490="","",R490/O490)</f>
        <v/>
      </c>
      <c r="T490" s="87" t="str">
        <f>IF(S490="","",IF(S490&gt;$Z$5,"ACIMA","OK"))</f>
        <v/>
      </c>
      <c r="U490" s="36">
        <v>44641</v>
      </c>
      <c r="V490" s="40">
        <f t="shared" si="93"/>
        <v>300</v>
      </c>
      <c r="W490" s="43">
        <f t="shared" si="94"/>
        <v>0</v>
      </c>
    </row>
    <row r="491" spans="1:23" ht="25.5" x14ac:dyDescent="0.25">
      <c r="A491" s="45" t="s">
        <v>2607</v>
      </c>
      <c r="B491" s="46">
        <v>44497</v>
      </c>
      <c r="C491" s="45" t="s">
        <v>3102</v>
      </c>
      <c r="D491" s="46" t="s">
        <v>2968</v>
      </c>
      <c r="E491" s="72" t="s">
        <v>1812</v>
      </c>
      <c r="F491" s="48" t="s">
        <v>3103</v>
      </c>
      <c r="G491" s="47" t="s">
        <v>3104</v>
      </c>
      <c r="H491" s="47" t="s">
        <v>437</v>
      </c>
      <c r="I491" s="48" t="s">
        <v>328</v>
      </c>
      <c r="J491" s="48" t="s">
        <v>3105</v>
      </c>
      <c r="K491" s="49" t="s">
        <v>31</v>
      </c>
      <c r="L491" s="49" t="s">
        <v>1413</v>
      </c>
      <c r="M491" s="49">
        <v>15</v>
      </c>
      <c r="N491" s="80">
        <f>IF(M491="","",IF(M491=1,300,IF(M491=2,370,IF(M491=3,630,IF(M491=4,830,IF(M491=5,370,IF(M491=6,430,IF(M491=7,530,IF(M491=8,370,IF(M491=9,700,IF(M491=10,870,IF(M491=11,370,IF(M491=12,370,IF(M491=13,370,IF(M491=13,370,IF(M491=14,370,IF(M491=15,370,IF(M491=16,300,IF(M491=17,300,IF(M491=18,170,IF(M491=19,330)))))))))))))))))))))</f>
        <v>370</v>
      </c>
      <c r="O491" s="51">
        <v>370</v>
      </c>
      <c r="P491" s="81" t="str">
        <f>IF(M491="","",IF(O491&gt;(5*N491),"ACIMA","OK"))</f>
        <v>OK</v>
      </c>
      <c r="Q491" s="142"/>
      <c r="R491" s="76"/>
      <c r="S491" s="81" t="str">
        <f>IF(R491="","",R491/O491)</f>
        <v/>
      </c>
      <c r="T491" s="81" t="str">
        <f>IF(S491="","",IF(S491&gt;$Z$5,"ACIMA","OK"))</f>
        <v/>
      </c>
      <c r="U491" s="46">
        <v>44638</v>
      </c>
      <c r="V491" s="50">
        <f t="shared" si="93"/>
        <v>370</v>
      </c>
      <c r="W491" s="53">
        <f t="shared" si="94"/>
        <v>0</v>
      </c>
    </row>
    <row r="492" spans="1:23" ht="25.5" x14ac:dyDescent="0.25">
      <c r="A492" s="35" t="s">
        <v>2608</v>
      </c>
      <c r="B492" s="36">
        <v>43678</v>
      </c>
      <c r="C492" s="35" t="s">
        <v>3106</v>
      </c>
      <c r="D492" s="36" t="s">
        <v>659</v>
      </c>
      <c r="E492" s="73" t="s">
        <v>1073</v>
      </c>
      <c r="F492" s="38" t="s">
        <v>3107</v>
      </c>
      <c r="G492" s="37" t="s">
        <v>3108</v>
      </c>
      <c r="H492" s="37" t="s">
        <v>1165</v>
      </c>
      <c r="I492" s="38" t="s">
        <v>724</v>
      </c>
      <c r="J492" s="39" t="s">
        <v>725</v>
      </c>
      <c r="K492" s="39" t="s">
        <v>31</v>
      </c>
      <c r="L492" s="39" t="s">
        <v>1413</v>
      </c>
      <c r="M492" s="39">
        <v>15</v>
      </c>
      <c r="N492" s="86">
        <v>370</v>
      </c>
      <c r="O492" s="41">
        <v>300</v>
      </c>
      <c r="P492" s="86" t="s">
        <v>1017</v>
      </c>
      <c r="Q492" s="143"/>
      <c r="R492" s="78"/>
      <c r="S492" s="87" t="s">
        <v>415</v>
      </c>
      <c r="T492" s="87" t="s">
        <v>415</v>
      </c>
      <c r="U492" s="36">
        <v>44630</v>
      </c>
      <c r="V492" s="40">
        <f t="shared" si="93"/>
        <v>300</v>
      </c>
      <c r="W492" s="43">
        <f t="shared" si="94"/>
        <v>0</v>
      </c>
    </row>
    <row r="493" spans="1:23" ht="25.5" x14ac:dyDescent="0.25">
      <c r="A493" s="45" t="s">
        <v>2609</v>
      </c>
      <c r="B493" s="46">
        <v>44641</v>
      </c>
      <c r="C493" s="45" t="s">
        <v>3109</v>
      </c>
      <c r="D493" s="46" t="s">
        <v>1173</v>
      </c>
      <c r="E493" s="72" t="s">
        <v>1311</v>
      </c>
      <c r="F493" s="48" t="s">
        <v>3110</v>
      </c>
      <c r="G493" s="47" t="s">
        <v>3111</v>
      </c>
      <c r="H493" s="47" t="s">
        <v>3112</v>
      </c>
      <c r="I493" s="48" t="s">
        <v>1189</v>
      </c>
      <c r="J493" s="48" t="s">
        <v>743</v>
      </c>
      <c r="K493" s="49" t="s">
        <v>31</v>
      </c>
      <c r="L493" s="49" t="s">
        <v>32</v>
      </c>
      <c r="M493" s="49">
        <v>13</v>
      </c>
      <c r="N493" s="80">
        <f>IF(M493="","",IF(M493=1,300,IF(M493=2,370,IF(M493=3,630,IF(M493=4,830,IF(M493=5,370,IF(M493=6,430,IF(M493=7,530,IF(M493=8,370,IF(M493=9,700,IF(M493=10,870,IF(M493=11,370,IF(M493=12,370,IF(M493=13,370,IF(M493=13,370,IF(M493=14,370,IF(M493=15,370,IF(M493=16,300,IF(M493=17,300,IF(M493=18,170,IF(M493=19,330)))))))))))))))))))))</f>
        <v>370</v>
      </c>
      <c r="O493" s="51">
        <v>370</v>
      </c>
      <c r="P493" s="81" t="str">
        <f>IF(M493="","",IF(O493&gt;(5*N493),"ACIMA","OK"))</f>
        <v>OK</v>
      </c>
      <c r="Q493" s="142"/>
      <c r="R493" s="76"/>
      <c r="S493" s="81" t="str">
        <f>IF(R493="","",R493/O493)</f>
        <v/>
      </c>
      <c r="T493" s="81" t="str">
        <f>IF(S493="","",IF(S493&gt;$Z$5,"ACIMA","OK"))</f>
        <v/>
      </c>
      <c r="U493" s="46">
        <v>44642</v>
      </c>
      <c r="V493" s="50">
        <f t="shared" si="93"/>
        <v>370</v>
      </c>
      <c r="W493" s="53">
        <f t="shared" si="94"/>
        <v>0</v>
      </c>
    </row>
    <row r="494" spans="1:23" ht="25.5" x14ac:dyDescent="0.25">
      <c r="A494" s="35" t="s">
        <v>2610</v>
      </c>
      <c r="B494" s="36">
        <v>44631</v>
      </c>
      <c r="C494" s="35" t="s">
        <v>3114</v>
      </c>
      <c r="D494" s="36" t="s">
        <v>466</v>
      </c>
      <c r="E494" s="73" t="s">
        <v>1070</v>
      </c>
      <c r="F494" s="38" t="s">
        <v>3124</v>
      </c>
      <c r="G494" s="37" t="s">
        <v>3125</v>
      </c>
      <c r="H494" s="37" t="s">
        <v>1708</v>
      </c>
      <c r="I494" s="38" t="s">
        <v>320</v>
      </c>
      <c r="J494" s="39" t="s">
        <v>317</v>
      </c>
      <c r="K494" s="39" t="s">
        <v>16</v>
      </c>
      <c r="L494" s="39" t="s">
        <v>27</v>
      </c>
      <c r="M494" s="39">
        <v>11</v>
      </c>
      <c r="N494" s="86">
        <f>IF(M494="","",IF(M494=1,300,IF(M494=2,370,IF(M494=3,630,IF(M494=4,830,IF(M494=5,370,IF(M494=6,430,IF(M494=7,530,IF(M494=8,370,IF(M494=9,700,IF(M494=10,870,IF(M494=11,370,IF(M494=12,370,IF(M494=13,370,IF(M494=13,370,IF(M494=14,370,IF(M494=15,370,IF(M494=16,300,IF(M494=17,300,IF(M494=18,170,IF(M494=19,330)))))))))))))))))))))</f>
        <v>370</v>
      </c>
      <c r="O494" s="41">
        <v>370</v>
      </c>
      <c r="P494" s="86" t="str">
        <f>IF(M494="","",IF(O494&gt;(5*N494),"ACIMA","OK"))</f>
        <v>OK</v>
      </c>
      <c r="Q494" s="143"/>
      <c r="R494" s="78"/>
      <c r="S494" s="87" t="str">
        <f>IF(R494="","",R494/O494)</f>
        <v/>
      </c>
      <c r="T494" s="87" t="str">
        <f>IF(S494="","",IF(S494&gt;$Z$5,"ACIMA","OK"))</f>
        <v/>
      </c>
      <c r="U494" s="36">
        <v>44634</v>
      </c>
      <c r="V494" s="40">
        <f t="shared" si="93"/>
        <v>370</v>
      </c>
      <c r="W494" s="43">
        <f t="shared" si="94"/>
        <v>0</v>
      </c>
    </row>
    <row r="495" spans="1:23" ht="25.5" x14ac:dyDescent="0.25">
      <c r="A495" s="45" t="s">
        <v>2611</v>
      </c>
      <c r="B495" s="46">
        <v>44631</v>
      </c>
      <c r="C495" s="45" t="s">
        <v>3115</v>
      </c>
      <c r="D495" s="46" t="s">
        <v>868</v>
      </c>
      <c r="E495" s="72" t="s">
        <v>1070</v>
      </c>
      <c r="F495" s="48" t="s">
        <v>3126</v>
      </c>
      <c r="G495" s="47" t="s">
        <v>3127</v>
      </c>
      <c r="H495" s="47" t="s">
        <v>1768</v>
      </c>
      <c r="I495" s="48" t="s">
        <v>320</v>
      </c>
      <c r="J495" s="48" t="s">
        <v>317</v>
      </c>
      <c r="K495" s="49" t="s">
        <v>16</v>
      </c>
      <c r="L495" s="49" t="s">
        <v>27</v>
      </c>
      <c r="M495" s="49">
        <v>11</v>
      </c>
      <c r="N495" s="80">
        <v>370</v>
      </c>
      <c r="O495" s="51">
        <v>370</v>
      </c>
      <c r="P495" s="81" t="s">
        <v>1017</v>
      </c>
      <c r="Q495" s="142"/>
      <c r="R495" s="76"/>
      <c r="S495" s="81" t="s">
        <v>415</v>
      </c>
      <c r="T495" s="81" t="s">
        <v>415</v>
      </c>
      <c r="U495" s="46">
        <v>44634</v>
      </c>
      <c r="V495" s="50">
        <f t="shared" si="93"/>
        <v>370</v>
      </c>
      <c r="W495" s="53">
        <f t="shared" si="94"/>
        <v>0</v>
      </c>
    </row>
    <row r="496" spans="1:23" ht="38.25" x14ac:dyDescent="0.25">
      <c r="A496" s="35" t="s">
        <v>2612</v>
      </c>
      <c r="B496" s="36">
        <v>44634</v>
      </c>
      <c r="C496" s="35" t="s">
        <v>3116</v>
      </c>
      <c r="D496" s="36" t="s">
        <v>501</v>
      </c>
      <c r="E496" s="73" t="s">
        <v>1072</v>
      </c>
      <c r="F496" s="38" t="s">
        <v>3128</v>
      </c>
      <c r="G496" s="37" t="s">
        <v>3129</v>
      </c>
      <c r="H496" s="37" t="s">
        <v>437</v>
      </c>
      <c r="I496" s="38" t="s">
        <v>2225</v>
      </c>
      <c r="J496" s="39" t="s">
        <v>2226</v>
      </c>
      <c r="K496" s="39" t="s">
        <v>31</v>
      </c>
      <c r="L496" s="39" t="s">
        <v>29</v>
      </c>
      <c r="M496" s="39">
        <v>15</v>
      </c>
      <c r="N496" s="86">
        <f>IF(M496="","",IF(M496=1,300,IF(M496=2,370,IF(M496=3,630,IF(M496=4,830,IF(M496=5,370,IF(M496=6,430,IF(M496=7,530,IF(M496=8,370,IF(M496=9,700,IF(M496=10,870,IF(M496=11,370,IF(M496=12,370,IF(M496=13,370,IF(M496=13,370,IF(M496=14,370,IF(M496=15,370,IF(M496=16,300,IF(M496=17,300,IF(M496=18,170,IF(M496=19,330)))))))))))))))))))))</f>
        <v>370</v>
      </c>
      <c r="O496" s="41">
        <v>370</v>
      </c>
      <c r="P496" s="86" t="str">
        <f>IF(M496="","",IF(O496&gt;(5*N496),"ACIMA","OK"))</f>
        <v>OK</v>
      </c>
      <c r="Q496" s="143"/>
      <c r="R496" s="78"/>
      <c r="S496" s="87" t="str">
        <f>IF(R496="","",R496/O496)</f>
        <v/>
      </c>
      <c r="T496" s="87" t="str">
        <f>IF(S496="","",IF(S496&gt;$Z$5,"ACIMA","OK"))</f>
        <v/>
      </c>
      <c r="U496" s="36">
        <v>44634</v>
      </c>
      <c r="V496" s="40">
        <f t="shared" si="93"/>
        <v>370</v>
      </c>
      <c r="W496" s="43">
        <f t="shared" si="94"/>
        <v>0</v>
      </c>
    </row>
    <row r="497" spans="1:23" ht="25.5" x14ac:dyDescent="0.25">
      <c r="A497" s="45" t="s">
        <v>2613</v>
      </c>
      <c r="B497" s="46">
        <v>44631</v>
      </c>
      <c r="C497" s="45" t="s">
        <v>3117</v>
      </c>
      <c r="D497" s="46" t="s">
        <v>466</v>
      </c>
      <c r="E497" s="72" t="s">
        <v>1070</v>
      </c>
      <c r="F497" s="48" t="s">
        <v>3130</v>
      </c>
      <c r="G497" s="47" t="s">
        <v>3131</v>
      </c>
      <c r="H497" s="47" t="s">
        <v>314</v>
      </c>
      <c r="I497" s="48" t="s">
        <v>320</v>
      </c>
      <c r="J497" s="48" t="s">
        <v>317</v>
      </c>
      <c r="K497" s="49" t="s">
        <v>16</v>
      </c>
      <c r="L497" s="49" t="s">
        <v>27</v>
      </c>
      <c r="M497" s="49">
        <v>11</v>
      </c>
      <c r="N497" s="80">
        <v>370</v>
      </c>
      <c r="O497" s="51">
        <v>370</v>
      </c>
      <c r="P497" s="81" t="s">
        <v>1017</v>
      </c>
      <c r="Q497" s="142"/>
      <c r="R497" s="76"/>
      <c r="S497" s="81" t="s">
        <v>415</v>
      </c>
      <c r="T497" s="81" t="s">
        <v>415</v>
      </c>
      <c r="U497" s="46">
        <v>44634</v>
      </c>
      <c r="V497" s="50">
        <f t="shared" si="93"/>
        <v>370</v>
      </c>
      <c r="W497" s="53">
        <f t="shared" si="94"/>
        <v>0</v>
      </c>
    </row>
    <row r="498" spans="1:23" ht="38.25" x14ac:dyDescent="0.25">
      <c r="A498" s="35" t="s">
        <v>2614</v>
      </c>
      <c r="B498" s="36">
        <v>44636</v>
      </c>
      <c r="C498" s="35" t="s">
        <v>3118</v>
      </c>
      <c r="D498" s="36" t="s">
        <v>1211</v>
      </c>
      <c r="E498" s="73" t="s">
        <v>1071</v>
      </c>
      <c r="F498" s="38" t="s">
        <v>2346</v>
      </c>
      <c r="G498" s="37" t="s">
        <v>2347</v>
      </c>
      <c r="H498" s="37" t="s">
        <v>2348</v>
      </c>
      <c r="I498" s="38" t="s">
        <v>320</v>
      </c>
      <c r="J498" s="39" t="s">
        <v>317</v>
      </c>
      <c r="K498" s="39" t="s">
        <v>16</v>
      </c>
      <c r="L498" s="39" t="s">
        <v>27</v>
      </c>
      <c r="M498" s="39">
        <v>11</v>
      </c>
      <c r="N498" s="86">
        <f>IF(M498="","",IF(M498=1,300,IF(M498=2,370,IF(M498=3,630,IF(M498=4,830,IF(M498=5,370,IF(M498=6,430,IF(M498=7,530,IF(M498=8,370,IF(M498=9,700,IF(M498=10,870,IF(M498=11,370,IF(M498=12,370,IF(M498=13,370,IF(M498=13,370,IF(M498=14,370,IF(M498=15,370,IF(M498=16,300,IF(M498=17,300,IF(M498=18,170,IF(M498=19,330)))))))))))))))))))))</f>
        <v>370</v>
      </c>
      <c r="O498" s="41">
        <v>300</v>
      </c>
      <c r="P498" s="86" t="str">
        <f>IF(M498="","",IF(O498&gt;(5*N498),"ACIMA","OK"))</f>
        <v>OK</v>
      </c>
      <c r="Q498" s="143"/>
      <c r="R498" s="78"/>
      <c r="S498" s="87" t="str">
        <f>IF(R498="","",R498/O498)</f>
        <v/>
      </c>
      <c r="T498" s="87" t="str">
        <f>IF(S498="","",IF(S498&gt;$Z$5,"ACIMA","OK"))</f>
        <v/>
      </c>
      <c r="U498" s="36">
        <v>44637</v>
      </c>
      <c r="V498" s="40">
        <f t="shared" si="93"/>
        <v>300</v>
      </c>
      <c r="W498" s="43">
        <f t="shared" si="94"/>
        <v>0</v>
      </c>
    </row>
    <row r="499" spans="1:23" ht="25.5" x14ac:dyDescent="0.25">
      <c r="A499" s="45" t="s">
        <v>2615</v>
      </c>
      <c r="B499" s="46">
        <v>44623</v>
      </c>
      <c r="C499" s="45" t="s">
        <v>3119</v>
      </c>
      <c r="D499" s="46" t="s">
        <v>1079</v>
      </c>
      <c r="E499" s="72" t="s">
        <v>980</v>
      </c>
      <c r="F499" s="48" t="s">
        <v>3132</v>
      </c>
      <c r="G499" s="47" t="s">
        <v>3133</v>
      </c>
      <c r="H499" s="47" t="s">
        <v>3134</v>
      </c>
      <c r="I499" s="48" t="s">
        <v>2238</v>
      </c>
      <c r="J499" s="48" t="s">
        <v>2239</v>
      </c>
      <c r="K499" s="49" t="s">
        <v>31</v>
      </c>
      <c r="L499" s="49" t="s">
        <v>32</v>
      </c>
      <c r="M499" s="49">
        <v>13</v>
      </c>
      <c r="N499" s="80">
        <f>IF(M499="","",IF(M499=1,300,IF(M499=2,370,IF(M499=3,630,IF(M499=4,830,IF(M499=5,370,IF(M499=6,430,IF(M499=7,530,IF(M499=8,370,IF(M499=9,700,IF(M499=10,870,IF(M499=11,370,IF(M499=12,370,IF(M499=13,370,IF(M499=13,370,IF(M499=14,370,IF(M499=15,370,IF(M499=16,300,IF(M499=17,300,IF(M499=18,170,IF(M499=19,330)))))))))))))))))))))</f>
        <v>370</v>
      </c>
      <c r="O499" s="51">
        <v>370</v>
      </c>
      <c r="P499" s="81" t="str">
        <f>IF(M499="","",IF(O499&gt;(5*N499),"ACIMA","OK"))</f>
        <v>OK</v>
      </c>
      <c r="Q499" s="142"/>
      <c r="R499" s="76"/>
      <c r="S499" s="81" t="str">
        <f>IF(R499="","",R499/O499)</f>
        <v/>
      </c>
      <c r="T499" s="81" t="str">
        <f>IF(S499="","",IF(S499&gt;$Z$5,"ACIMA","OK"))</f>
        <v/>
      </c>
      <c r="U499" s="46">
        <v>44637</v>
      </c>
      <c r="V499" s="50">
        <f t="shared" si="93"/>
        <v>370</v>
      </c>
      <c r="W499" s="53">
        <f t="shared" si="94"/>
        <v>0</v>
      </c>
    </row>
    <row r="500" spans="1:23" ht="25.5" x14ac:dyDescent="0.25">
      <c r="A500" s="35" t="s">
        <v>2616</v>
      </c>
      <c r="B500" s="36">
        <v>44631</v>
      </c>
      <c r="C500" s="35" t="s">
        <v>3113</v>
      </c>
      <c r="D500" s="36" t="s">
        <v>466</v>
      </c>
      <c r="E500" s="73" t="s">
        <v>1070</v>
      </c>
      <c r="F500" s="38" t="s">
        <v>3135</v>
      </c>
      <c r="G500" s="37" t="s">
        <v>3136</v>
      </c>
      <c r="H500" s="37" t="s">
        <v>314</v>
      </c>
      <c r="I500" s="38" t="s">
        <v>320</v>
      </c>
      <c r="J500" s="39" t="s">
        <v>317</v>
      </c>
      <c r="K500" s="39" t="s">
        <v>16</v>
      </c>
      <c r="L500" s="39" t="s">
        <v>27</v>
      </c>
      <c r="M500" s="39">
        <v>11</v>
      </c>
      <c r="N500" s="86">
        <v>370</v>
      </c>
      <c r="O500" s="41">
        <v>370</v>
      </c>
      <c r="P500" s="86" t="s">
        <v>1017</v>
      </c>
      <c r="Q500" s="143"/>
      <c r="R500" s="78"/>
      <c r="S500" s="87" t="s">
        <v>415</v>
      </c>
      <c r="T500" s="87" t="s">
        <v>415</v>
      </c>
      <c r="U500" s="36">
        <v>44634</v>
      </c>
      <c r="V500" s="40">
        <f t="shared" si="93"/>
        <v>370</v>
      </c>
      <c r="W500" s="43">
        <f t="shared" si="94"/>
        <v>0</v>
      </c>
    </row>
    <row r="501" spans="1:23" ht="25.5" x14ac:dyDescent="0.25">
      <c r="A501" s="45" t="s">
        <v>2617</v>
      </c>
      <c r="B501" s="46">
        <v>44635</v>
      </c>
      <c r="C501" s="45" t="s">
        <v>3120</v>
      </c>
      <c r="D501" s="46" t="s">
        <v>989</v>
      </c>
      <c r="E501" s="72" t="s">
        <v>1064</v>
      </c>
      <c r="F501" s="48" t="s">
        <v>3137</v>
      </c>
      <c r="G501" s="47" t="s">
        <v>3138</v>
      </c>
      <c r="H501" s="47" t="s">
        <v>3139</v>
      </c>
      <c r="I501" s="48" t="s">
        <v>3140</v>
      </c>
      <c r="J501" s="48" t="s">
        <v>3141</v>
      </c>
      <c r="K501" s="49" t="s">
        <v>31</v>
      </c>
      <c r="L501" s="49" t="s">
        <v>29</v>
      </c>
      <c r="M501" s="49">
        <v>15</v>
      </c>
      <c r="N501" s="80">
        <f>IF(M501="","",IF(M501=1,300,IF(M501=2,370,IF(M501=3,630,IF(M501=4,830,IF(M501=5,370,IF(M501=6,430,IF(M501=7,530,IF(M501=8,370,IF(M501=9,700,IF(M501=10,870,IF(M501=11,370,IF(M501=12,370,IF(M501=13,370,IF(M501=13,370,IF(M501=14,370,IF(M501=15,370,IF(M501=16,300,IF(M501=17,300,IF(M501=18,170,IF(M501=19,330)))))))))))))))))))))</f>
        <v>370</v>
      </c>
      <c r="O501" s="51">
        <v>370</v>
      </c>
      <c r="P501" s="81" t="str">
        <f>IF(M501="","",IF(O501&gt;(5*N501),"ACIMA","OK"))</f>
        <v>OK</v>
      </c>
      <c r="Q501" s="142"/>
      <c r="R501" s="76"/>
      <c r="S501" s="81" t="str">
        <f>IF(R501="","",R501/O501)</f>
        <v/>
      </c>
      <c r="T501" s="81" t="str">
        <f>IF(S501="","",IF(S501&gt;$Z$5,"ACIMA","OK"))</f>
        <v/>
      </c>
      <c r="U501" s="46">
        <v>44635</v>
      </c>
      <c r="V501" s="50">
        <f t="shared" si="93"/>
        <v>370</v>
      </c>
      <c r="W501" s="53">
        <f t="shared" si="94"/>
        <v>0</v>
      </c>
    </row>
    <row r="502" spans="1:23" ht="25.5" x14ac:dyDescent="0.25">
      <c r="A502" s="35" t="s">
        <v>2618</v>
      </c>
      <c r="B502" s="36">
        <v>44637</v>
      </c>
      <c r="C502" s="35" t="s">
        <v>3121</v>
      </c>
      <c r="D502" s="36" t="s">
        <v>1804</v>
      </c>
      <c r="E502" s="73" t="s">
        <v>1726</v>
      </c>
      <c r="F502" s="38" t="s">
        <v>3142</v>
      </c>
      <c r="G502" s="37" t="s">
        <v>3143</v>
      </c>
      <c r="H502" s="37" t="s">
        <v>437</v>
      </c>
      <c r="I502" s="38" t="s">
        <v>1729</v>
      </c>
      <c r="J502" s="39" t="s">
        <v>2167</v>
      </c>
      <c r="K502" s="39" t="s">
        <v>31</v>
      </c>
      <c r="L502" s="39" t="s">
        <v>29</v>
      </c>
      <c r="M502" s="39">
        <v>15</v>
      </c>
      <c r="N502" s="86">
        <f>IF(M502="","",IF(M502=1,300,IF(M502=2,370,IF(M502=3,630,IF(M502=4,830,IF(M502=5,370,IF(M502=6,430,IF(M502=7,530,IF(M502=8,370,IF(M502=9,700,IF(M502=10,870,IF(M502=11,370,IF(M502=12,370,IF(M502=13,370,IF(M502=13,370,IF(M502=14,370,IF(M502=15,370,IF(M502=16,300,IF(M502=17,300,IF(M502=18,170,IF(M502=19,330)))))))))))))))))))))</f>
        <v>370</v>
      </c>
      <c r="O502" s="41">
        <v>300</v>
      </c>
      <c r="P502" s="86" t="str">
        <f>IF(M502="","",IF(O502&gt;(5*N502),"ACIMA","OK"))</f>
        <v>OK</v>
      </c>
      <c r="Q502" s="143"/>
      <c r="R502" s="78"/>
      <c r="S502" s="87" t="str">
        <f>IF(R502="","",R502/O502)</f>
        <v/>
      </c>
      <c r="T502" s="87" t="str">
        <f>IF(S502="","",IF(S502&gt;$Z$5,"ACIMA","OK"))</f>
        <v/>
      </c>
      <c r="U502" s="36">
        <v>44637</v>
      </c>
      <c r="V502" s="40">
        <f t="shared" si="93"/>
        <v>300</v>
      </c>
      <c r="W502" s="43">
        <f t="shared" si="94"/>
        <v>0</v>
      </c>
    </row>
    <row r="503" spans="1:23" ht="25.5" x14ac:dyDescent="0.25">
      <c r="A503" s="45" t="s">
        <v>2619</v>
      </c>
      <c r="B503" s="46">
        <v>44637</v>
      </c>
      <c r="C503" s="45" t="s">
        <v>3122</v>
      </c>
      <c r="D503" s="46" t="s">
        <v>1804</v>
      </c>
      <c r="E503" s="72" t="s">
        <v>1726</v>
      </c>
      <c r="F503" s="48" t="s">
        <v>3144</v>
      </c>
      <c r="G503" s="47" t="s">
        <v>3145</v>
      </c>
      <c r="H503" s="47" t="s">
        <v>437</v>
      </c>
      <c r="I503" s="48" t="s">
        <v>1729</v>
      </c>
      <c r="J503" s="48" t="s">
        <v>2167</v>
      </c>
      <c r="K503" s="49" t="s">
        <v>31</v>
      </c>
      <c r="L503" s="49" t="s">
        <v>29</v>
      </c>
      <c r="M503" s="49">
        <v>15</v>
      </c>
      <c r="N503" s="80">
        <v>370</v>
      </c>
      <c r="O503" s="51">
        <v>300</v>
      </c>
      <c r="P503" s="81" t="s">
        <v>1017</v>
      </c>
      <c r="Q503" s="142"/>
      <c r="R503" s="76"/>
      <c r="S503" s="81" t="s">
        <v>415</v>
      </c>
      <c r="T503" s="81" t="s">
        <v>415</v>
      </c>
      <c r="U503" s="46">
        <v>44637</v>
      </c>
      <c r="V503" s="50">
        <f t="shared" si="93"/>
        <v>300</v>
      </c>
      <c r="W503" s="53">
        <f t="shared" si="94"/>
        <v>0</v>
      </c>
    </row>
    <row r="504" spans="1:23" ht="38.25" x14ac:dyDescent="0.25">
      <c r="A504" s="35" t="s">
        <v>2620</v>
      </c>
      <c r="B504" s="36">
        <v>44634</v>
      </c>
      <c r="C504" s="35" t="s">
        <v>3123</v>
      </c>
      <c r="D504" s="36" t="s">
        <v>466</v>
      </c>
      <c r="E504" s="73" t="s">
        <v>1070</v>
      </c>
      <c r="F504" s="38" t="s">
        <v>3146</v>
      </c>
      <c r="G504" s="37" t="s">
        <v>3147</v>
      </c>
      <c r="H504" s="37" t="s">
        <v>314</v>
      </c>
      <c r="I504" s="38" t="s">
        <v>320</v>
      </c>
      <c r="J504" s="39" t="s">
        <v>317</v>
      </c>
      <c r="K504" s="39" t="s">
        <v>16</v>
      </c>
      <c r="L504" s="39" t="s">
        <v>27</v>
      </c>
      <c r="M504" s="39">
        <v>11</v>
      </c>
      <c r="N504" s="86">
        <v>370</v>
      </c>
      <c r="O504" s="41">
        <v>370</v>
      </c>
      <c r="P504" s="86" t="s">
        <v>1017</v>
      </c>
      <c r="Q504" s="143"/>
      <c r="R504" s="78"/>
      <c r="S504" s="87" t="s">
        <v>415</v>
      </c>
      <c r="T504" s="87" t="s">
        <v>415</v>
      </c>
      <c r="U504" s="36">
        <v>44637</v>
      </c>
      <c r="V504" s="40">
        <f t="shared" si="93"/>
        <v>370</v>
      </c>
      <c r="W504" s="43">
        <f t="shared" si="94"/>
        <v>0</v>
      </c>
    </row>
    <row r="505" spans="1:23" ht="38.25" x14ac:dyDescent="0.25">
      <c r="A505" s="45" t="s">
        <v>2621</v>
      </c>
      <c r="B505" s="46">
        <v>44649</v>
      </c>
      <c r="C505" s="45" t="s">
        <v>3148</v>
      </c>
      <c r="D505" s="46" t="s">
        <v>868</v>
      </c>
      <c r="E505" s="72" t="s">
        <v>1070</v>
      </c>
      <c r="F505" s="48" t="s">
        <v>3149</v>
      </c>
      <c r="G505" s="47" t="s">
        <v>3150</v>
      </c>
      <c r="H505" s="47" t="s">
        <v>3151</v>
      </c>
      <c r="I505" s="48" t="s">
        <v>320</v>
      </c>
      <c r="J505" s="48" t="s">
        <v>317</v>
      </c>
      <c r="K505" s="49" t="s">
        <v>16</v>
      </c>
      <c r="L505" s="49" t="s">
        <v>27</v>
      </c>
      <c r="M505" s="49">
        <v>11</v>
      </c>
      <c r="N505" s="80">
        <v>370</v>
      </c>
      <c r="O505" s="51">
        <v>370</v>
      </c>
      <c r="P505" s="81" t="s">
        <v>1017</v>
      </c>
      <c r="Q505" s="142"/>
      <c r="R505" s="76"/>
      <c r="S505" s="81" t="s">
        <v>415</v>
      </c>
      <c r="T505" s="81" t="s">
        <v>415</v>
      </c>
      <c r="U505" s="46">
        <v>44650</v>
      </c>
      <c r="V505" s="50">
        <f t="shared" si="93"/>
        <v>370</v>
      </c>
      <c r="W505" s="53">
        <f t="shared" si="94"/>
        <v>0</v>
      </c>
    </row>
    <row r="506" spans="1:23" ht="25.5" x14ac:dyDescent="0.25">
      <c r="A506" s="35" t="s">
        <v>2622</v>
      </c>
      <c r="B506" s="36">
        <v>44596</v>
      </c>
      <c r="C506" s="35" t="s">
        <v>3152</v>
      </c>
      <c r="D506" s="36" t="s">
        <v>868</v>
      </c>
      <c r="E506" s="73" t="s">
        <v>1070</v>
      </c>
      <c r="F506" s="38" t="s">
        <v>3153</v>
      </c>
      <c r="G506" s="37" t="s">
        <v>3154</v>
      </c>
      <c r="H506" s="37" t="s">
        <v>3155</v>
      </c>
      <c r="I506" s="38" t="s">
        <v>320</v>
      </c>
      <c r="J506" s="39" t="s">
        <v>317</v>
      </c>
      <c r="K506" s="39" t="s">
        <v>16</v>
      </c>
      <c r="L506" s="39" t="s">
        <v>27</v>
      </c>
      <c r="M506" s="39">
        <v>11</v>
      </c>
      <c r="N506" s="86">
        <v>370</v>
      </c>
      <c r="O506" s="41">
        <v>370</v>
      </c>
      <c r="P506" s="86" t="s">
        <v>1017</v>
      </c>
      <c r="Q506" s="143"/>
      <c r="R506" s="78"/>
      <c r="S506" s="87" t="s">
        <v>415</v>
      </c>
      <c r="T506" s="87" t="s">
        <v>415</v>
      </c>
      <c r="U506" s="36">
        <v>44655</v>
      </c>
      <c r="V506" s="40">
        <f t="shared" si="93"/>
        <v>370</v>
      </c>
      <c r="W506" s="43">
        <f t="shared" si="94"/>
        <v>0</v>
      </c>
    </row>
    <row r="507" spans="1:23" ht="25.5" x14ac:dyDescent="0.25">
      <c r="A507" s="45" t="s">
        <v>2623</v>
      </c>
      <c r="B507" s="46">
        <v>44638</v>
      </c>
      <c r="C507" s="45" t="s">
        <v>3156</v>
      </c>
      <c r="D507" s="46" t="s">
        <v>3075</v>
      </c>
      <c r="E507" s="72" t="s">
        <v>1071</v>
      </c>
      <c r="F507" s="48" t="s">
        <v>3214</v>
      </c>
      <c r="G507" s="47" t="s">
        <v>3076</v>
      </c>
      <c r="H507" s="47" t="s">
        <v>3215</v>
      </c>
      <c r="I507" s="48" t="s">
        <v>3077</v>
      </c>
      <c r="J507" s="48" t="s">
        <v>2218</v>
      </c>
      <c r="K507" s="49" t="s">
        <v>31</v>
      </c>
      <c r="L507" s="49" t="s">
        <v>29</v>
      </c>
      <c r="M507" s="49">
        <v>15</v>
      </c>
      <c r="N507" s="80">
        <f>IF(M507="","",IF(M507=1,300,IF(M507=2,370,IF(M507=3,630,IF(M507=4,830,IF(M507=5,370,IF(M507=6,430,IF(M507=7,530,IF(M507=8,370,IF(M507=9,700,IF(M507=10,870,IF(M507=11,370,IF(M507=12,370,IF(M507=13,370,IF(M507=13,370,IF(M507=14,370,IF(M507=15,370,IF(M507=16,300,IF(M507=17,300,IF(M507=18,170,IF(M507=19,330)))))))))))))))))))))</f>
        <v>370</v>
      </c>
      <c r="O507" s="51">
        <v>750</v>
      </c>
      <c r="P507" s="81" t="str">
        <f t="shared" ref="P507:P514" si="95">IF(M507="","",IF(O507&gt;(5*N507),"ACIMA","OK"))</f>
        <v>OK</v>
      </c>
      <c r="Q507" s="142"/>
      <c r="R507" s="76"/>
      <c r="S507" s="81" t="str">
        <f t="shared" ref="S507:S514" si="96">IF(R507="","",R507/O507)</f>
        <v/>
      </c>
      <c r="T507" s="81" t="str">
        <f t="shared" ref="T507:T514" si="97">IF(S507="","",IF(S507&gt;$Z$5,"ACIMA","OK"))</f>
        <v/>
      </c>
      <c r="U507" s="46">
        <v>44638</v>
      </c>
      <c r="V507" s="50">
        <f t="shared" si="93"/>
        <v>750</v>
      </c>
      <c r="W507" s="53">
        <f t="shared" si="94"/>
        <v>0</v>
      </c>
    </row>
    <row r="508" spans="1:23" ht="25.5" x14ac:dyDescent="0.25">
      <c r="A508" s="35" t="s">
        <v>2624</v>
      </c>
      <c r="B508" s="36">
        <v>44645</v>
      </c>
      <c r="C508" s="35" t="s">
        <v>3161</v>
      </c>
      <c r="D508" s="36" t="s">
        <v>2522</v>
      </c>
      <c r="E508" s="73" t="s">
        <v>1066</v>
      </c>
      <c r="F508" s="38" t="s">
        <v>3216</v>
      </c>
      <c r="G508" s="37" t="s">
        <v>3217</v>
      </c>
      <c r="H508" s="37" t="s">
        <v>3218</v>
      </c>
      <c r="I508" s="38" t="s">
        <v>320</v>
      </c>
      <c r="J508" s="39" t="s">
        <v>317</v>
      </c>
      <c r="K508" s="39" t="s">
        <v>432</v>
      </c>
      <c r="L508" s="39" t="s">
        <v>480</v>
      </c>
      <c r="M508" s="39">
        <v>1</v>
      </c>
      <c r="N508" s="86">
        <v>300</v>
      </c>
      <c r="O508" s="41">
        <v>300</v>
      </c>
      <c r="P508" s="86" t="str">
        <f t="shared" si="95"/>
        <v>OK</v>
      </c>
      <c r="Q508" s="143"/>
      <c r="R508" s="78"/>
      <c r="S508" s="87" t="str">
        <f t="shared" si="96"/>
        <v/>
      </c>
      <c r="T508" s="87" t="str">
        <f t="shared" si="97"/>
        <v/>
      </c>
      <c r="U508" s="36">
        <v>44647</v>
      </c>
      <c r="V508" s="40">
        <f t="shared" si="93"/>
        <v>300</v>
      </c>
      <c r="W508" s="43">
        <f t="shared" si="94"/>
        <v>0</v>
      </c>
    </row>
    <row r="509" spans="1:23" ht="25.5" x14ac:dyDescent="0.25">
      <c r="A509" s="45" t="s">
        <v>2625</v>
      </c>
      <c r="B509" s="46">
        <v>44645</v>
      </c>
      <c r="C509" s="45" t="s">
        <v>3162</v>
      </c>
      <c r="D509" s="46" t="s">
        <v>466</v>
      </c>
      <c r="E509" s="72" t="s">
        <v>1070</v>
      </c>
      <c r="F509" s="48" t="s">
        <v>3219</v>
      </c>
      <c r="G509" s="47" t="s">
        <v>3220</v>
      </c>
      <c r="H509" s="47" t="s">
        <v>1024</v>
      </c>
      <c r="I509" s="48" t="s">
        <v>320</v>
      </c>
      <c r="J509" s="48" t="s">
        <v>317</v>
      </c>
      <c r="K509" s="49" t="s">
        <v>16</v>
      </c>
      <c r="L509" s="49" t="s">
        <v>27</v>
      </c>
      <c r="M509" s="49">
        <v>11</v>
      </c>
      <c r="N509" s="80">
        <v>370</v>
      </c>
      <c r="O509" s="51">
        <v>370</v>
      </c>
      <c r="P509" s="81" t="str">
        <f t="shared" si="95"/>
        <v>OK</v>
      </c>
      <c r="Q509" s="142"/>
      <c r="R509" s="76"/>
      <c r="S509" s="81" t="str">
        <f t="shared" si="96"/>
        <v/>
      </c>
      <c r="T509" s="81" t="str">
        <f t="shared" si="97"/>
        <v/>
      </c>
      <c r="U509" s="46">
        <v>44647</v>
      </c>
      <c r="V509" s="50">
        <f t="shared" si="93"/>
        <v>370</v>
      </c>
      <c r="W509" s="53">
        <f t="shared" si="94"/>
        <v>0</v>
      </c>
    </row>
    <row r="510" spans="1:23" ht="25.5" x14ac:dyDescent="0.25">
      <c r="A510" s="35" t="s">
        <v>2626</v>
      </c>
      <c r="B510" s="36">
        <v>44652</v>
      </c>
      <c r="C510" s="35" t="s">
        <v>3163</v>
      </c>
      <c r="D510" s="36" t="s">
        <v>868</v>
      </c>
      <c r="E510" s="73" t="s">
        <v>1070</v>
      </c>
      <c r="F510" s="38" t="s">
        <v>3221</v>
      </c>
      <c r="G510" s="37" t="s">
        <v>3222</v>
      </c>
      <c r="H510" s="37" t="s">
        <v>3223</v>
      </c>
      <c r="I510" s="38" t="s">
        <v>320</v>
      </c>
      <c r="J510" s="39" t="s">
        <v>317</v>
      </c>
      <c r="K510" s="39" t="s">
        <v>16</v>
      </c>
      <c r="L510" s="39" t="s">
        <v>27</v>
      </c>
      <c r="M510" s="39">
        <v>11</v>
      </c>
      <c r="N510" s="86">
        <v>370</v>
      </c>
      <c r="O510" s="41">
        <v>370</v>
      </c>
      <c r="P510" s="86" t="str">
        <f t="shared" si="95"/>
        <v>OK</v>
      </c>
      <c r="Q510" s="143"/>
      <c r="R510" s="78"/>
      <c r="S510" s="87" t="str">
        <f t="shared" si="96"/>
        <v/>
      </c>
      <c r="T510" s="87" t="str">
        <f t="shared" si="97"/>
        <v/>
      </c>
      <c r="U510" s="36">
        <v>44656</v>
      </c>
      <c r="V510" s="40">
        <f t="shared" si="93"/>
        <v>370</v>
      </c>
      <c r="W510" s="43">
        <f t="shared" si="94"/>
        <v>0</v>
      </c>
    </row>
    <row r="511" spans="1:23" ht="25.5" x14ac:dyDescent="0.25">
      <c r="A511" s="45" t="s">
        <v>2627</v>
      </c>
      <c r="B511" s="46">
        <v>44638</v>
      </c>
      <c r="C511" s="45" t="s">
        <v>3164</v>
      </c>
      <c r="D511" s="46" t="s">
        <v>868</v>
      </c>
      <c r="E511" s="72" t="s">
        <v>1070</v>
      </c>
      <c r="F511" s="48" t="s">
        <v>3224</v>
      </c>
      <c r="G511" s="47" t="s">
        <v>3225</v>
      </c>
      <c r="H511" s="47" t="s">
        <v>314</v>
      </c>
      <c r="I511" s="48" t="s">
        <v>320</v>
      </c>
      <c r="J511" s="48" t="s">
        <v>317</v>
      </c>
      <c r="K511" s="49" t="s">
        <v>16</v>
      </c>
      <c r="L511" s="49" t="s">
        <v>27</v>
      </c>
      <c r="M511" s="49">
        <v>11</v>
      </c>
      <c r="N511" s="80">
        <v>370</v>
      </c>
      <c r="O511" s="51">
        <v>370</v>
      </c>
      <c r="P511" s="81" t="str">
        <f t="shared" si="95"/>
        <v>OK</v>
      </c>
      <c r="Q511" s="142"/>
      <c r="R511" s="76"/>
      <c r="S511" s="81" t="str">
        <f t="shared" si="96"/>
        <v/>
      </c>
      <c r="T511" s="81" t="str">
        <f t="shared" si="97"/>
        <v/>
      </c>
      <c r="U511" s="46">
        <v>44658</v>
      </c>
      <c r="V511" s="50">
        <f t="shared" si="93"/>
        <v>370</v>
      </c>
      <c r="W511" s="53">
        <f t="shared" si="94"/>
        <v>0</v>
      </c>
    </row>
    <row r="512" spans="1:23" ht="25.5" x14ac:dyDescent="0.25">
      <c r="A512" s="35" t="s">
        <v>2628</v>
      </c>
      <c r="B512" s="36">
        <v>44658</v>
      </c>
      <c r="C512" s="35" t="s">
        <v>3165</v>
      </c>
      <c r="D512" s="36" t="s">
        <v>1000</v>
      </c>
      <c r="E512" s="73" t="s">
        <v>1064</v>
      </c>
      <c r="F512" s="38" t="s">
        <v>3226</v>
      </c>
      <c r="G512" s="37" t="s">
        <v>3227</v>
      </c>
      <c r="H512" s="37" t="s">
        <v>3228</v>
      </c>
      <c r="I512" s="38" t="s">
        <v>2151</v>
      </c>
      <c r="J512" s="39" t="s">
        <v>3229</v>
      </c>
      <c r="K512" s="39" t="s">
        <v>37</v>
      </c>
      <c r="L512" s="39"/>
      <c r="M512" s="39">
        <v>16</v>
      </c>
      <c r="N512" s="86">
        <f>IF(M512="","",IF(M512=1,300,IF(M512=2,370,IF(M512=3,630,IF(M512=4,830,IF(M512=5,370,IF(M512=6,430,IF(M512=7,530,IF(M512=8,370,IF(M512=9,700,IF(M512=10,870,IF(M512=11,370,IF(M512=12,370,IF(M512=13,370,IF(M512=13,370,IF(M512=14,370,IF(M512=15,370,IF(M512=16,300,IF(M512=17,300,IF(M512=18,170,IF(M512=19,330)))))))))))))))))))))</f>
        <v>300</v>
      </c>
      <c r="O512" s="41">
        <v>300</v>
      </c>
      <c r="P512" s="86" t="str">
        <f t="shared" si="95"/>
        <v>OK</v>
      </c>
      <c r="Q512" s="143"/>
      <c r="R512" s="78"/>
      <c r="S512" s="87" t="str">
        <f t="shared" si="96"/>
        <v/>
      </c>
      <c r="T512" s="87" t="str">
        <f t="shared" si="97"/>
        <v/>
      </c>
      <c r="U512" s="36">
        <v>44655</v>
      </c>
      <c r="V512" s="40">
        <f t="shared" si="93"/>
        <v>300</v>
      </c>
      <c r="W512" s="43">
        <f t="shared" si="94"/>
        <v>0</v>
      </c>
    </row>
    <row r="513" spans="1:23" ht="25.5" x14ac:dyDescent="0.25">
      <c r="A513" s="45" t="s">
        <v>2629</v>
      </c>
      <c r="B513" s="46">
        <v>44658</v>
      </c>
      <c r="C513" s="45" t="s">
        <v>3166</v>
      </c>
      <c r="D513" s="46" t="s">
        <v>466</v>
      </c>
      <c r="E513" s="72" t="s">
        <v>1070</v>
      </c>
      <c r="F513" s="48" t="s">
        <v>3230</v>
      </c>
      <c r="G513" s="47" t="s">
        <v>3231</v>
      </c>
      <c r="H513" s="47" t="s">
        <v>1024</v>
      </c>
      <c r="I513" s="48" t="s">
        <v>320</v>
      </c>
      <c r="J513" s="48" t="s">
        <v>317</v>
      </c>
      <c r="K513" s="49" t="s">
        <v>16</v>
      </c>
      <c r="L513" s="49" t="s">
        <v>27</v>
      </c>
      <c r="M513" s="49">
        <v>11</v>
      </c>
      <c r="N513" s="80">
        <v>370</v>
      </c>
      <c r="O513" s="51">
        <v>370</v>
      </c>
      <c r="P513" s="81" t="str">
        <f t="shared" si="95"/>
        <v>OK</v>
      </c>
      <c r="Q513" s="142"/>
      <c r="R513" s="76"/>
      <c r="S513" s="81" t="str">
        <f t="shared" si="96"/>
        <v/>
      </c>
      <c r="T513" s="81" t="str">
        <f t="shared" si="97"/>
        <v/>
      </c>
      <c r="U513" s="46">
        <v>44658</v>
      </c>
      <c r="V513" s="50">
        <f t="shared" si="93"/>
        <v>370</v>
      </c>
      <c r="W513" s="53">
        <f t="shared" si="94"/>
        <v>0</v>
      </c>
    </row>
    <row r="514" spans="1:23" ht="25.5" x14ac:dyDescent="0.25">
      <c r="A514" s="35" t="s">
        <v>2630</v>
      </c>
      <c r="B514" s="36">
        <v>44341</v>
      </c>
      <c r="C514" s="35" t="s">
        <v>3167</v>
      </c>
      <c r="D514" s="36" t="s">
        <v>1532</v>
      </c>
      <c r="E514" s="73" t="s">
        <v>1064</v>
      </c>
      <c r="F514" s="38" t="s">
        <v>3232</v>
      </c>
      <c r="G514" s="37" t="s">
        <v>3233</v>
      </c>
      <c r="H514" s="37" t="s">
        <v>3234</v>
      </c>
      <c r="I514" s="38" t="s">
        <v>763</v>
      </c>
      <c r="J514" s="39" t="s">
        <v>764</v>
      </c>
      <c r="K514" s="39" t="s">
        <v>16</v>
      </c>
      <c r="L514" s="39" t="s">
        <v>765</v>
      </c>
      <c r="M514" s="39">
        <v>8</v>
      </c>
      <c r="N514" s="86">
        <f>IF(M514="","",IF(M514=1,300,IF(M514=2,370,IF(M514=3,630,IF(M514=4,830,IF(M514=5,370,IF(M514=6,430,IF(M514=7,530,IF(M514=8,370,IF(M514=9,700,IF(M514=10,870,IF(M514=11,370,IF(M514=12,370,IF(M514=13,370,IF(M514=13,370,IF(M514=14,370,IF(M514=15,370,IF(M514=16,300,IF(M514=17,300,IF(M514=18,170,IF(M514=19,330)))))))))))))))))))))</f>
        <v>370</v>
      </c>
      <c r="O514" s="41">
        <v>1200</v>
      </c>
      <c r="P514" s="86" t="str">
        <f t="shared" si="95"/>
        <v>OK</v>
      </c>
      <c r="Q514" s="143"/>
      <c r="R514" s="78"/>
      <c r="S514" s="87" t="str">
        <f t="shared" si="96"/>
        <v/>
      </c>
      <c r="T514" s="87" t="str">
        <f t="shared" si="97"/>
        <v/>
      </c>
      <c r="U514" s="36">
        <v>44659</v>
      </c>
      <c r="V514" s="40">
        <f t="shared" si="93"/>
        <v>1200</v>
      </c>
      <c r="W514" s="43">
        <f t="shared" si="94"/>
        <v>0</v>
      </c>
    </row>
    <row r="515" spans="1:23" ht="25.5" x14ac:dyDescent="0.25">
      <c r="A515" s="45" t="s">
        <v>2631</v>
      </c>
      <c r="B515" s="46">
        <v>43672</v>
      </c>
      <c r="C515" s="45" t="s">
        <v>3169</v>
      </c>
      <c r="D515" s="46" t="s">
        <v>990</v>
      </c>
      <c r="E515" s="72" t="s">
        <v>1064</v>
      </c>
      <c r="F515" s="48" t="s">
        <v>3235</v>
      </c>
      <c r="G515" s="47" t="s">
        <v>3236</v>
      </c>
      <c r="H515" s="47" t="s">
        <v>3237</v>
      </c>
      <c r="I515" s="48" t="s">
        <v>3238</v>
      </c>
      <c r="J515" s="48" t="s">
        <v>356</v>
      </c>
      <c r="K515" s="49" t="s">
        <v>39</v>
      </c>
      <c r="L515" s="49" t="s">
        <v>40</v>
      </c>
      <c r="M515" s="49">
        <v>17</v>
      </c>
      <c r="N515" s="80">
        <f>IF(M515="","",IF(M515=1,300,IF(M515=2,370,IF(M515=3,630,IF(M515=4,830,IF(M515=5,370,IF(M515=6,430,IF(M515=7,530,IF(M515=8,370,IF(M515=9,700,IF(M515=10,870,IF(M515=11,370,IF(M515=12,370,IF(M515=13,370,IF(M515=13,370,IF(M515=14,370,IF(M515=15,370,IF(M515=16,300,IF(M515=17,300,IF(M515=18,170,IF(M515=19,330)))))))))))))))))))))</f>
        <v>300</v>
      </c>
      <c r="O515" s="51">
        <v>450</v>
      </c>
      <c r="P515" s="81" t="str">
        <f t="shared" ref="P515:P578" si="98">IF(M515="","",IF(O515&gt;(5*N515),"ACIMA","OK"))</f>
        <v>OK</v>
      </c>
      <c r="Q515" s="142"/>
      <c r="R515" s="76"/>
      <c r="S515" s="81" t="str">
        <f t="shared" ref="S515:S578" si="99">IF(R515="","",R515/O515)</f>
        <v/>
      </c>
      <c r="T515" s="81" t="str">
        <f t="shared" ref="T515:T578" si="100">IF(S515="","",IF(S515&gt;$Z$5,"ACIMA","OK"))</f>
        <v/>
      </c>
      <c r="U515" s="46">
        <v>44659</v>
      </c>
      <c r="V515" s="50">
        <f t="shared" si="93"/>
        <v>450</v>
      </c>
      <c r="W515" s="53">
        <f t="shared" si="94"/>
        <v>0</v>
      </c>
    </row>
    <row r="516" spans="1:23" ht="25.5" x14ac:dyDescent="0.25">
      <c r="A516" s="35" t="s">
        <v>2632</v>
      </c>
      <c r="B516" s="36">
        <v>44314</v>
      </c>
      <c r="C516" s="35" t="s">
        <v>3168</v>
      </c>
      <c r="D516" s="36" t="s">
        <v>501</v>
      </c>
      <c r="E516" s="73" t="s">
        <v>1072</v>
      </c>
      <c r="F516" s="38" t="s">
        <v>3239</v>
      </c>
      <c r="G516" s="37" t="s">
        <v>3240</v>
      </c>
      <c r="H516" s="37" t="s">
        <v>3248</v>
      </c>
      <c r="I516" s="38" t="s">
        <v>320</v>
      </c>
      <c r="J516" s="39" t="s">
        <v>317</v>
      </c>
      <c r="K516" s="39" t="s">
        <v>432</v>
      </c>
      <c r="L516" s="39" t="s">
        <v>480</v>
      </c>
      <c r="M516" s="39">
        <v>1</v>
      </c>
      <c r="N516" s="86">
        <v>300</v>
      </c>
      <c r="O516" s="41">
        <v>300</v>
      </c>
      <c r="P516" s="86" t="str">
        <f t="shared" si="98"/>
        <v>OK</v>
      </c>
      <c r="Q516" s="143"/>
      <c r="R516" s="78"/>
      <c r="S516" s="87" t="str">
        <f t="shared" si="99"/>
        <v/>
      </c>
      <c r="T516" s="87" t="str">
        <f t="shared" si="100"/>
        <v/>
      </c>
      <c r="U516" s="36">
        <v>44659</v>
      </c>
      <c r="V516" s="40">
        <f t="shared" si="93"/>
        <v>300</v>
      </c>
      <c r="W516" s="43">
        <f t="shared" si="94"/>
        <v>0</v>
      </c>
    </row>
    <row r="517" spans="1:23" ht="25.5" x14ac:dyDescent="0.25">
      <c r="A517" s="45" t="s">
        <v>2633</v>
      </c>
      <c r="B517" s="46">
        <v>44252</v>
      </c>
      <c r="C517" s="45" t="s">
        <v>3170</v>
      </c>
      <c r="D517" s="46" t="s">
        <v>3242</v>
      </c>
      <c r="E517" s="72" t="s">
        <v>3243</v>
      </c>
      <c r="F517" s="48" t="s">
        <v>3241</v>
      </c>
      <c r="G517" s="47" t="s">
        <v>3244</v>
      </c>
      <c r="H517" s="47" t="s">
        <v>3245</v>
      </c>
      <c r="I517" s="48" t="s">
        <v>3246</v>
      </c>
      <c r="J517" s="48" t="s">
        <v>3247</v>
      </c>
      <c r="K517" s="49" t="s">
        <v>16</v>
      </c>
      <c r="L517" s="49" t="s">
        <v>1413</v>
      </c>
      <c r="M517" s="49">
        <v>10</v>
      </c>
      <c r="N517" s="80">
        <f>IF(M517="","",IF(M517=1,300,IF(M517=2,370,IF(M517=3,630,IF(M517=4,830,IF(M517=5,370,IF(M517=6,430,IF(M517=7,530,IF(M517=8,370,IF(M517=9,700,IF(M517=10,870,IF(M517=11,370,IF(M517=12,370,IF(M517=13,370,IF(M517=13,370,IF(M517=14,370,IF(M517=15,370,IF(M517=16,300,IF(M517=17,300,IF(M517=18,170,IF(M517=19,330)))))))))))))))))))))</f>
        <v>870</v>
      </c>
      <c r="O517" s="51">
        <v>2000</v>
      </c>
      <c r="P517" s="81" t="str">
        <f t="shared" si="98"/>
        <v>OK</v>
      </c>
      <c r="Q517" s="142"/>
      <c r="R517" s="76"/>
      <c r="S517" s="81" t="str">
        <f t="shared" si="99"/>
        <v/>
      </c>
      <c r="T517" s="81" t="str">
        <f t="shared" si="100"/>
        <v/>
      </c>
      <c r="U517" s="46">
        <v>44659</v>
      </c>
      <c r="V517" s="50">
        <f t="shared" si="93"/>
        <v>2000</v>
      </c>
      <c r="W517" s="53">
        <f t="shared" si="94"/>
        <v>0</v>
      </c>
    </row>
    <row r="518" spans="1:23" ht="51" x14ac:dyDescent="0.25">
      <c r="A518" s="35" t="s">
        <v>2634</v>
      </c>
      <c r="B518" s="36">
        <v>44532</v>
      </c>
      <c r="C518" s="35" t="s">
        <v>3171</v>
      </c>
      <c r="D518" s="36" t="s">
        <v>767</v>
      </c>
      <c r="E518" s="73" t="s">
        <v>1067</v>
      </c>
      <c r="F518" s="38" t="s">
        <v>3249</v>
      </c>
      <c r="G518" s="37" t="s">
        <v>3250</v>
      </c>
      <c r="H518" s="37" t="s">
        <v>3251</v>
      </c>
      <c r="I518" s="38" t="s">
        <v>320</v>
      </c>
      <c r="J518" s="39" t="s">
        <v>317</v>
      </c>
      <c r="K518" s="39" t="s">
        <v>16</v>
      </c>
      <c r="L518" s="39" t="s">
        <v>1413</v>
      </c>
      <c r="M518" s="39">
        <v>10</v>
      </c>
      <c r="N518" s="86">
        <v>870</v>
      </c>
      <c r="O518" s="41">
        <v>870</v>
      </c>
      <c r="P518" s="86" t="str">
        <f t="shared" si="98"/>
        <v>OK</v>
      </c>
      <c r="Q518" s="143"/>
      <c r="R518" s="78"/>
      <c r="S518" s="87" t="str">
        <f t="shared" si="99"/>
        <v/>
      </c>
      <c r="T518" s="87" t="str">
        <f t="shared" si="100"/>
        <v/>
      </c>
      <c r="U518" s="36">
        <v>44659</v>
      </c>
      <c r="V518" s="40">
        <f t="shared" si="93"/>
        <v>870</v>
      </c>
      <c r="W518" s="43">
        <f t="shared" si="94"/>
        <v>0</v>
      </c>
    </row>
    <row r="519" spans="1:23" ht="25.5" x14ac:dyDescent="0.25">
      <c r="A519" s="45" t="s">
        <v>2635</v>
      </c>
      <c r="B519" s="46">
        <v>44264</v>
      </c>
      <c r="C519" s="45" t="s">
        <v>3172</v>
      </c>
      <c r="D519" s="46" t="s">
        <v>466</v>
      </c>
      <c r="E519" s="72" t="s">
        <v>1070</v>
      </c>
      <c r="F519" s="48" t="s">
        <v>3252</v>
      </c>
      <c r="G519" s="47" t="s">
        <v>3253</v>
      </c>
      <c r="H519" s="47" t="s">
        <v>3254</v>
      </c>
      <c r="I519" s="48" t="s">
        <v>320</v>
      </c>
      <c r="J519" s="48" t="s">
        <v>317</v>
      </c>
      <c r="K519" s="49" t="s">
        <v>16</v>
      </c>
      <c r="L519" s="49" t="s">
        <v>27</v>
      </c>
      <c r="M519" s="49">
        <v>11</v>
      </c>
      <c r="N519" s="80">
        <v>370</v>
      </c>
      <c r="O519" s="51">
        <v>700</v>
      </c>
      <c r="P519" s="81" t="str">
        <f t="shared" si="98"/>
        <v>OK</v>
      </c>
      <c r="Q519" s="142"/>
      <c r="R519" s="76"/>
      <c r="S519" s="81" t="str">
        <f t="shared" si="99"/>
        <v/>
      </c>
      <c r="T519" s="81" t="str">
        <f t="shared" si="100"/>
        <v/>
      </c>
      <c r="U519" s="46">
        <v>44659</v>
      </c>
      <c r="V519" s="50">
        <f t="shared" si="93"/>
        <v>700</v>
      </c>
      <c r="W519" s="53">
        <f t="shared" si="94"/>
        <v>0</v>
      </c>
    </row>
    <row r="520" spans="1:23" ht="89.25" x14ac:dyDescent="0.25">
      <c r="A520" s="35" t="s">
        <v>2636</v>
      </c>
      <c r="B520" s="36">
        <v>44382</v>
      </c>
      <c r="C520" s="35" t="s">
        <v>3173</v>
      </c>
      <c r="D520" s="36" t="s">
        <v>996</v>
      </c>
      <c r="E520" s="73" t="s">
        <v>1064</v>
      </c>
      <c r="F520" s="38" t="s">
        <v>3255</v>
      </c>
      <c r="G520" s="37" t="s">
        <v>3256</v>
      </c>
      <c r="H520" s="37" t="s">
        <v>3257</v>
      </c>
      <c r="I520" s="38" t="s">
        <v>3258</v>
      </c>
      <c r="J520" s="39" t="s">
        <v>764</v>
      </c>
      <c r="K520" s="39" t="s">
        <v>16</v>
      </c>
      <c r="L520" s="39" t="s">
        <v>765</v>
      </c>
      <c r="M520" s="39">
        <v>8</v>
      </c>
      <c r="N520" s="86">
        <f>IF(M520="","",IF(M520=1,300,IF(M520=2,370,IF(M520=3,630,IF(M520=4,830,IF(M520=5,370,IF(M520=6,430,IF(M520=7,530,IF(M520=8,370,IF(M520=9,700,IF(M520=10,870,IF(M520=11,370,IF(M520=12,370,IF(M520=13,370,IF(M520=13,370,IF(M520=14,370,IF(M520=15,370,IF(M520=16,300,IF(M520=17,300,IF(M520=18,170,IF(M520=19,330)))))))))))))))))))))</f>
        <v>370</v>
      </c>
      <c r="O520" s="41">
        <v>740</v>
      </c>
      <c r="P520" s="86" t="str">
        <f t="shared" si="98"/>
        <v>OK</v>
      </c>
      <c r="Q520" s="143"/>
      <c r="R520" s="78"/>
      <c r="S520" s="87" t="str">
        <f t="shared" si="99"/>
        <v/>
      </c>
      <c r="T520" s="87" t="str">
        <f t="shared" si="100"/>
        <v/>
      </c>
      <c r="U520" s="36">
        <v>44659</v>
      </c>
      <c r="V520" s="40">
        <f t="shared" si="93"/>
        <v>740</v>
      </c>
      <c r="W520" s="43">
        <f t="shared" si="94"/>
        <v>0</v>
      </c>
    </row>
    <row r="521" spans="1:23" ht="25.5" x14ac:dyDescent="0.25">
      <c r="A521" s="45" t="s">
        <v>2637</v>
      </c>
      <c r="B521" s="46">
        <v>44663</v>
      </c>
      <c r="C521" s="45" t="s">
        <v>3174</v>
      </c>
      <c r="D521" s="46" t="s">
        <v>659</v>
      </c>
      <c r="E521" s="72" t="s">
        <v>1073</v>
      </c>
      <c r="F521" s="48" t="s">
        <v>3259</v>
      </c>
      <c r="G521" s="47" t="s">
        <v>3260</v>
      </c>
      <c r="H521" s="47" t="s">
        <v>1735</v>
      </c>
      <c r="I521" s="48" t="s">
        <v>320</v>
      </c>
      <c r="J521" s="48" t="s">
        <v>317</v>
      </c>
      <c r="K521" s="49" t="s">
        <v>432</v>
      </c>
      <c r="L521" s="49" t="s">
        <v>480</v>
      </c>
      <c r="M521" s="49">
        <v>1</v>
      </c>
      <c r="N521" s="80">
        <v>300</v>
      </c>
      <c r="O521" s="51">
        <v>300</v>
      </c>
      <c r="P521" s="81" t="str">
        <f t="shared" si="98"/>
        <v>OK</v>
      </c>
      <c r="Q521" s="142"/>
      <c r="R521" s="76"/>
      <c r="S521" s="81" t="str">
        <f t="shared" si="99"/>
        <v/>
      </c>
      <c r="T521" s="81" t="str">
        <f t="shared" si="100"/>
        <v/>
      </c>
      <c r="U521" s="46">
        <v>44663</v>
      </c>
      <c r="V521" s="50">
        <f t="shared" si="93"/>
        <v>300</v>
      </c>
      <c r="W521" s="53">
        <f t="shared" si="94"/>
        <v>0</v>
      </c>
    </row>
    <row r="522" spans="1:23" ht="25.5" x14ac:dyDescent="0.25">
      <c r="A522" s="35" t="s">
        <v>2638</v>
      </c>
      <c r="B522" s="36">
        <v>44663</v>
      </c>
      <c r="C522" s="35" t="s">
        <v>3175</v>
      </c>
      <c r="D522" s="36" t="s">
        <v>501</v>
      </c>
      <c r="E522" s="73" t="s">
        <v>1072</v>
      </c>
      <c r="F522" s="38" t="s">
        <v>3261</v>
      </c>
      <c r="G522" s="37" t="s">
        <v>3262</v>
      </c>
      <c r="H522" s="37" t="s">
        <v>3263</v>
      </c>
      <c r="I522" s="38" t="s">
        <v>320</v>
      </c>
      <c r="J522" s="39" t="s">
        <v>317</v>
      </c>
      <c r="K522" s="39" t="s">
        <v>432</v>
      </c>
      <c r="L522" s="39" t="s">
        <v>480</v>
      </c>
      <c r="M522" s="39">
        <v>1</v>
      </c>
      <c r="N522" s="86">
        <v>300</v>
      </c>
      <c r="O522" s="41">
        <v>300</v>
      </c>
      <c r="P522" s="86" t="str">
        <f t="shared" si="98"/>
        <v>OK</v>
      </c>
      <c r="Q522" s="143"/>
      <c r="R522" s="78"/>
      <c r="S522" s="87" t="str">
        <f t="shared" si="99"/>
        <v/>
      </c>
      <c r="T522" s="87" t="str">
        <f t="shared" si="100"/>
        <v/>
      </c>
      <c r="U522" s="36">
        <v>44663</v>
      </c>
      <c r="V522" s="40">
        <f t="shared" si="93"/>
        <v>300</v>
      </c>
      <c r="W522" s="43">
        <f t="shared" si="94"/>
        <v>0</v>
      </c>
    </row>
    <row r="523" spans="1:23" ht="25.5" x14ac:dyDescent="0.25">
      <c r="A523" s="45" t="s">
        <v>2639</v>
      </c>
      <c r="B523" s="46">
        <v>44658</v>
      </c>
      <c r="C523" s="45" t="s">
        <v>3176</v>
      </c>
      <c r="D523" s="46" t="s">
        <v>466</v>
      </c>
      <c r="E523" s="72" t="s">
        <v>1070</v>
      </c>
      <c r="F523" s="48" t="s">
        <v>3264</v>
      </c>
      <c r="G523" s="47" t="s">
        <v>3265</v>
      </c>
      <c r="H523" s="47" t="s">
        <v>469</v>
      </c>
      <c r="I523" s="48" t="s">
        <v>320</v>
      </c>
      <c r="J523" s="48" t="s">
        <v>317</v>
      </c>
      <c r="K523" s="49" t="s">
        <v>16</v>
      </c>
      <c r="L523" s="49" t="s">
        <v>27</v>
      </c>
      <c r="M523" s="49">
        <v>11</v>
      </c>
      <c r="N523" s="80">
        <v>300</v>
      </c>
      <c r="O523" s="51">
        <v>300</v>
      </c>
      <c r="P523" s="81" t="str">
        <f t="shared" si="98"/>
        <v>OK</v>
      </c>
      <c r="Q523" s="142"/>
      <c r="R523" s="76"/>
      <c r="S523" s="81" t="str">
        <f t="shared" si="99"/>
        <v/>
      </c>
      <c r="T523" s="81" t="str">
        <f t="shared" si="100"/>
        <v/>
      </c>
      <c r="U523" s="46">
        <v>44663</v>
      </c>
      <c r="V523" s="50">
        <f t="shared" si="93"/>
        <v>300</v>
      </c>
      <c r="W523" s="53">
        <f t="shared" si="94"/>
        <v>0</v>
      </c>
    </row>
    <row r="524" spans="1:23" ht="25.5" x14ac:dyDescent="0.25">
      <c r="A524" s="35" t="s">
        <v>2640</v>
      </c>
      <c r="B524" s="36">
        <v>44663</v>
      </c>
      <c r="C524" s="35" t="s">
        <v>3177</v>
      </c>
      <c r="D524" s="36" t="s">
        <v>466</v>
      </c>
      <c r="E524" s="73" t="s">
        <v>1070</v>
      </c>
      <c r="F524" s="38" t="s">
        <v>3266</v>
      </c>
      <c r="G524" s="37" t="s">
        <v>3267</v>
      </c>
      <c r="H524" s="37" t="s">
        <v>3268</v>
      </c>
      <c r="I524" s="38" t="s">
        <v>320</v>
      </c>
      <c r="J524" s="39" t="s">
        <v>317</v>
      </c>
      <c r="K524" s="39" t="s">
        <v>16</v>
      </c>
      <c r="L524" s="39" t="s">
        <v>27</v>
      </c>
      <c r="M524" s="39">
        <v>11</v>
      </c>
      <c r="N524" s="86">
        <v>300</v>
      </c>
      <c r="O524" s="41">
        <v>300</v>
      </c>
      <c r="P524" s="86" t="str">
        <f t="shared" si="98"/>
        <v>OK</v>
      </c>
      <c r="Q524" s="143"/>
      <c r="R524" s="78"/>
      <c r="S524" s="87" t="str">
        <f t="shared" si="99"/>
        <v/>
      </c>
      <c r="T524" s="87" t="str">
        <f t="shared" si="100"/>
        <v/>
      </c>
      <c r="U524" s="36">
        <v>44663</v>
      </c>
      <c r="V524" s="40">
        <f t="shared" si="93"/>
        <v>300</v>
      </c>
      <c r="W524" s="43">
        <f t="shared" si="94"/>
        <v>0</v>
      </c>
    </row>
    <row r="525" spans="1:23" ht="25.5" x14ac:dyDescent="0.25">
      <c r="A525" s="45" t="s">
        <v>2641</v>
      </c>
      <c r="B525" s="46">
        <v>44595</v>
      </c>
      <c r="C525" s="45" t="s">
        <v>3178</v>
      </c>
      <c r="D525" s="46" t="s">
        <v>1079</v>
      </c>
      <c r="E525" s="72" t="s">
        <v>980</v>
      </c>
      <c r="F525" s="48" t="s">
        <v>3269</v>
      </c>
      <c r="G525" s="47" t="s">
        <v>3270</v>
      </c>
      <c r="H525" s="47" t="s">
        <v>3271</v>
      </c>
      <c r="I525" s="48" t="s">
        <v>2238</v>
      </c>
      <c r="J525" s="48" t="s">
        <v>2239</v>
      </c>
      <c r="K525" s="49" t="s">
        <v>31</v>
      </c>
      <c r="L525" s="49" t="s">
        <v>1413</v>
      </c>
      <c r="M525" s="49">
        <v>15</v>
      </c>
      <c r="N525" s="80">
        <f>IF(M525="","",IF(M525=1,300,IF(M525=2,370,IF(M525=3,630,IF(M525=4,830,IF(M525=5,370,IF(M525=6,430,IF(M525=7,530,IF(M525=8,370,IF(M525=9,700,IF(M525=10,870,IF(M525=11,370,IF(M525=12,370,IF(M525=13,370,IF(M525=13,370,IF(M525=14,370,IF(M525=15,370,IF(M525=16,300,IF(M525=17,300,IF(M525=18,170,IF(M525=19,330)))))))))))))))))))))</f>
        <v>370</v>
      </c>
      <c r="O525" s="51">
        <v>370</v>
      </c>
      <c r="P525" s="81" t="str">
        <f t="shared" si="98"/>
        <v>OK</v>
      </c>
      <c r="Q525" s="142"/>
      <c r="R525" s="76"/>
      <c r="S525" s="81" t="str">
        <f t="shared" si="99"/>
        <v/>
      </c>
      <c r="T525" s="81" t="str">
        <f t="shared" si="100"/>
        <v/>
      </c>
      <c r="U525" s="46">
        <v>44676</v>
      </c>
      <c r="V525" s="50">
        <f t="shared" si="93"/>
        <v>370</v>
      </c>
      <c r="W525" s="53">
        <f t="shared" si="94"/>
        <v>0</v>
      </c>
    </row>
    <row r="526" spans="1:23" ht="25.5" x14ac:dyDescent="0.25">
      <c r="A526" s="35" t="s">
        <v>2642</v>
      </c>
      <c r="B526" s="36">
        <v>44676</v>
      </c>
      <c r="C526" s="35" t="s">
        <v>3179</v>
      </c>
      <c r="D526" s="36" t="s">
        <v>3272</v>
      </c>
      <c r="E526" s="73" t="s">
        <v>3273</v>
      </c>
      <c r="F526" s="38" t="s">
        <v>3274</v>
      </c>
      <c r="G526" s="37" t="s">
        <v>3275</v>
      </c>
      <c r="H526" s="37" t="s">
        <v>3276</v>
      </c>
      <c r="I526" s="38" t="s">
        <v>2238</v>
      </c>
      <c r="J526" s="39" t="s">
        <v>2239</v>
      </c>
      <c r="K526" s="39" t="s">
        <v>31</v>
      </c>
      <c r="L526" s="39" t="s">
        <v>1413</v>
      </c>
      <c r="M526" s="39">
        <v>15</v>
      </c>
      <c r="N526" s="86">
        <v>370</v>
      </c>
      <c r="O526" s="41">
        <v>370</v>
      </c>
      <c r="P526" s="86" t="str">
        <f t="shared" si="98"/>
        <v>OK</v>
      </c>
      <c r="Q526" s="143"/>
      <c r="R526" s="78"/>
      <c r="S526" s="87" t="str">
        <f t="shared" si="99"/>
        <v/>
      </c>
      <c r="T526" s="87" t="str">
        <f t="shared" si="100"/>
        <v/>
      </c>
      <c r="U526" s="36">
        <v>44676</v>
      </c>
      <c r="V526" s="40">
        <f t="shared" si="93"/>
        <v>370</v>
      </c>
      <c r="W526" s="43">
        <f t="shared" si="94"/>
        <v>0</v>
      </c>
    </row>
    <row r="527" spans="1:23" ht="38.25" x14ac:dyDescent="0.25">
      <c r="A527" s="45" t="s">
        <v>2643</v>
      </c>
      <c r="B527" s="46">
        <v>44596</v>
      </c>
      <c r="C527" s="45" t="s">
        <v>3180</v>
      </c>
      <c r="D527" s="46" t="s">
        <v>868</v>
      </c>
      <c r="E527" s="72" t="s">
        <v>1070</v>
      </c>
      <c r="F527" s="48" t="s">
        <v>3277</v>
      </c>
      <c r="G527" s="47" t="s">
        <v>3278</v>
      </c>
      <c r="H527" s="47" t="s">
        <v>3279</v>
      </c>
      <c r="I527" s="48" t="s">
        <v>320</v>
      </c>
      <c r="J527" s="48" t="s">
        <v>317</v>
      </c>
      <c r="K527" s="49" t="s">
        <v>16</v>
      </c>
      <c r="L527" s="49" t="s">
        <v>25</v>
      </c>
      <c r="M527" s="49">
        <v>10</v>
      </c>
      <c r="N527" s="80">
        <f>IF(M527="","",IF(M527=1,300,IF(M527=2,370,IF(M527=3,630,IF(M527=4,830,IF(M527=5,370,IF(M527=6,430,IF(M527=7,530,IF(M527=8,370,IF(M527=9,700,IF(M527=10,870,IF(M527=11,370,IF(M527=12,370,IF(M527=13,370,IF(M527=13,370,IF(M527=14,370,IF(M527=15,370,IF(M527=16,300,IF(M527=17,300,IF(M527=18,170,IF(M527=19,330)))))))))))))))))))))</f>
        <v>870</v>
      </c>
      <c r="O527" s="51">
        <v>370</v>
      </c>
      <c r="P527" s="81" t="str">
        <f t="shared" si="98"/>
        <v>OK</v>
      </c>
      <c r="Q527" s="142"/>
      <c r="R527" s="76"/>
      <c r="S527" s="81" t="str">
        <f t="shared" si="99"/>
        <v/>
      </c>
      <c r="T527" s="81" t="str">
        <f t="shared" si="100"/>
        <v/>
      </c>
      <c r="U527" s="46">
        <v>44676</v>
      </c>
      <c r="V527" s="50">
        <f t="shared" si="93"/>
        <v>370</v>
      </c>
      <c r="W527" s="53">
        <f t="shared" si="94"/>
        <v>0</v>
      </c>
    </row>
    <row r="528" spans="1:23" ht="51" x14ac:dyDescent="0.25">
      <c r="A528" s="35" t="s">
        <v>2644</v>
      </c>
      <c r="B528" s="36">
        <v>44675</v>
      </c>
      <c r="C528" s="35" t="s">
        <v>3181</v>
      </c>
      <c r="D528" s="36" t="s">
        <v>3018</v>
      </c>
      <c r="E528" s="73" t="s">
        <v>1064</v>
      </c>
      <c r="F528" s="38" t="s">
        <v>3182</v>
      </c>
      <c r="G528" s="37" t="s">
        <v>3183</v>
      </c>
      <c r="H528" s="37" t="s">
        <v>3184</v>
      </c>
      <c r="I528" s="38" t="s">
        <v>3185</v>
      </c>
      <c r="J528" s="39" t="s">
        <v>3186</v>
      </c>
      <c r="K528" s="39" t="s">
        <v>31</v>
      </c>
      <c r="L528" s="39" t="s">
        <v>1413</v>
      </c>
      <c r="M528" s="39">
        <v>15</v>
      </c>
      <c r="N528" s="86">
        <f>IF(M528="","",IF(M528=1,300,IF(M528=2,370,IF(M528=3,630,IF(M528=4,830,IF(M528=5,370,IF(M528=6,430,IF(M528=7,530,IF(M528=8,370,IF(M528=9,700,IF(M528=10,870,IF(M528=11,370,IF(M528=12,370,IF(M528=13,370,IF(M528=13,370,IF(M528=14,370,IF(M528=15,370,IF(M528=16,300,IF(M528=17,300,IF(M528=18,170,IF(M528=19,330)))))))))))))))))))))</f>
        <v>370</v>
      </c>
      <c r="O528" s="41">
        <v>370</v>
      </c>
      <c r="P528" s="86" t="str">
        <f t="shared" si="98"/>
        <v>OK</v>
      </c>
      <c r="Q528" s="143"/>
      <c r="R528" s="78"/>
      <c r="S528" s="87" t="str">
        <f t="shared" si="99"/>
        <v/>
      </c>
      <c r="T528" s="87" t="str">
        <f t="shared" si="100"/>
        <v/>
      </c>
      <c r="U528" s="36">
        <v>44677</v>
      </c>
      <c r="V528" s="40">
        <f t="shared" si="93"/>
        <v>370</v>
      </c>
      <c r="W528" s="43">
        <f t="shared" si="94"/>
        <v>0</v>
      </c>
    </row>
    <row r="529" spans="1:23" ht="25.5" x14ac:dyDescent="0.25">
      <c r="A529" s="45" t="s">
        <v>2645</v>
      </c>
      <c r="B529" s="72">
        <v>44677</v>
      </c>
      <c r="C529" s="45" t="s">
        <v>3187</v>
      </c>
      <c r="D529" s="46" t="s">
        <v>659</v>
      </c>
      <c r="E529" s="72" t="s">
        <v>1073</v>
      </c>
      <c r="F529" s="48" t="s">
        <v>3188</v>
      </c>
      <c r="G529" s="47" t="s">
        <v>2500</v>
      </c>
      <c r="H529" s="47" t="s">
        <v>3189</v>
      </c>
      <c r="I529" s="48" t="s">
        <v>320</v>
      </c>
      <c r="J529" s="48" t="s">
        <v>317</v>
      </c>
      <c r="K529" s="49" t="s">
        <v>432</v>
      </c>
      <c r="L529" s="49" t="s">
        <v>480</v>
      </c>
      <c r="M529" s="49">
        <v>1</v>
      </c>
      <c r="N529" s="80">
        <v>300</v>
      </c>
      <c r="O529" s="51">
        <v>300</v>
      </c>
      <c r="P529" s="81" t="str">
        <f t="shared" si="98"/>
        <v>OK</v>
      </c>
      <c r="Q529" s="142"/>
      <c r="R529" s="76"/>
      <c r="S529" s="81" t="str">
        <f t="shared" si="99"/>
        <v/>
      </c>
      <c r="T529" s="81" t="str">
        <f t="shared" si="100"/>
        <v/>
      </c>
      <c r="U529" s="46">
        <v>44677</v>
      </c>
      <c r="V529" s="50">
        <f t="shared" si="93"/>
        <v>300</v>
      </c>
      <c r="W529" s="53">
        <f t="shared" si="94"/>
        <v>0</v>
      </c>
    </row>
    <row r="530" spans="1:23" ht="25.5" x14ac:dyDescent="0.25">
      <c r="A530" s="35" t="s">
        <v>2646</v>
      </c>
      <c r="B530" s="36">
        <v>44678</v>
      </c>
      <c r="C530" s="35" t="s">
        <v>3190</v>
      </c>
      <c r="D530" s="36" t="s">
        <v>999</v>
      </c>
      <c r="E530" s="73" t="s">
        <v>1064</v>
      </c>
      <c r="F530" s="38" t="s">
        <v>3191</v>
      </c>
      <c r="G530" s="37" t="s">
        <v>3192</v>
      </c>
      <c r="H530" s="37" t="s">
        <v>3193</v>
      </c>
      <c r="I530" s="38" t="s">
        <v>320</v>
      </c>
      <c r="J530" s="39" t="s">
        <v>317</v>
      </c>
      <c r="K530" s="39" t="s">
        <v>432</v>
      </c>
      <c r="L530" s="39" t="s">
        <v>480</v>
      </c>
      <c r="M530" s="39">
        <v>1</v>
      </c>
      <c r="N530" s="86">
        <v>300</v>
      </c>
      <c r="O530" s="41">
        <v>300</v>
      </c>
      <c r="P530" s="86" t="str">
        <f t="shared" si="98"/>
        <v>OK</v>
      </c>
      <c r="Q530" s="143"/>
      <c r="R530" s="78"/>
      <c r="S530" s="87" t="str">
        <f t="shared" si="99"/>
        <v/>
      </c>
      <c r="T530" s="87" t="str">
        <f t="shared" si="100"/>
        <v/>
      </c>
      <c r="U530" s="36">
        <v>44679</v>
      </c>
      <c r="V530" s="40">
        <f t="shared" si="93"/>
        <v>300</v>
      </c>
      <c r="W530" s="43">
        <f t="shared" si="94"/>
        <v>0</v>
      </c>
    </row>
    <row r="531" spans="1:23" ht="25.5" x14ac:dyDescent="0.25">
      <c r="A531" s="45" t="s">
        <v>2647</v>
      </c>
      <c r="B531" s="46">
        <v>44679</v>
      </c>
      <c r="C531" s="45" t="s">
        <v>3194</v>
      </c>
      <c r="D531" s="46" t="s">
        <v>1173</v>
      </c>
      <c r="E531" s="72" t="s">
        <v>1311</v>
      </c>
      <c r="F531" s="48" t="s">
        <v>3195</v>
      </c>
      <c r="G531" s="47" t="s">
        <v>3196</v>
      </c>
      <c r="H531" s="47" t="s">
        <v>3197</v>
      </c>
      <c r="I531" s="48" t="s">
        <v>1189</v>
      </c>
      <c r="J531" s="48" t="s">
        <v>743</v>
      </c>
      <c r="K531" s="49" t="s">
        <v>31</v>
      </c>
      <c r="L531" s="49" t="s">
        <v>1413</v>
      </c>
      <c r="M531" s="49">
        <v>15</v>
      </c>
      <c r="N531" s="80">
        <f>IF(M531="","",IF(M531=1,300,IF(M531=2,370,IF(M531=3,630,IF(M531=4,830,IF(M531=5,370,IF(M531=6,430,IF(M531=7,530,IF(M531=8,370,IF(M531=9,700,IF(M531=10,870,IF(M531=11,370,IF(M531=12,370,IF(M531=13,370,IF(M531=13,370,IF(M531=14,370,IF(M531=15,370,IF(M531=16,300,IF(M531=17,300,IF(M531=18,170,IF(M531=19,330)))))))))))))))))))))</f>
        <v>370</v>
      </c>
      <c r="O531" s="51">
        <v>370</v>
      </c>
      <c r="P531" s="81" t="str">
        <f t="shared" si="98"/>
        <v>OK</v>
      </c>
      <c r="Q531" s="142"/>
      <c r="R531" s="76"/>
      <c r="S531" s="81" t="str">
        <f t="shared" si="99"/>
        <v/>
      </c>
      <c r="T531" s="81" t="str">
        <f t="shared" si="100"/>
        <v/>
      </c>
      <c r="U531" s="46">
        <v>44679</v>
      </c>
      <c r="V531" s="50">
        <f t="shared" si="93"/>
        <v>370</v>
      </c>
      <c r="W531" s="53">
        <f t="shared" si="94"/>
        <v>0</v>
      </c>
    </row>
    <row r="532" spans="1:23" ht="25.5" x14ac:dyDescent="0.25">
      <c r="A532" s="35" t="s">
        <v>2648</v>
      </c>
      <c r="B532" s="36">
        <v>44496</v>
      </c>
      <c r="C532" s="35" t="s">
        <v>3198</v>
      </c>
      <c r="D532" s="36" t="s">
        <v>1000</v>
      </c>
      <c r="E532" s="73" t="s">
        <v>100</v>
      </c>
      <c r="F532" s="38" t="s">
        <v>3199</v>
      </c>
      <c r="G532" s="37" t="s">
        <v>3200</v>
      </c>
      <c r="H532" s="37" t="s">
        <v>3201</v>
      </c>
      <c r="I532" s="38" t="s">
        <v>2151</v>
      </c>
      <c r="J532" s="39" t="s">
        <v>2152</v>
      </c>
      <c r="K532" s="39" t="s">
        <v>37</v>
      </c>
      <c r="L532" s="39"/>
      <c r="M532" s="39">
        <v>16</v>
      </c>
      <c r="N532" s="86">
        <f>IF(M532="","",IF(M532=1,300,IF(M532=2,370,IF(M532=3,630,IF(M532=4,830,IF(M532=5,370,IF(M532=6,430,IF(M532=7,530,IF(M532=8,370,IF(M532=9,700,IF(M532=10,870,IF(M532=11,370,IF(M532=12,370,IF(M532=13,370,IF(M532=13,370,IF(M532=14,370,IF(M532=15,370,IF(M532=16,300,IF(M532=17,300,IF(M532=18,170,IF(M532=19,330)))))))))))))))))))))</f>
        <v>300</v>
      </c>
      <c r="O532" s="41">
        <v>300</v>
      </c>
      <c r="P532" s="86" t="str">
        <f t="shared" si="98"/>
        <v>OK</v>
      </c>
      <c r="Q532" s="143"/>
      <c r="R532" s="78"/>
      <c r="S532" s="87" t="str">
        <f t="shared" si="99"/>
        <v/>
      </c>
      <c r="T532" s="87" t="str">
        <f t="shared" si="100"/>
        <v/>
      </c>
      <c r="U532" s="36">
        <v>44679</v>
      </c>
      <c r="V532" s="40">
        <f t="shared" si="93"/>
        <v>300</v>
      </c>
      <c r="W532" s="43">
        <f t="shared" si="94"/>
        <v>0</v>
      </c>
    </row>
    <row r="533" spans="1:23" ht="38.25" x14ac:dyDescent="0.25">
      <c r="A533" s="45" t="s">
        <v>2649</v>
      </c>
      <c r="B533" s="46">
        <v>44496</v>
      </c>
      <c r="C533" s="45" t="s">
        <v>3202</v>
      </c>
      <c r="D533" s="46" t="s">
        <v>1000</v>
      </c>
      <c r="E533" s="72" t="s">
        <v>1064</v>
      </c>
      <c r="F533" s="48" t="s">
        <v>3203</v>
      </c>
      <c r="G533" s="47" t="s">
        <v>3204</v>
      </c>
      <c r="H533" s="47" t="s">
        <v>3205</v>
      </c>
      <c r="I533" s="48" t="s">
        <v>2151</v>
      </c>
      <c r="J533" s="48" t="s">
        <v>2152</v>
      </c>
      <c r="K533" s="49" t="s">
        <v>37</v>
      </c>
      <c r="L533" s="49"/>
      <c r="M533" s="49">
        <v>16</v>
      </c>
      <c r="N533" s="80">
        <v>300</v>
      </c>
      <c r="O533" s="51">
        <v>300</v>
      </c>
      <c r="P533" s="81" t="s">
        <v>1017</v>
      </c>
      <c r="Q533" s="142"/>
      <c r="R533" s="76"/>
      <c r="S533" s="81" t="s">
        <v>415</v>
      </c>
      <c r="T533" s="81" t="s">
        <v>415</v>
      </c>
      <c r="U533" s="46">
        <v>44679</v>
      </c>
      <c r="V533" s="50">
        <f t="shared" si="93"/>
        <v>300</v>
      </c>
      <c r="W533" s="53">
        <f t="shared" si="94"/>
        <v>0</v>
      </c>
    </row>
    <row r="534" spans="1:23" ht="25.5" x14ac:dyDescent="0.25">
      <c r="A534" s="35" t="s">
        <v>2650</v>
      </c>
      <c r="B534" s="36">
        <v>44680</v>
      </c>
      <c r="C534" s="35" t="s">
        <v>3206</v>
      </c>
      <c r="D534" s="36" t="s">
        <v>999</v>
      </c>
      <c r="E534" s="73" t="s">
        <v>1064</v>
      </c>
      <c r="F534" s="38" t="s">
        <v>3207</v>
      </c>
      <c r="G534" s="37" t="s">
        <v>3208</v>
      </c>
      <c r="H534" s="37" t="s">
        <v>3209</v>
      </c>
      <c r="I534" s="38" t="s">
        <v>320</v>
      </c>
      <c r="J534" s="39" t="s">
        <v>317</v>
      </c>
      <c r="K534" s="39" t="s">
        <v>432</v>
      </c>
      <c r="L534" s="39" t="s">
        <v>480</v>
      </c>
      <c r="M534" s="39">
        <v>1</v>
      </c>
      <c r="N534" s="86">
        <v>300</v>
      </c>
      <c r="O534" s="41">
        <v>300</v>
      </c>
      <c r="P534" s="86" t="str">
        <f t="shared" si="98"/>
        <v>OK</v>
      </c>
      <c r="Q534" s="143"/>
      <c r="R534" s="78"/>
      <c r="S534" s="87" t="str">
        <f t="shared" si="99"/>
        <v/>
      </c>
      <c r="T534" s="87" t="str">
        <f t="shared" si="100"/>
        <v/>
      </c>
      <c r="U534" s="36">
        <v>44680</v>
      </c>
      <c r="V534" s="40">
        <f t="shared" si="93"/>
        <v>300</v>
      </c>
      <c r="W534" s="43">
        <f t="shared" si="94"/>
        <v>0</v>
      </c>
    </row>
    <row r="535" spans="1:23" ht="25.5" x14ac:dyDescent="0.25">
      <c r="A535" s="45" t="s">
        <v>2651</v>
      </c>
      <c r="B535" s="46">
        <v>44680</v>
      </c>
      <c r="C535" s="45" t="s">
        <v>3210</v>
      </c>
      <c r="D535" s="46" t="s">
        <v>501</v>
      </c>
      <c r="E535" s="72" t="s">
        <v>1072</v>
      </c>
      <c r="F535" s="48" t="s">
        <v>3211</v>
      </c>
      <c r="G535" s="47" t="s">
        <v>3212</v>
      </c>
      <c r="H535" s="47" t="s">
        <v>3213</v>
      </c>
      <c r="I535" s="48" t="s">
        <v>320</v>
      </c>
      <c r="J535" s="48" t="s">
        <v>317</v>
      </c>
      <c r="K535" s="49" t="s">
        <v>432</v>
      </c>
      <c r="L535" s="49" t="s">
        <v>480</v>
      </c>
      <c r="M535" s="49">
        <v>1</v>
      </c>
      <c r="N535" s="80">
        <v>300</v>
      </c>
      <c r="O535" s="51">
        <v>300</v>
      </c>
      <c r="P535" s="81" t="str">
        <f t="shared" si="98"/>
        <v>OK</v>
      </c>
      <c r="Q535" s="142"/>
      <c r="R535" s="76"/>
      <c r="S535" s="81" t="str">
        <f t="shared" si="99"/>
        <v/>
      </c>
      <c r="T535" s="81" t="str">
        <f t="shared" si="100"/>
        <v/>
      </c>
      <c r="U535" s="46">
        <v>44680</v>
      </c>
      <c r="V535" s="50">
        <f t="shared" si="93"/>
        <v>300</v>
      </c>
      <c r="W535" s="53">
        <f t="shared" si="94"/>
        <v>0</v>
      </c>
    </row>
    <row r="536" spans="1:23" x14ac:dyDescent="0.25">
      <c r="A536" s="35" t="s">
        <v>2652</v>
      </c>
      <c r="B536" s="36"/>
      <c r="C536" s="35"/>
      <c r="D536" s="36"/>
      <c r="E536" s="73"/>
      <c r="F536" s="38"/>
      <c r="G536" s="37"/>
      <c r="H536" s="37"/>
      <c r="I536" s="38"/>
      <c r="J536" s="39"/>
      <c r="K536" s="39"/>
      <c r="L536" s="39"/>
      <c r="M536" s="39"/>
      <c r="N536" s="86" t="str">
        <f>IF(M536="","",IF(M536=1,300,IF(M536=2,370,IF(M536=3,630,IF(M536=4,830,IF(M536=5,370,IF(M536=6,430,IF(M536=7,530,IF(M536=8,370,IF(M536=9,700,IF(M536=10,870,IF(M536=11,370,IF(M536=12,370,IF(M536=13,370,IF(M536=13,370,IF(M536=14,370,IF(M536=15,370,IF(M536=16,300,IF(M536=17,300,IF(M536=18,170,IF(M536=19,330)))))))))))))))))))))</f>
        <v/>
      </c>
      <c r="O536" s="41"/>
      <c r="P536" s="86" t="str">
        <f t="shared" si="98"/>
        <v/>
      </c>
      <c r="Q536" s="143"/>
      <c r="R536" s="78"/>
      <c r="S536" s="87" t="str">
        <f t="shared" si="99"/>
        <v/>
      </c>
      <c r="T536" s="87" t="str">
        <f t="shared" si="100"/>
        <v/>
      </c>
      <c r="U536" s="36"/>
      <c r="V536" s="40" t="str">
        <f t="shared" si="93"/>
        <v/>
      </c>
      <c r="W536" s="43" t="str">
        <f t="shared" si="94"/>
        <v/>
      </c>
    </row>
    <row r="537" spans="1:23" x14ac:dyDescent="0.25">
      <c r="A537" s="45" t="s">
        <v>2653</v>
      </c>
      <c r="B537" s="46"/>
      <c r="C537" s="45"/>
      <c r="D537" s="46"/>
      <c r="E537" s="72"/>
      <c r="F537" s="48"/>
      <c r="G537" s="47"/>
      <c r="H537" s="47"/>
      <c r="I537" s="48"/>
      <c r="J537" s="48"/>
      <c r="K537" s="49"/>
      <c r="L537" s="49"/>
      <c r="M537" s="49"/>
      <c r="N537" s="80"/>
      <c r="O537" s="51"/>
      <c r="P537" s="81"/>
      <c r="Q537" s="142"/>
      <c r="R537" s="76"/>
      <c r="S537" s="81"/>
      <c r="T537" s="81"/>
      <c r="U537" s="46"/>
      <c r="V537" s="50"/>
      <c r="W537" s="53"/>
    </row>
    <row r="538" spans="1:23" ht="38.25" x14ac:dyDescent="0.25">
      <c r="A538" s="35" t="s">
        <v>2654</v>
      </c>
      <c r="B538" s="36">
        <v>44673</v>
      </c>
      <c r="C538" s="35" t="s">
        <v>3157</v>
      </c>
      <c r="D538" s="36" t="s">
        <v>999</v>
      </c>
      <c r="E538" s="73" t="s">
        <v>1064</v>
      </c>
      <c r="F538" s="38" t="s">
        <v>3158</v>
      </c>
      <c r="G538" s="37" t="s">
        <v>3159</v>
      </c>
      <c r="H538" s="37" t="s">
        <v>3160</v>
      </c>
      <c r="I538" s="38" t="s">
        <v>320</v>
      </c>
      <c r="J538" s="39" t="s">
        <v>317</v>
      </c>
      <c r="K538" s="39" t="s">
        <v>432</v>
      </c>
      <c r="L538" s="39" t="s">
        <v>480</v>
      </c>
      <c r="M538" s="39">
        <v>1</v>
      </c>
      <c r="N538" s="86">
        <v>300</v>
      </c>
      <c r="O538" s="41">
        <v>300</v>
      </c>
      <c r="P538" s="86" t="str">
        <f t="shared" si="98"/>
        <v>OK</v>
      </c>
      <c r="Q538" s="143"/>
      <c r="R538" s="78"/>
      <c r="S538" s="87" t="str">
        <f t="shared" si="99"/>
        <v/>
      </c>
      <c r="T538" s="87" t="str">
        <f t="shared" si="100"/>
        <v/>
      </c>
      <c r="U538" s="36">
        <v>44673</v>
      </c>
      <c r="V538" s="40">
        <f t="shared" si="93"/>
        <v>300</v>
      </c>
      <c r="W538" s="43">
        <f t="shared" si="94"/>
        <v>0</v>
      </c>
    </row>
    <row r="539" spans="1:23" ht="25.5" x14ac:dyDescent="0.25">
      <c r="A539" s="45" t="s">
        <v>2655</v>
      </c>
      <c r="B539" s="46">
        <v>44662</v>
      </c>
      <c r="C539" s="45" t="s">
        <v>3280</v>
      </c>
      <c r="D539" s="46" t="s">
        <v>3281</v>
      </c>
      <c r="E539" s="72" t="s">
        <v>1064</v>
      </c>
      <c r="F539" s="48" t="s">
        <v>3282</v>
      </c>
      <c r="G539" s="47" t="s">
        <v>3283</v>
      </c>
      <c r="H539" s="47" t="s">
        <v>3284</v>
      </c>
      <c r="I539" s="48" t="s">
        <v>3285</v>
      </c>
      <c r="J539" s="48" t="s">
        <v>3286</v>
      </c>
      <c r="K539" s="49" t="s">
        <v>16</v>
      </c>
      <c r="L539" s="49" t="s">
        <v>765</v>
      </c>
      <c r="M539" s="49">
        <v>8</v>
      </c>
      <c r="N539" s="80">
        <f>IF(M539="","",IF(M539=1,300,IF(M539=2,370,IF(M539=3,630,IF(M539=4,830,IF(M539=5,370,IF(M539=6,430,IF(M539=7,530,IF(M539=8,370,IF(M539=9,700,IF(M539=10,870,IF(M539=11,370,IF(M539=12,370,IF(M539=13,370,IF(M539=13,370,IF(M539=14,370,IF(M539=15,370,IF(M539=16,300,IF(M539=17,300,IF(M539=18,170,IF(M539=19,330)))))))))))))))))))))</f>
        <v>370</v>
      </c>
      <c r="O539" s="51">
        <v>370</v>
      </c>
      <c r="P539" s="81" t="str">
        <f t="shared" si="98"/>
        <v>OK</v>
      </c>
      <c r="Q539" s="142"/>
      <c r="R539" s="76"/>
      <c r="S539" s="81" t="str">
        <f t="shared" si="99"/>
        <v/>
      </c>
      <c r="T539" s="81" t="str">
        <f t="shared" si="100"/>
        <v/>
      </c>
      <c r="U539" s="46">
        <v>44684</v>
      </c>
      <c r="V539" s="50">
        <f t="shared" si="93"/>
        <v>370</v>
      </c>
      <c r="W539" s="53">
        <f t="shared" si="94"/>
        <v>0</v>
      </c>
    </row>
    <row r="540" spans="1:23" ht="25.5" x14ac:dyDescent="0.25">
      <c r="A540" s="35" t="s">
        <v>2656</v>
      </c>
      <c r="B540" s="36">
        <v>44406</v>
      </c>
      <c r="C540" s="35" t="s">
        <v>3287</v>
      </c>
      <c r="D540" s="36" t="s">
        <v>993</v>
      </c>
      <c r="E540" s="73" t="s">
        <v>1080</v>
      </c>
      <c r="F540" s="38" t="s">
        <v>3288</v>
      </c>
      <c r="G540" s="37" t="s">
        <v>3289</v>
      </c>
      <c r="H540" s="37" t="s">
        <v>3290</v>
      </c>
      <c r="I540" s="38" t="s">
        <v>3291</v>
      </c>
      <c r="J540" s="39" t="s">
        <v>3292</v>
      </c>
      <c r="K540" s="39" t="s">
        <v>16</v>
      </c>
      <c r="L540" s="39" t="s">
        <v>23</v>
      </c>
      <c r="M540" s="39">
        <v>9</v>
      </c>
      <c r="N540" s="86">
        <f>IF(M540="","",IF(M540=1,300,IF(M540=2,370,IF(M540=3,630,IF(M540=4,830,IF(M540=5,370,IF(M540=6,430,IF(M540=7,530,IF(M540=8,370,IF(M540=9,700,IF(M540=10,870,IF(M540=11,370,IF(M540=12,370,IF(M540=13,370,IF(M540=13,370,IF(M540=14,370,IF(M540=15,370,IF(M540=16,300,IF(M540=17,300,IF(M540=18,170,IF(M540=19,330)))))))))))))))))))))</f>
        <v>700</v>
      </c>
      <c r="O540" s="41">
        <v>370</v>
      </c>
      <c r="P540" s="86" t="str">
        <f t="shared" si="98"/>
        <v>OK</v>
      </c>
      <c r="Q540" s="143"/>
      <c r="R540" s="78"/>
      <c r="S540" s="87" t="str">
        <f t="shared" si="99"/>
        <v/>
      </c>
      <c r="T540" s="87" t="str">
        <f t="shared" si="100"/>
        <v/>
      </c>
      <c r="U540" s="36">
        <v>44683</v>
      </c>
      <c r="V540" s="40">
        <f t="shared" si="93"/>
        <v>370</v>
      </c>
      <c r="W540" s="43">
        <f t="shared" si="94"/>
        <v>0</v>
      </c>
    </row>
    <row r="541" spans="1:23" ht="25.5" x14ac:dyDescent="0.25">
      <c r="A541" s="45" t="s">
        <v>2657</v>
      </c>
      <c r="B541" s="46">
        <v>44684</v>
      </c>
      <c r="C541" s="45" t="s">
        <v>3293</v>
      </c>
      <c r="D541" s="46" t="s">
        <v>1804</v>
      </c>
      <c r="E541" s="72" t="s">
        <v>1726</v>
      </c>
      <c r="F541" s="48" t="s">
        <v>3294</v>
      </c>
      <c r="G541" s="47" t="s">
        <v>3295</v>
      </c>
      <c r="H541" s="47" t="s">
        <v>3296</v>
      </c>
      <c r="I541" s="48" t="s">
        <v>1808</v>
      </c>
      <c r="J541" s="48" t="s">
        <v>1809</v>
      </c>
      <c r="K541" s="49" t="s">
        <v>31</v>
      </c>
      <c r="L541" s="49" t="s">
        <v>1413</v>
      </c>
      <c r="M541" s="49">
        <v>15</v>
      </c>
      <c r="N541" s="80">
        <f>IF(M541="","",IF(M541=1,300,IF(M541=2,370,IF(M541=3,630,IF(M541=4,830,IF(M541=5,370,IF(M541=6,430,IF(M541=7,530,IF(M541=8,370,IF(M541=9,700,IF(M541=10,870,IF(M541=11,370,IF(M541=12,370,IF(M541=13,370,IF(M541=13,370,IF(M541=14,370,IF(M541=15,370,IF(M541=16,300,IF(M541=17,300,IF(M541=18,170,IF(M541=19,330)))))))))))))))))))))</f>
        <v>370</v>
      </c>
      <c r="O541" s="51">
        <v>370</v>
      </c>
      <c r="P541" s="81" t="str">
        <f t="shared" si="98"/>
        <v>OK</v>
      </c>
      <c r="Q541" s="142"/>
      <c r="R541" s="76"/>
      <c r="S541" s="81" t="str">
        <f t="shared" si="99"/>
        <v/>
      </c>
      <c r="T541" s="81" t="str">
        <f t="shared" si="100"/>
        <v/>
      </c>
      <c r="U541" s="46">
        <v>44684</v>
      </c>
      <c r="V541" s="50">
        <f t="shared" si="93"/>
        <v>370</v>
      </c>
      <c r="W541" s="53">
        <f t="shared" si="94"/>
        <v>0</v>
      </c>
    </row>
    <row r="542" spans="1:23" ht="25.5" x14ac:dyDescent="0.25">
      <c r="A542" s="35" t="s">
        <v>2658</v>
      </c>
      <c r="B542" s="36">
        <v>44579</v>
      </c>
      <c r="C542" s="35" t="s">
        <v>3297</v>
      </c>
      <c r="D542" s="36" t="s">
        <v>3075</v>
      </c>
      <c r="E542" s="73" t="s">
        <v>1071</v>
      </c>
      <c r="F542" s="38" t="s">
        <v>3298</v>
      </c>
      <c r="G542" s="37" t="s">
        <v>3299</v>
      </c>
      <c r="H542" s="37" t="s">
        <v>3300</v>
      </c>
      <c r="I542" s="38" t="s">
        <v>320</v>
      </c>
      <c r="J542" s="39" t="s">
        <v>317</v>
      </c>
      <c r="K542" s="39" t="s">
        <v>16</v>
      </c>
      <c r="L542" s="39" t="s">
        <v>27</v>
      </c>
      <c r="M542" s="39">
        <v>11</v>
      </c>
      <c r="N542" s="86">
        <v>300</v>
      </c>
      <c r="O542" s="41">
        <v>300</v>
      </c>
      <c r="P542" s="86" t="str">
        <f t="shared" si="98"/>
        <v>OK</v>
      </c>
      <c r="Q542" s="143"/>
      <c r="R542" s="78"/>
      <c r="S542" s="87" t="str">
        <f t="shared" si="99"/>
        <v/>
      </c>
      <c r="T542" s="87" t="str">
        <f t="shared" si="100"/>
        <v/>
      </c>
      <c r="U542" s="36">
        <v>44684</v>
      </c>
      <c r="V542" s="40">
        <f t="shared" si="93"/>
        <v>300</v>
      </c>
      <c r="W542" s="43">
        <f t="shared" si="94"/>
        <v>0</v>
      </c>
    </row>
    <row r="543" spans="1:23" ht="38.25" x14ac:dyDescent="0.25">
      <c r="A543" s="45" t="s">
        <v>2659</v>
      </c>
      <c r="B543" s="46">
        <v>44537</v>
      </c>
      <c r="C543" s="45" t="s">
        <v>3301</v>
      </c>
      <c r="D543" s="46" t="s">
        <v>659</v>
      </c>
      <c r="E543" s="72" t="s">
        <v>1073</v>
      </c>
      <c r="F543" s="48" t="s">
        <v>3302</v>
      </c>
      <c r="G543" s="47" t="s">
        <v>3303</v>
      </c>
      <c r="H543" s="47" t="s">
        <v>1573</v>
      </c>
      <c r="I543" s="48" t="s">
        <v>320</v>
      </c>
      <c r="J543" s="48" t="s">
        <v>317</v>
      </c>
      <c r="K543" s="49" t="s">
        <v>432</v>
      </c>
      <c r="L543" s="49" t="s">
        <v>480</v>
      </c>
      <c r="M543" s="49">
        <v>1</v>
      </c>
      <c r="N543" s="80">
        <v>300</v>
      </c>
      <c r="O543" s="51">
        <v>370</v>
      </c>
      <c r="P543" s="81" t="str">
        <f t="shared" si="98"/>
        <v>OK</v>
      </c>
      <c r="Q543" s="142"/>
      <c r="R543" s="76"/>
      <c r="S543" s="81" t="str">
        <f t="shared" si="99"/>
        <v/>
      </c>
      <c r="T543" s="81" t="str">
        <f t="shared" si="100"/>
        <v/>
      </c>
      <c r="U543" s="46">
        <v>44687</v>
      </c>
      <c r="V543" s="50">
        <f t="shared" si="93"/>
        <v>370</v>
      </c>
      <c r="W543" s="53">
        <f t="shared" si="94"/>
        <v>0</v>
      </c>
    </row>
    <row r="544" spans="1:23" ht="38.25" x14ac:dyDescent="0.25">
      <c r="A544" s="35" t="s">
        <v>2660</v>
      </c>
      <c r="B544" s="36">
        <v>44498</v>
      </c>
      <c r="C544" s="35" t="s">
        <v>3304</v>
      </c>
      <c r="D544" s="36" t="s">
        <v>1134</v>
      </c>
      <c r="E544" s="73" t="s">
        <v>1073</v>
      </c>
      <c r="F544" s="38" t="s">
        <v>3305</v>
      </c>
      <c r="G544" s="37" t="s">
        <v>3306</v>
      </c>
      <c r="H544" s="37" t="s">
        <v>2041</v>
      </c>
      <c r="I544" s="38" t="s">
        <v>320</v>
      </c>
      <c r="J544" s="39" t="s">
        <v>317</v>
      </c>
      <c r="K544" s="39" t="s">
        <v>432</v>
      </c>
      <c r="L544" s="39" t="s">
        <v>480</v>
      </c>
      <c r="M544" s="39">
        <v>1</v>
      </c>
      <c r="N544" s="86">
        <v>300</v>
      </c>
      <c r="O544" s="41">
        <v>300</v>
      </c>
      <c r="P544" s="86" t="s">
        <v>1017</v>
      </c>
      <c r="Q544" s="143"/>
      <c r="R544" s="78"/>
      <c r="S544" s="87" t="s">
        <v>415</v>
      </c>
      <c r="T544" s="87" t="s">
        <v>415</v>
      </c>
      <c r="U544" s="36">
        <v>44687</v>
      </c>
      <c r="V544" s="40">
        <f t="shared" si="93"/>
        <v>300</v>
      </c>
      <c r="W544" s="43">
        <f t="shared" si="94"/>
        <v>0</v>
      </c>
    </row>
    <row r="545" spans="1:23" ht="25.5" x14ac:dyDescent="0.25">
      <c r="A545" s="45" t="s">
        <v>2661</v>
      </c>
      <c r="B545" s="46">
        <v>44628</v>
      </c>
      <c r="C545" s="45" t="s">
        <v>3307</v>
      </c>
      <c r="D545" s="46" t="s">
        <v>659</v>
      </c>
      <c r="E545" s="72" t="s">
        <v>1073</v>
      </c>
      <c r="F545" s="48" t="s">
        <v>3308</v>
      </c>
      <c r="G545" s="47" t="s">
        <v>3260</v>
      </c>
      <c r="H545" s="47" t="s">
        <v>1044</v>
      </c>
      <c r="I545" s="48" t="s">
        <v>320</v>
      </c>
      <c r="J545" s="48" t="s">
        <v>317</v>
      </c>
      <c r="K545" s="49" t="s">
        <v>432</v>
      </c>
      <c r="L545" s="49" t="s">
        <v>480</v>
      </c>
      <c r="M545" s="49">
        <v>1</v>
      </c>
      <c r="N545" s="80">
        <v>300</v>
      </c>
      <c r="O545" s="51">
        <v>370</v>
      </c>
      <c r="P545" s="81" t="s">
        <v>1017</v>
      </c>
      <c r="Q545" s="142"/>
      <c r="R545" s="76"/>
      <c r="S545" s="81" t="s">
        <v>415</v>
      </c>
      <c r="T545" s="81" t="s">
        <v>415</v>
      </c>
      <c r="U545" s="46">
        <v>44687</v>
      </c>
      <c r="V545" s="50">
        <f t="shared" si="93"/>
        <v>370</v>
      </c>
      <c r="W545" s="53">
        <f t="shared" si="94"/>
        <v>0</v>
      </c>
    </row>
    <row r="546" spans="1:23" ht="25.5" x14ac:dyDescent="0.25">
      <c r="A546" s="35" t="s">
        <v>2662</v>
      </c>
      <c r="B546" s="36">
        <v>43584</v>
      </c>
      <c r="C546" s="35" t="s">
        <v>3309</v>
      </c>
      <c r="D546" s="36" t="s">
        <v>466</v>
      </c>
      <c r="E546" s="73" t="s">
        <v>1070</v>
      </c>
      <c r="F546" s="38" t="s">
        <v>3310</v>
      </c>
      <c r="G546" s="37" t="s">
        <v>3311</v>
      </c>
      <c r="H546" s="37" t="s">
        <v>1316</v>
      </c>
      <c r="I546" s="38" t="s">
        <v>320</v>
      </c>
      <c r="J546" s="39" t="s">
        <v>317</v>
      </c>
      <c r="K546" s="39" t="s">
        <v>16</v>
      </c>
      <c r="L546" s="39" t="s">
        <v>27</v>
      </c>
      <c r="M546" s="39">
        <v>11</v>
      </c>
      <c r="N546" s="86">
        <v>300</v>
      </c>
      <c r="O546" s="41">
        <v>622</v>
      </c>
      <c r="P546" s="86" t="str">
        <f t="shared" si="98"/>
        <v>OK</v>
      </c>
      <c r="Q546" s="143"/>
      <c r="R546" s="78"/>
      <c r="S546" s="87" t="str">
        <f t="shared" si="99"/>
        <v/>
      </c>
      <c r="T546" s="87" t="str">
        <f t="shared" si="100"/>
        <v/>
      </c>
      <c r="U546" s="36">
        <v>44687</v>
      </c>
      <c r="V546" s="40">
        <f t="shared" si="93"/>
        <v>622</v>
      </c>
      <c r="W546" s="43">
        <f t="shared" si="94"/>
        <v>0</v>
      </c>
    </row>
    <row r="547" spans="1:23" ht="25.5" x14ac:dyDescent="0.25">
      <c r="A547" s="45" t="s">
        <v>2663</v>
      </c>
      <c r="B547" s="46">
        <v>43584</v>
      </c>
      <c r="C547" s="45" t="s">
        <v>3309</v>
      </c>
      <c r="D547" s="46" t="s">
        <v>466</v>
      </c>
      <c r="E547" s="72" t="s">
        <v>1070</v>
      </c>
      <c r="F547" s="48" t="s">
        <v>3312</v>
      </c>
      <c r="G547" s="47" t="s">
        <v>3313</v>
      </c>
      <c r="H547" s="47" t="s">
        <v>3314</v>
      </c>
      <c r="I547" s="48" t="s">
        <v>320</v>
      </c>
      <c r="J547" s="48" t="s">
        <v>317</v>
      </c>
      <c r="K547" s="49" t="s">
        <v>16</v>
      </c>
      <c r="L547" s="49" t="s">
        <v>27</v>
      </c>
      <c r="M547" s="49">
        <v>11</v>
      </c>
      <c r="N547" s="80">
        <v>300</v>
      </c>
      <c r="O547" s="51">
        <v>622</v>
      </c>
      <c r="P547" s="81" t="s">
        <v>1017</v>
      </c>
      <c r="Q547" s="142"/>
      <c r="R547" s="76"/>
      <c r="S547" s="81" t="s">
        <v>415</v>
      </c>
      <c r="T547" s="81" t="s">
        <v>415</v>
      </c>
      <c r="U547" s="46">
        <v>44687</v>
      </c>
      <c r="V547" s="50">
        <f t="shared" si="93"/>
        <v>622</v>
      </c>
      <c r="W547" s="53">
        <f t="shared" si="94"/>
        <v>0</v>
      </c>
    </row>
    <row r="548" spans="1:23" ht="25.5" x14ac:dyDescent="0.25">
      <c r="A548" s="35" t="s">
        <v>2664</v>
      </c>
      <c r="B548" s="36">
        <v>43584</v>
      </c>
      <c r="C548" s="35" t="s">
        <v>3309</v>
      </c>
      <c r="D548" s="36" t="s">
        <v>466</v>
      </c>
      <c r="E548" s="73" t="s">
        <v>1070</v>
      </c>
      <c r="F548" s="38" t="s">
        <v>3315</v>
      </c>
      <c r="G548" s="37" t="s">
        <v>3316</v>
      </c>
      <c r="H548" s="37" t="s">
        <v>1708</v>
      </c>
      <c r="I548" s="38" t="s">
        <v>320</v>
      </c>
      <c r="J548" s="39" t="s">
        <v>317</v>
      </c>
      <c r="K548" s="39" t="s">
        <v>16</v>
      </c>
      <c r="L548" s="39" t="s">
        <v>27</v>
      </c>
      <c r="M548" s="39">
        <v>11</v>
      </c>
      <c r="N548" s="86">
        <v>300</v>
      </c>
      <c r="O548" s="41">
        <v>622</v>
      </c>
      <c r="P548" s="86" t="s">
        <v>1017</v>
      </c>
      <c r="Q548" s="143"/>
      <c r="R548" s="78"/>
      <c r="S548" s="87" t="s">
        <v>415</v>
      </c>
      <c r="T548" s="87" t="s">
        <v>415</v>
      </c>
      <c r="U548" s="36">
        <v>44687</v>
      </c>
      <c r="V548" s="40">
        <f t="shared" ref="V548:V611" si="101">IF(M548="","",O548-R548)</f>
        <v>622</v>
      </c>
      <c r="W548" s="43">
        <f t="shared" ref="W548:W611" si="102">IF(M548="","",IF(AND(M548&gt;0,U548=""),V548,O548-(R548+V548)))</f>
        <v>0</v>
      </c>
    </row>
    <row r="549" spans="1:23" ht="25.5" x14ac:dyDescent="0.25">
      <c r="A549" s="45" t="s">
        <v>2665</v>
      </c>
      <c r="B549" s="46">
        <v>44539</v>
      </c>
      <c r="C549" s="45" t="s">
        <v>3317</v>
      </c>
      <c r="D549" s="46" t="s">
        <v>1134</v>
      </c>
      <c r="E549" s="72" t="s">
        <v>1073</v>
      </c>
      <c r="F549" s="48" t="s">
        <v>3318</v>
      </c>
      <c r="G549" s="47" t="s">
        <v>3319</v>
      </c>
      <c r="H549" s="47" t="s">
        <v>3320</v>
      </c>
      <c r="I549" s="48" t="s">
        <v>320</v>
      </c>
      <c r="J549" s="48" t="s">
        <v>317</v>
      </c>
      <c r="K549" s="49" t="s">
        <v>432</v>
      </c>
      <c r="L549" s="49" t="s">
        <v>480</v>
      </c>
      <c r="M549" s="49">
        <v>1</v>
      </c>
      <c r="N549" s="80">
        <v>300</v>
      </c>
      <c r="O549" s="51">
        <v>370</v>
      </c>
      <c r="P549" s="81" t="str">
        <f t="shared" si="98"/>
        <v>OK</v>
      </c>
      <c r="Q549" s="142"/>
      <c r="R549" s="76"/>
      <c r="S549" s="81" t="str">
        <f t="shared" si="99"/>
        <v/>
      </c>
      <c r="T549" s="81" t="str">
        <f t="shared" si="100"/>
        <v/>
      </c>
      <c r="U549" s="46">
        <v>44687</v>
      </c>
      <c r="V549" s="50">
        <f t="shared" si="101"/>
        <v>370</v>
      </c>
      <c r="W549" s="53">
        <f t="shared" si="102"/>
        <v>0</v>
      </c>
    </row>
    <row r="550" spans="1:23" ht="38.25" x14ac:dyDescent="0.25">
      <c r="A550" s="35" t="s">
        <v>2666</v>
      </c>
      <c r="B550" s="36">
        <v>44151</v>
      </c>
      <c r="C550" s="35" t="s">
        <v>3321</v>
      </c>
      <c r="D550" s="36" t="s">
        <v>3322</v>
      </c>
      <c r="E550" s="73" t="s">
        <v>1069</v>
      </c>
      <c r="F550" s="38" t="s">
        <v>3323</v>
      </c>
      <c r="G550" s="37" t="s">
        <v>3324</v>
      </c>
      <c r="H550" s="37" t="s">
        <v>3325</v>
      </c>
      <c r="I550" s="38" t="s">
        <v>982</v>
      </c>
      <c r="J550" s="39" t="s">
        <v>530</v>
      </c>
      <c r="K550" s="39" t="s">
        <v>16</v>
      </c>
      <c r="L550" s="39" t="s">
        <v>765</v>
      </c>
      <c r="M550" s="39">
        <v>9</v>
      </c>
      <c r="N550" s="86">
        <f>IF(M550="","",IF(M550=1,300,IF(M550=2,370,IF(M550=3,630,IF(M550=4,830,IF(M550=5,370,IF(M550=6,430,IF(M550=7,530,IF(M550=8,370,IF(M550=9,700,IF(M550=10,870,IF(M550=11,370,IF(M550=12,370,IF(M550=13,370,IF(M550=13,370,IF(M550=14,370,IF(M550=15,370,IF(M550=16,300,IF(M550=17,300,IF(M550=18,170,IF(M550=19,330)))))))))))))))))))))</f>
        <v>700</v>
      </c>
      <c r="O550" s="41">
        <v>850</v>
      </c>
      <c r="P550" s="86" t="str">
        <f t="shared" si="98"/>
        <v>OK</v>
      </c>
      <c r="Q550" s="143"/>
      <c r="R550" s="78"/>
      <c r="S550" s="87" t="str">
        <f t="shared" si="99"/>
        <v/>
      </c>
      <c r="T550" s="87" t="str">
        <f t="shared" si="100"/>
        <v/>
      </c>
      <c r="U550" s="36">
        <v>44687</v>
      </c>
      <c r="V550" s="40">
        <f t="shared" si="101"/>
        <v>850</v>
      </c>
      <c r="W550" s="43">
        <f t="shared" si="102"/>
        <v>0</v>
      </c>
    </row>
    <row r="551" spans="1:23" ht="25.5" x14ac:dyDescent="0.25">
      <c r="A551" s="45" t="s">
        <v>2667</v>
      </c>
      <c r="B551" s="46">
        <v>44687</v>
      </c>
      <c r="C551" s="45" t="s">
        <v>3326</v>
      </c>
      <c r="D551" s="46" t="s">
        <v>501</v>
      </c>
      <c r="E551" s="72" t="s">
        <v>1072</v>
      </c>
      <c r="F551" s="48" t="s">
        <v>3327</v>
      </c>
      <c r="G551" s="47" t="s">
        <v>3328</v>
      </c>
      <c r="H551" s="47" t="s">
        <v>2414</v>
      </c>
      <c r="I551" s="48" t="s">
        <v>320</v>
      </c>
      <c r="J551" s="48" t="s">
        <v>317</v>
      </c>
      <c r="K551" s="49" t="s">
        <v>432</v>
      </c>
      <c r="L551" s="49" t="s">
        <v>480</v>
      </c>
      <c r="M551" s="49">
        <v>1</v>
      </c>
      <c r="N551" s="80">
        <v>300</v>
      </c>
      <c r="O551" s="51">
        <v>300</v>
      </c>
      <c r="P551" s="81" t="str">
        <f t="shared" si="98"/>
        <v>OK</v>
      </c>
      <c r="Q551" s="142"/>
      <c r="R551" s="76"/>
      <c r="S551" s="81" t="str">
        <f t="shared" si="99"/>
        <v/>
      </c>
      <c r="T551" s="81" t="str">
        <f t="shared" si="100"/>
        <v/>
      </c>
      <c r="U551" s="46">
        <v>44687</v>
      </c>
      <c r="V551" s="50">
        <f t="shared" si="101"/>
        <v>300</v>
      </c>
      <c r="W551" s="53">
        <f t="shared" si="102"/>
        <v>0</v>
      </c>
    </row>
    <row r="552" spans="1:23" ht="25.5" x14ac:dyDescent="0.25">
      <c r="A552" s="35" t="s">
        <v>2668</v>
      </c>
      <c r="B552" s="36">
        <v>44687</v>
      </c>
      <c r="C552" s="35" t="s">
        <v>3329</v>
      </c>
      <c r="D552" s="36" t="s">
        <v>767</v>
      </c>
      <c r="E552" s="73" t="s">
        <v>1067</v>
      </c>
      <c r="F552" s="38" t="s">
        <v>3330</v>
      </c>
      <c r="G552" s="37" t="s">
        <v>3331</v>
      </c>
      <c r="H552" s="37" t="s">
        <v>437</v>
      </c>
      <c r="I552" s="38" t="s">
        <v>3332</v>
      </c>
      <c r="J552" s="39" t="s">
        <v>3333</v>
      </c>
      <c r="K552" s="39" t="s">
        <v>31</v>
      </c>
      <c r="L552" s="39" t="s">
        <v>1413</v>
      </c>
      <c r="M552" s="39">
        <v>15</v>
      </c>
      <c r="N552" s="86">
        <f>IF(M552="","",IF(M552=1,300,IF(M552=2,370,IF(M552=3,630,IF(M552=4,830,IF(M552=5,370,IF(M552=6,430,IF(M552=7,530,IF(M552=8,370,IF(M552=9,700,IF(M552=10,870,IF(M552=11,370,IF(M552=12,370,IF(M552=13,370,IF(M552=13,370,IF(M552=14,370,IF(M552=15,370,IF(M552=16,300,IF(M552=17,300,IF(M552=18,170,IF(M552=19,330)))))))))))))))))))))</f>
        <v>370</v>
      </c>
      <c r="O552" s="41">
        <v>400</v>
      </c>
      <c r="P552" s="86" t="str">
        <f t="shared" si="98"/>
        <v>OK</v>
      </c>
      <c r="Q552" s="143"/>
      <c r="R552" s="78"/>
      <c r="S552" s="87" t="str">
        <f t="shared" si="99"/>
        <v/>
      </c>
      <c r="T552" s="87" t="str">
        <f t="shared" si="100"/>
        <v/>
      </c>
      <c r="U552" s="36">
        <v>44687</v>
      </c>
      <c r="V552" s="40">
        <f t="shared" si="101"/>
        <v>400</v>
      </c>
      <c r="W552" s="43">
        <f t="shared" si="102"/>
        <v>0</v>
      </c>
    </row>
    <row r="553" spans="1:23" ht="38.25" x14ac:dyDescent="0.25">
      <c r="A553" s="45" t="s">
        <v>2669</v>
      </c>
      <c r="B553" s="46">
        <v>44703</v>
      </c>
      <c r="C553" s="45" t="s">
        <v>3334</v>
      </c>
      <c r="D553" s="46" t="s">
        <v>999</v>
      </c>
      <c r="E553" s="72" t="s">
        <v>1064</v>
      </c>
      <c r="F553" s="48" t="s">
        <v>3335</v>
      </c>
      <c r="G553" s="47" t="s">
        <v>3336</v>
      </c>
      <c r="H553" s="47" t="s">
        <v>3337</v>
      </c>
      <c r="I553" s="48" t="s">
        <v>320</v>
      </c>
      <c r="J553" s="48" t="s">
        <v>317</v>
      </c>
      <c r="K553" s="49" t="s">
        <v>432</v>
      </c>
      <c r="L553" s="49" t="s">
        <v>480</v>
      </c>
      <c r="M553" s="49">
        <v>1</v>
      </c>
      <c r="N553" s="80">
        <v>300</v>
      </c>
      <c r="O553" s="51">
        <v>300</v>
      </c>
      <c r="P553" s="81" t="str">
        <f t="shared" si="98"/>
        <v>OK</v>
      </c>
      <c r="Q553" s="142"/>
      <c r="R553" s="76"/>
      <c r="S553" s="81" t="str">
        <f t="shared" si="99"/>
        <v/>
      </c>
      <c r="T553" s="81" t="str">
        <f t="shared" si="100"/>
        <v/>
      </c>
      <c r="U553" s="46">
        <v>44704</v>
      </c>
      <c r="V553" s="50">
        <f t="shared" si="101"/>
        <v>300</v>
      </c>
      <c r="W553" s="53">
        <f t="shared" si="102"/>
        <v>0</v>
      </c>
    </row>
    <row r="554" spans="1:23" ht="25.5" x14ac:dyDescent="0.25">
      <c r="A554" s="35" t="s">
        <v>2670</v>
      </c>
      <c r="B554" s="36">
        <v>44699</v>
      </c>
      <c r="C554" s="35" t="s">
        <v>3338</v>
      </c>
      <c r="D554" s="36" t="s">
        <v>2259</v>
      </c>
      <c r="E554" s="73" t="s">
        <v>2260</v>
      </c>
      <c r="F554" s="38" t="s">
        <v>3339</v>
      </c>
      <c r="G554" s="37" t="s">
        <v>3340</v>
      </c>
      <c r="H554" s="37" t="s">
        <v>3341</v>
      </c>
      <c r="I554" s="38" t="s">
        <v>1634</v>
      </c>
      <c r="J554" s="39" t="s">
        <v>1327</v>
      </c>
      <c r="K554" s="39" t="s">
        <v>16</v>
      </c>
      <c r="L554" s="39" t="s">
        <v>27</v>
      </c>
      <c r="M554" s="39">
        <v>11</v>
      </c>
      <c r="N554" s="86">
        <f>IF(M554="","",IF(M554=1,300,IF(M554=2,370,IF(M554=3,630,IF(M554=4,830,IF(M554=5,370,IF(M554=6,430,IF(M554=7,530,IF(M554=8,370,IF(M554=9,700,IF(M554=10,870,IF(M554=11,370,IF(M554=12,370,IF(M554=13,370,IF(M554=13,370,IF(M554=14,370,IF(M554=15,370,IF(M554=16,300,IF(M554=17,300,IF(M554=18,170,IF(M554=19,330)))))))))))))))))))))</f>
        <v>370</v>
      </c>
      <c r="O554" s="41">
        <v>300</v>
      </c>
      <c r="P554" s="86" t="str">
        <f t="shared" si="98"/>
        <v>OK</v>
      </c>
      <c r="Q554" s="143"/>
      <c r="R554" s="78"/>
      <c r="S554" s="87" t="str">
        <f t="shared" si="99"/>
        <v/>
      </c>
      <c r="T554" s="87" t="str">
        <f t="shared" si="100"/>
        <v/>
      </c>
      <c r="U554" s="36">
        <v>44704</v>
      </c>
      <c r="V554" s="40">
        <f t="shared" si="101"/>
        <v>300</v>
      </c>
      <c r="W554" s="43">
        <f t="shared" si="102"/>
        <v>0</v>
      </c>
    </row>
    <row r="555" spans="1:23" ht="25.5" x14ac:dyDescent="0.25">
      <c r="A555" s="45" t="s">
        <v>2671</v>
      </c>
      <c r="B555" s="46">
        <v>44571</v>
      </c>
      <c r="C555" s="45" t="s">
        <v>3342</v>
      </c>
      <c r="D555" s="46" t="s">
        <v>1600</v>
      </c>
      <c r="E555" s="72" t="s">
        <v>1080</v>
      </c>
      <c r="F555" s="48" t="s">
        <v>3343</v>
      </c>
      <c r="G555" s="47" t="s">
        <v>3344</v>
      </c>
      <c r="H555" s="47" t="s">
        <v>3345</v>
      </c>
      <c r="I555" s="48" t="s">
        <v>3346</v>
      </c>
      <c r="J555" s="48" t="s">
        <v>3347</v>
      </c>
      <c r="K555" s="49" t="s">
        <v>5</v>
      </c>
      <c r="L555" s="49" t="s">
        <v>8</v>
      </c>
      <c r="M555" s="49">
        <v>2</v>
      </c>
      <c r="N555" s="80">
        <f>IF(M555="","",IF(M555=1,300,IF(M555=2,370,IF(M555=3,630,IF(M555=4,830,IF(M555=5,370,IF(M555=6,430,IF(M555=7,530,IF(M555=8,370,IF(M555=9,700,IF(M555=10,870,IF(M555=11,370,IF(M555=12,370,IF(M555=13,370,IF(M555=13,370,IF(M555=14,370,IF(M555=15,370,IF(M555=16,300,IF(M555=17,300,IF(M555=18,170,IF(M555=19,330)))))))))))))))))))))</f>
        <v>370</v>
      </c>
      <c r="O555" s="51">
        <v>442.93</v>
      </c>
      <c r="P555" s="81" t="str">
        <f t="shared" si="98"/>
        <v>OK</v>
      </c>
      <c r="Q555" s="142"/>
      <c r="R555" s="76"/>
      <c r="S555" s="81" t="str">
        <f t="shared" si="99"/>
        <v/>
      </c>
      <c r="T555" s="81" t="str">
        <f t="shared" si="100"/>
        <v/>
      </c>
      <c r="U555" s="46">
        <v>44708</v>
      </c>
      <c r="V555" s="50">
        <f t="shared" si="101"/>
        <v>442.93</v>
      </c>
      <c r="W555" s="53">
        <f t="shared" si="102"/>
        <v>0</v>
      </c>
    </row>
    <row r="556" spans="1:23" ht="25.5" x14ac:dyDescent="0.25">
      <c r="A556" s="35" t="s">
        <v>2672</v>
      </c>
      <c r="B556" s="36">
        <v>44707</v>
      </c>
      <c r="C556" s="35" t="s">
        <v>3348</v>
      </c>
      <c r="D556" s="36" t="s">
        <v>999</v>
      </c>
      <c r="E556" s="73" t="s">
        <v>1064</v>
      </c>
      <c r="F556" s="38" t="s">
        <v>3349</v>
      </c>
      <c r="G556" s="37" t="s">
        <v>3350</v>
      </c>
      <c r="H556" s="37" t="s">
        <v>1658</v>
      </c>
      <c r="I556" s="38" t="s">
        <v>320</v>
      </c>
      <c r="J556" s="39" t="s">
        <v>317</v>
      </c>
      <c r="K556" s="39" t="s">
        <v>432</v>
      </c>
      <c r="L556" s="39" t="s">
        <v>480</v>
      </c>
      <c r="M556" s="39">
        <v>1</v>
      </c>
      <c r="N556" s="86">
        <v>300</v>
      </c>
      <c r="O556" s="41">
        <v>300</v>
      </c>
      <c r="P556" s="86" t="str">
        <f t="shared" si="98"/>
        <v>OK</v>
      </c>
      <c r="Q556" s="143"/>
      <c r="R556" s="78"/>
      <c r="S556" s="87" t="str">
        <f t="shared" si="99"/>
        <v/>
      </c>
      <c r="T556" s="87" t="str">
        <f t="shared" si="100"/>
        <v/>
      </c>
      <c r="U556" s="36">
        <v>44707</v>
      </c>
      <c r="V556" s="40">
        <f t="shared" si="101"/>
        <v>300</v>
      </c>
      <c r="W556" s="43">
        <f t="shared" si="102"/>
        <v>0</v>
      </c>
    </row>
    <row r="557" spans="1:23" ht="25.5" x14ac:dyDescent="0.25">
      <c r="A557" s="45" t="s">
        <v>2673</v>
      </c>
      <c r="B557" s="46">
        <v>44516</v>
      </c>
      <c r="C557" s="45" t="s">
        <v>3351</v>
      </c>
      <c r="D557" s="46" t="s">
        <v>802</v>
      </c>
      <c r="E557" s="72" t="s">
        <v>1068</v>
      </c>
      <c r="F557" s="48" t="s">
        <v>3352</v>
      </c>
      <c r="G557" s="47" t="s">
        <v>3353</v>
      </c>
      <c r="H557" s="47" t="s">
        <v>3354</v>
      </c>
      <c r="I557" s="48" t="s">
        <v>806</v>
      </c>
      <c r="J557" s="48" t="s">
        <v>3355</v>
      </c>
      <c r="K557" s="49" t="s">
        <v>31</v>
      </c>
      <c r="L557" s="49" t="s">
        <v>1413</v>
      </c>
      <c r="M557" s="49">
        <v>15</v>
      </c>
      <c r="N557" s="80">
        <f>IF(M557="","",IF(M557=1,300,IF(M557=2,370,IF(M557=3,630,IF(M557=4,830,IF(M557=5,370,IF(M557=6,430,IF(M557=7,530,IF(M557=8,370,IF(M557=9,700,IF(M557=10,870,IF(M557=11,370,IF(M557=12,370,IF(M557=13,370,IF(M557=13,370,IF(M557=14,370,IF(M557=15,370,IF(M557=16,300,IF(M557=17,300,IF(M557=18,170,IF(M557=19,330)))))))))))))))))))))</f>
        <v>370</v>
      </c>
      <c r="O557" s="51">
        <v>200</v>
      </c>
      <c r="P557" s="81" t="str">
        <f t="shared" si="98"/>
        <v>OK</v>
      </c>
      <c r="Q557" s="142"/>
      <c r="R557" s="76"/>
      <c r="S557" s="81" t="str">
        <f t="shared" si="99"/>
        <v/>
      </c>
      <c r="T557" s="81" t="str">
        <f t="shared" si="100"/>
        <v/>
      </c>
      <c r="U557" s="46">
        <v>44707</v>
      </c>
      <c r="V557" s="50">
        <f t="shared" si="101"/>
        <v>200</v>
      </c>
      <c r="W557" s="53">
        <f t="shared" si="102"/>
        <v>0</v>
      </c>
    </row>
    <row r="558" spans="1:23" ht="25.5" x14ac:dyDescent="0.25">
      <c r="A558" s="35" t="s">
        <v>2674</v>
      </c>
      <c r="B558" s="36">
        <v>44712</v>
      </c>
      <c r="C558" s="35" t="s">
        <v>3356</v>
      </c>
      <c r="D558" s="36" t="s">
        <v>3075</v>
      </c>
      <c r="E558" s="73" t="s">
        <v>1071</v>
      </c>
      <c r="F558" s="38" t="s">
        <v>3357</v>
      </c>
      <c r="G558" s="37" t="s">
        <v>3358</v>
      </c>
      <c r="H558" s="37" t="s">
        <v>3359</v>
      </c>
      <c r="I558" s="38" t="s">
        <v>320</v>
      </c>
      <c r="J558" s="39" t="s">
        <v>317</v>
      </c>
      <c r="K558" s="39" t="s">
        <v>16</v>
      </c>
      <c r="L558" s="39" t="s">
        <v>27</v>
      </c>
      <c r="M558" s="39">
        <v>11</v>
      </c>
      <c r="N558" s="86">
        <v>300</v>
      </c>
      <c r="O558" s="41">
        <v>370</v>
      </c>
      <c r="P558" s="86" t="str">
        <f t="shared" si="98"/>
        <v>OK</v>
      </c>
      <c r="Q558" s="143"/>
      <c r="R558" s="78"/>
      <c r="S558" s="87" t="str">
        <f t="shared" si="99"/>
        <v/>
      </c>
      <c r="T558" s="87" t="str">
        <f t="shared" si="100"/>
        <v/>
      </c>
      <c r="U558" s="36">
        <v>44713</v>
      </c>
      <c r="V558" s="40">
        <f t="shared" si="101"/>
        <v>370</v>
      </c>
      <c r="W558" s="43">
        <f t="shared" si="102"/>
        <v>0</v>
      </c>
    </row>
    <row r="559" spans="1:23" ht="25.5" x14ac:dyDescent="0.25">
      <c r="A559" s="45" t="s">
        <v>2675</v>
      </c>
      <c r="B559" s="46">
        <v>44712</v>
      </c>
      <c r="C559" s="45" t="s">
        <v>3360</v>
      </c>
      <c r="D559" s="46" t="s">
        <v>466</v>
      </c>
      <c r="E559" s="72" t="s">
        <v>1070</v>
      </c>
      <c r="F559" s="48" t="s">
        <v>3361</v>
      </c>
      <c r="G559" s="47" t="s">
        <v>3362</v>
      </c>
      <c r="H559" s="47" t="s">
        <v>1316</v>
      </c>
      <c r="I559" s="48" t="s">
        <v>320</v>
      </c>
      <c r="J559" s="48" t="s">
        <v>317</v>
      </c>
      <c r="K559" s="49" t="s">
        <v>16</v>
      </c>
      <c r="L559" s="49" t="s">
        <v>27</v>
      </c>
      <c r="M559" s="49">
        <v>11</v>
      </c>
      <c r="N559" s="80">
        <v>300</v>
      </c>
      <c r="O559" s="51">
        <v>370</v>
      </c>
      <c r="P559" s="81" t="str">
        <f t="shared" si="98"/>
        <v>OK</v>
      </c>
      <c r="Q559" s="142"/>
      <c r="R559" s="76"/>
      <c r="S559" s="81" t="str">
        <f t="shared" si="99"/>
        <v/>
      </c>
      <c r="T559" s="81" t="str">
        <f t="shared" si="100"/>
        <v/>
      </c>
      <c r="U559" s="46">
        <v>44713</v>
      </c>
      <c r="V559" s="50">
        <f t="shared" si="101"/>
        <v>370</v>
      </c>
      <c r="W559" s="53">
        <f t="shared" si="102"/>
        <v>0</v>
      </c>
    </row>
    <row r="560" spans="1:23" ht="25.5" x14ac:dyDescent="0.25">
      <c r="A560" s="35" t="s">
        <v>2676</v>
      </c>
      <c r="B560" s="36">
        <v>44714</v>
      </c>
      <c r="C560" s="35" t="s">
        <v>3363</v>
      </c>
      <c r="D560" s="36" t="s">
        <v>999</v>
      </c>
      <c r="E560" s="73" t="s">
        <v>1064</v>
      </c>
      <c r="F560" s="38" t="s">
        <v>3364</v>
      </c>
      <c r="G560" s="37" t="s">
        <v>3365</v>
      </c>
      <c r="H560" s="37" t="s">
        <v>3366</v>
      </c>
      <c r="I560" s="38" t="s">
        <v>320</v>
      </c>
      <c r="J560" s="39" t="s">
        <v>317</v>
      </c>
      <c r="K560" s="39" t="s">
        <v>16</v>
      </c>
      <c r="L560" s="39" t="s">
        <v>27</v>
      </c>
      <c r="M560" s="39">
        <v>11</v>
      </c>
      <c r="N560" s="86">
        <v>300</v>
      </c>
      <c r="O560" s="41">
        <v>370</v>
      </c>
      <c r="P560" s="86" t="str">
        <f t="shared" si="98"/>
        <v>OK</v>
      </c>
      <c r="Q560" s="143"/>
      <c r="R560" s="78"/>
      <c r="S560" s="87" t="str">
        <f t="shared" si="99"/>
        <v/>
      </c>
      <c r="T560" s="87" t="str">
        <f t="shared" si="100"/>
        <v/>
      </c>
      <c r="U560" s="36">
        <v>44714</v>
      </c>
      <c r="V560" s="40">
        <f t="shared" si="101"/>
        <v>370</v>
      </c>
      <c r="W560" s="43">
        <f t="shared" si="102"/>
        <v>0</v>
      </c>
    </row>
    <row r="561" spans="1:23" ht="25.5" x14ac:dyDescent="0.25">
      <c r="A561" s="45" t="s">
        <v>2677</v>
      </c>
      <c r="B561" s="46">
        <v>44714</v>
      </c>
      <c r="C561" s="45" t="s">
        <v>3367</v>
      </c>
      <c r="D561" s="46" t="s">
        <v>999</v>
      </c>
      <c r="E561" s="72" t="s">
        <v>1064</v>
      </c>
      <c r="F561" s="48" t="s">
        <v>3368</v>
      </c>
      <c r="G561" s="47" t="s">
        <v>3369</v>
      </c>
      <c r="H561" s="47" t="s">
        <v>3370</v>
      </c>
      <c r="I561" s="48" t="s">
        <v>320</v>
      </c>
      <c r="J561" s="48" t="s">
        <v>317</v>
      </c>
      <c r="K561" s="49" t="s">
        <v>432</v>
      </c>
      <c r="L561" s="49" t="s">
        <v>480</v>
      </c>
      <c r="M561" s="49">
        <v>1</v>
      </c>
      <c r="N561" s="80">
        <v>300</v>
      </c>
      <c r="O561" s="51">
        <v>300</v>
      </c>
      <c r="P561" s="81" t="s">
        <v>1017</v>
      </c>
      <c r="Q561" s="142"/>
      <c r="R561" s="76"/>
      <c r="S561" s="81" t="s">
        <v>415</v>
      </c>
      <c r="T561" s="81" t="s">
        <v>415</v>
      </c>
      <c r="U561" s="46">
        <v>44714</v>
      </c>
      <c r="V561" s="50">
        <f t="shared" si="101"/>
        <v>300</v>
      </c>
      <c r="W561" s="53">
        <f t="shared" si="102"/>
        <v>0</v>
      </c>
    </row>
    <row r="562" spans="1:23" ht="25.5" x14ac:dyDescent="0.25">
      <c r="A562" s="35" t="s">
        <v>2678</v>
      </c>
      <c r="B562" s="36">
        <v>44714</v>
      </c>
      <c r="C562" s="35" t="s">
        <v>3371</v>
      </c>
      <c r="D562" s="36" t="s">
        <v>1804</v>
      </c>
      <c r="E562" s="73" t="s">
        <v>1726</v>
      </c>
      <c r="F562" s="38" t="s">
        <v>3372</v>
      </c>
      <c r="G562" s="37" t="s">
        <v>3373</v>
      </c>
      <c r="H562" s="37" t="s">
        <v>3374</v>
      </c>
      <c r="I562" s="38" t="s">
        <v>1808</v>
      </c>
      <c r="J562" s="39" t="s">
        <v>1809</v>
      </c>
      <c r="K562" s="39" t="s">
        <v>31</v>
      </c>
      <c r="L562" s="39" t="s">
        <v>32</v>
      </c>
      <c r="M562" s="39">
        <v>13</v>
      </c>
      <c r="N562" s="86">
        <f>IF(M562="","",IF(M562=1,300,IF(M562=2,370,IF(M562=3,630,IF(M562=4,830,IF(M562=5,370,IF(M562=6,430,IF(M562=7,530,IF(M562=8,370,IF(M562=9,700,IF(M562=10,870,IF(M562=11,370,IF(M562=12,370,IF(M562=13,370,IF(M562=13,370,IF(M562=14,370,IF(M562=15,370,IF(M562=16,300,IF(M562=17,300,IF(M562=18,170,IF(M562=19,330)))))))))))))))))))))</f>
        <v>370</v>
      </c>
      <c r="O562" s="41">
        <v>370</v>
      </c>
      <c r="P562" s="86" t="str">
        <f t="shared" si="98"/>
        <v>OK</v>
      </c>
      <c r="Q562" s="143"/>
      <c r="R562" s="78"/>
      <c r="S562" s="87" t="str">
        <f t="shared" si="99"/>
        <v/>
      </c>
      <c r="T562" s="87" t="str">
        <f t="shared" si="100"/>
        <v/>
      </c>
      <c r="U562" s="36">
        <v>44714</v>
      </c>
      <c r="V562" s="40">
        <f t="shared" si="101"/>
        <v>370</v>
      </c>
      <c r="W562" s="43">
        <f t="shared" si="102"/>
        <v>0</v>
      </c>
    </row>
    <row r="563" spans="1:23" ht="25.5" x14ac:dyDescent="0.25">
      <c r="A563" s="45" t="s">
        <v>2679</v>
      </c>
      <c r="B563" s="46">
        <v>44714</v>
      </c>
      <c r="C563" s="45" t="s">
        <v>3375</v>
      </c>
      <c r="D563" s="46" t="s">
        <v>1079</v>
      </c>
      <c r="E563" s="72" t="s">
        <v>980</v>
      </c>
      <c r="F563" s="48" t="s">
        <v>3376</v>
      </c>
      <c r="G563" s="47" t="s">
        <v>3377</v>
      </c>
      <c r="H563" s="47" t="s">
        <v>3378</v>
      </c>
      <c r="I563" s="48" t="s">
        <v>1434</v>
      </c>
      <c r="J563" s="48" t="s">
        <v>1435</v>
      </c>
      <c r="K563" s="49" t="s">
        <v>39</v>
      </c>
      <c r="L563" s="49" t="s">
        <v>40</v>
      </c>
      <c r="M563" s="49">
        <v>17</v>
      </c>
      <c r="N563" s="80">
        <f>IF(M563="","",IF(M563=1,300,IF(M563=2,370,IF(M563=3,630,IF(M563=4,830,IF(M563=5,370,IF(M563=6,430,IF(M563=7,530,IF(M563=8,370,IF(M563=9,700,IF(M563=10,870,IF(M563=11,370,IF(M563=12,370,IF(M563=13,370,IF(M563=13,370,IF(M563=14,370,IF(M563=15,370,IF(M563=16,300,IF(M563=17,300,IF(M563=18,170,IF(M563=19,330)))))))))))))))))))))</f>
        <v>300</v>
      </c>
      <c r="O563" s="51">
        <v>300</v>
      </c>
      <c r="P563" s="81" t="str">
        <f t="shared" si="98"/>
        <v>OK</v>
      </c>
      <c r="Q563" s="142"/>
      <c r="R563" s="76"/>
      <c r="S563" s="81" t="str">
        <f t="shared" si="99"/>
        <v/>
      </c>
      <c r="T563" s="81" t="str">
        <f t="shared" si="100"/>
        <v/>
      </c>
      <c r="U563" s="46">
        <v>44714</v>
      </c>
      <c r="V563" s="50">
        <f t="shared" si="101"/>
        <v>300</v>
      </c>
      <c r="W563" s="53">
        <f t="shared" si="102"/>
        <v>0</v>
      </c>
    </row>
    <row r="564" spans="1:23" ht="25.5" x14ac:dyDescent="0.25">
      <c r="A564" s="35" t="s">
        <v>2680</v>
      </c>
      <c r="B564" s="36">
        <v>44709</v>
      </c>
      <c r="C564" s="35" t="s">
        <v>3379</v>
      </c>
      <c r="D564" s="36" t="s">
        <v>1134</v>
      </c>
      <c r="E564" s="73" t="s">
        <v>1073</v>
      </c>
      <c r="F564" s="38" t="s">
        <v>3381</v>
      </c>
      <c r="G564" s="37" t="s">
        <v>3382</v>
      </c>
      <c r="H564" s="37" t="s">
        <v>3383</v>
      </c>
      <c r="I564" s="38" t="s">
        <v>320</v>
      </c>
      <c r="J564" s="39" t="s">
        <v>317</v>
      </c>
      <c r="K564" s="39" t="s">
        <v>432</v>
      </c>
      <c r="L564" s="39" t="s">
        <v>480</v>
      </c>
      <c r="M564" s="39">
        <v>1</v>
      </c>
      <c r="N564" s="86">
        <v>300</v>
      </c>
      <c r="O564" s="41">
        <v>300</v>
      </c>
      <c r="P564" s="86" t="str">
        <f t="shared" si="98"/>
        <v>OK</v>
      </c>
      <c r="Q564" s="143"/>
      <c r="R564" s="78"/>
      <c r="S564" s="87" t="str">
        <f t="shared" si="99"/>
        <v/>
      </c>
      <c r="T564" s="87" t="str">
        <f t="shared" si="100"/>
        <v/>
      </c>
      <c r="U564" s="36">
        <v>44711</v>
      </c>
      <c r="V564" s="40">
        <f t="shared" si="101"/>
        <v>300</v>
      </c>
      <c r="W564" s="43">
        <f t="shared" si="102"/>
        <v>0</v>
      </c>
    </row>
    <row r="565" spans="1:23" ht="25.5" x14ac:dyDescent="0.25">
      <c r="A565" s="45" t="s">
        <v>2681</v>
      </c>
      <c r="B565" s="46">
        <v>44249</v>
      </c>
      <c r="C565" s="45" t="s">
        <v>3380</v>
      </c>
      <c r="D565" s="46" t="s">
        <v>1804</v>
      </c>
      <c r="E565" s="72" t="s">
        <v>1726</v>
      </c>
      <c r="F565" s="48" t="s">
        <v>3384</v>
      </c>
      <c r="G565" s="47" t="s">
        <v>3385</v>
      </c>
      <c r="H565" s="47" t="s">
        <v>437</v>
      </c>
      <c r="I565" s="48" t="s">
        <v>1808</v>
      </c>
      <c r="J565" s="48" t="s">
        <v>1809</v>
      </c>
      <c r="K565" s="49" t="s">
        <v>31</v>
      </c>
      <c r="L565" s="49" t="s">
        <v>32</v>
      </c>
      <c r="M565" s="49">
        <v>13</v>
      </c>
      <c r="N565" s="80">
        <v>370</v>
      </c>
      <c r="O565" s="51">
        <v>300</v>
      </c>
      <c r="P565" s="81" t="str">
        <f t="shared" si="98"/>
        <v>OK</v>
      </c>
      <c r="Q565" s="142"/>
      <c r="R565" s="76"/>
      <c r="S565" s="81" t="str">
        <f t="shared" si="99"/>
        <v/>
      </c>
      <c r="T565" s="81" t="str">
        <f t="shared" si="100"/>
        <v/>
      </c>
      <c r="U565" s="46">
        <v>44711</v>
      </c>
      <c r="V565" s="50">
        <f t="shared" si="101"/>
        <v>300</v>
      </c>
      <c r="W565" s="53">
        <f t="shared" si="102"/>
        <v>0</v>
      </c>
    </row>
    <row r="566" spans="1:23" ht="25.5" x14ac:dyDescent="0.25">
      <c r="A566" s="35" t="s">
        <v>2682</v>
      </c>
      <c r="B566" s="36">
        <v>44642</v>
      </c>
      <c r="C566" s="35" t="s">
        <v>3386</v>
      </c>
      <c r="D566" s="36" t="s">
        <v>868</v>
      </c>
      <c r="E566" s="73" t="s">
        <v>1070</v>
      </c>
      <c r="F566" s="38" t="s">
        <v>3387</v>
      </c>
      <c r="G566" s="37" t="s">
        <v>3388</v>
      </c>
      <c r="H566" s="37" t="s">
        <v>3389</v>
      </c>
      <c r="I566" s="38" t="s">
        <v>320</v>
      </c>
      <c r="J566" s="39" t="s">
        <v>317</v>
      </c>
      <c r="K566" s="39" t="s">
        <v>16</v>
      </c>
      <c r="L566" s="39" t="s">
        <v>27</v>
      </c>
      <c r="M566" s="39">
        <v>11</v>
      </c>
      <c r="N566" s="86">
        <v>300</v>
      </c>
      <c r="O566" s="41">
        <v>370</v>
      </c>
      <c r="P566" s="86" t="str">
        <f t="shared" si="98"/>
        <v>OK</v>
      </c>
      <c r="Q566" s="143"/>
      <c r="R566" s="78"/>
      <c r="S566" s="87" t="str">
        <f t="shared" si="99"/>
        <v/>
      </c>
      <c r="T566" s="87" t="str">
        <f t="shared" si="100"/>
        <v/>
      </c>
      <c r="U566" s="36">
        <v>44718</v>
      </c>
      <c r="V566" s="40">
        <f t="shared" si="101"/>
        <v>370</v>
      </c>
      <c r="W566" s="43">
        <f t="shared" si="102"/>
        <v>0</v>
      </c>
    </row>
    <row r="567" spans="1:23" ht="25.5" x14ac:dyDescent="0.25">
      <c r="A567" s="45" t="s">
        <v>2683</v>
      </c>
      <c r="B567" s="46">
        <v>44693</v>
      </c>
      <c r="C567" s="45" t="s">
        <v>3390</v>
      </c>
      <c r="D567" s="46" t="s">
        <v>2522</v>
      </c>
      <c r="E567" s="72" t="s">
        <v>1066</v>
      </c>
      <c r="F567" s="48" t="s">
        <v>3418</v>
      </c>
      <c r="G567" s="47" t="s">
        <v>3419</v>
      </c>
      <c r="H567" s="47" t="s">
        <v>3420</v>
      </c>
      <c r="I567" s="48" t="s">
        <v>320</v>
      </c>
      <c r="J567" s="48" t="s">
        <v>317</v>
      </c>
      <c r="K567" s="49" t="s">
        <v>432</v>
      </c>
      <c r="L567" s="49" t="s">
        <v>480</v>
      </c>
      <c r="M567" s="49">
        <v>1</v>
      </c>
      <c r="N567" s="80">
        <v>300</v>
      </c>
      <c r="O567" s="51">
        <v>300</v>
      </c>
      <c r="P567" s="81" t="str">
        <f t="shared" si="98"/>
        <v>OK</v>
      </c>
      <c r="Q567" s="142"/>
      <c r="R567" s="76"/>
      <c r="S567" s="81" t="str">
        <f t="shared" si="99"/>
        <v/>
      </c>
      <c r="T567" s="81" t="str">
        <f t="shared" si="100"/>
        <v/>
      </c>
      <c r="U567" s="46">
        <v>44693</v>
      </c>
      <c r="V567" s="50">
        <f t="shared" si="101"/>
        <v>300</v>
      </c>
      <c r="W567" s="53">
        <f t="shared" si="102"/>
        <v>0</v>
      </c>
    </row>
    <row r="568" spans="1:23" ht="25.5" x14ac:dyDescent="0.25">
      <c r="A568" s="35" t="s">
        <v>2684</v>
      </c>
      <c r="B568" s="36">
        <v>44693</v>
      </c>
      <c r="C568" s="35" t="s">
        <v>3391</v>
      </c>
      <c r="D568" s="36" t="s">
        <v>2522</v>
      </c>
      <c r="E568" s="73" t="s">
        <v>1066</v>
      </c>
      <c r="F568" s="38" t="s">
        <v>3416</v>
      </c>
      <c r="G568" s="37" t="s">
        <v>3417</v>
      </c>
      <c r="H568" s="37" t="s">
        <v>3370</v>
      </c>
      <c r="I568" s="38" t="s">
        <v>320</v>
      </c>
      <c r="J568" s="39" t="s">
        <v>317</v>
      </c>
      <c r="K568" s="39" t="s">
        <v>432</v>
      </c>
      <c r="L568" s="39" t="s">
        <v>480</v>
      </c>
      <c r="M568" s="39">
        <v>1</v>
      </c>
      <c r="N568" s="86">
        <v>300</v>
      </c>
      <c r="O568" s="41">
        <v>300</v>
      </c>
      <c r="P568" s="86" t="str">
        <f t="shared" si="98"/>
        <v>OK</v>
      </c>
      <c r="Q568" s="143"/>
      <c r="R568" s="78"/>
      <c r="S568" s="87" t="str">
        <f t="shared" si="99"/>
        <v/>
      </c>
      <c r="T568" s="87" t="str">
        <f t="shared" si="100"/>
        <v/>
      </c>
      <c r="U568" s="36">
        <v>44693</v>
      </c>
      <c r="V568" s="40">
        <f t="shared" si="101"/>
        <v>300</v>
      </c>
      <c r="W568" s="43">
        <f t="shared" si="102"/>
        <v>0</v>
      </c>
    </row>
    <row r="569" spans="1:23" ht="38.25" x14ac:dyDescent="0.25">
      <c r="A569" s="45" t="s">
        <v>2685</v>
      </c>
      <c r="B569" s="46">
        <v>44698</v>
      </c>
      <c r="C569" s="45" t="s">
        <v>3392</v>
      </c>
      <c r="D569" s="46" t="s">
        <v>767</v>
      </c>
      <c r="E569" s="72" t="s">
        <v>1067</v>
      </c>
      <c r="F569" s="48" t="s">
        <v>3413</v>
      </c>
      <c r="G569" s="47" t="s">
        <v>3414</v>
      </c>
      <c r="H569" s="47" t="s">
        <v>3415</v>
      </c>
      <c r="I569" s="48" t="s">
        <v>771</v>
      </c>
      <c r="J569" s="48" t="s">
        <v>772</v>
      </c>
      <c r="K569" s="49" t="s">
        <v>31</v>
      </c>
      <c r="L569" s="49" t="s">
        <v>1413</v>
      </c>
      <c r="M569" s="49">
        <v>15</v>
      </c>
      <c r="N569" s="80">
        <v>370</v>
      </c>
      <c r="O569" s="51">
        <v>370</v>
      </c>
      <c r="P569" s="81" t="s">
        <v>1017</v>
      </c>
      <c r="Q569" s="142"/>
      <c r="R569" s="76"/>
      <c r="S569" s="81" t="s">
        <v>415</v>
      </c>
      <c r="T569" s="81" t="s">
        <v>415</v>
      </c>
      <c r="U569" s="46">
        <v>44698</v>
      </c>
      <c r="V569" s="50">
        <f t="shared" si="101"/>
        <v>370</v>
      </c>
      <c r="W569" s="53">
        <f t="shared" si="102"/>
        <v>0</v>
      </c>
    </row>
    <row r="570" spans="1:23" ht="25.5" x14ac:dyDescent="0.25">
      <c r="A570" s="35" t="s">
        <v>2686</v>
      </c>
      <c r="B570" s="36">
        <v>44698</v>
      </c>
      <c r="C570" s="35" t="s">
        <v>3394</v>
      </c>
      <c r="D570" s="36" t="s">
        <v>767</v>
      </c>
      <c r="E570" s="73" t="s">
        <v>1067</v>
      </c>
      <c r="F570" s="38" t="s">
        <v>3410</v>
      </c>
      <c r="G570" s="37" t="s">
        <v>3411</v>
      </c>
      <c r="H570" s="37" t="s">
        <v>3412</v>
      </c>
      <c r="I570" s="38" t="s">
        <v>771</v>
      </c>
      <c r="J570" s="39" t="s">
        <v>772</v>
      </c>
      <c r="K570" s="39" t="s">
        <v>31</v>
      </c>
      <c r="L570" s="39" t="s">
        <v>1413</v>
      </c>
      <c r="M570" s="39">
        <v>15</v>
      </c>
      <c r="N570" s="86">
        <v>370</v>
      </c>
      <c r="O570" s="41">
        <v>370</v>
      </c>
      <c r="P570" s="86" t="s">
        <v>1017</v>
      </c>
      <c r="Q570" s="143"/>
      <c r="R570" s="78"/>
      <c r="S570" s="87" t="s">
        <v>415</v>
      </c>
      <c r="T570" s="87" t="s">
        <v>415</v>
      </c>
      <c r="U570" s="36">
        <v>44698</v>
      </c>
      <c r="V570" s="40">
        <f t="shared" si="101"/>
        <v>370</v>
      </c>
      <c r="W570" s="43">
        <f t="shared" si="102"/>
        <v>0</v>
      </c>
    </row>
    <row r="571" spans="1:23" ht="25.5" x14ac:dyDescent="0.25">
      <c r="A571" s="45" t="s">
        <v>2687</v>
      </c>
      <c r="B571" s="46">
        <v>44698</v>
      </c>
      <c r="C571" s="45" t="s">
        <v>3393</v>
      </c>
      <c r="D571" s="46" t="s">
        <v>767</v>
      </c>
      <c r="E571" s="72" t="s">
        <v>1067</v>
      </c>
      <c r="F571" s="48" t="s">
        <v>3407</v>
      </c>
      <c r="G571" s="47" t="s">
        <v>3408</v>
      </c>
      <c r="H571" s="47" t="s">
        <v>3409</v>
      </c>
      <c r="I571" s="48" t="s">
        <v>771</v>
      </c>
      <c r="J571" s="48" t="s">
        <v>772</v>
      </c>
      <c r="K571" s="49" t="s">
        <v>31</v>
      </c>
      <c r="L571" s="49" t="s">
        <v>1413</v>
      </c>
      <c r="M571" s="49">
        <v>15</v>
      </c>
      <c r="N571" s="80">
        <f>IF(M571="","",IF(M571=1,300,IF(M571=2,370,IF(M571=3,630,IF(M571=4,830,IF(M571=5,370,IF(M571=6,430,IF(M571=7,530,IF(M571=8,370,IF(M571=9,700,IF(M571=10,870,IF(M571=11,370,IF(M571=12,370,IF(M571=13,370,IF(M571=13,370,IF(M571=14,370,IF(M571=15,370,IF(M571=16,300,IF(M571=17,300,IF(M571=18,170,IF(M571=19,330)))))))))))))))))))))</f>
        <v>370</v>
      </c>
      <c r="O571" s="51">
        <v>370</v>
      </c>
      <c r="P571" s="81" t="str">
        <f t="shared" si="98"/>
        <v>OK</v>
      </c>
      <c r="Q571" s="142"/>
      <c r="R571" s="76"/>
      <c r="S571" s="81" t="str">
        <f t="shared" si="99"/>
        <v/>
      </c>
      <c r="T571" s="81" t="str">
        <f t="shared" si="100"/>
        <v/>
      </c>
      <c r="U571" s="46">
        <v>44698</v>
      </c>
      <c r="V571" s="50">
        <f t="shared" si="101"/>
        <v>370</v>
      </c>
      <c r="W571" s="53">
        <f t="shared" si="102"/>
        <v>0</v>
      </c>
    </row>
    <row r="572" spans="1:23" ht="25.5" x14ac:dyDescent="0.25">
      <c r="A572" s="35" t="s">
        <v>2688</v>
      </c>
      <c r="B572" s="36">
        <v>44678</v>
      </c>
      <c r="C572" s="35" t="s">
        <v>3395</v>
      </c>
      <c r="D572" s="36" t="s">
        <v>2021</v>
      </c>
      <c r="E572" s="73" t="s">
        <v>1080</v>
      </c>
      <c r="F572" s="38" t="s">
        <v>3402</v>
      </c>
      <c r="G572" s="37" t="s">
        <v>3403</v>
      </c>
      <c r="H572" s="37" t="s">
        <v>3404</v>
      </c>
      <c r="I572" s="38" t="s">
        <v>3405</v>
      </c>
      <c r="J572" s="39" t="s">
        <v>3406</v>
      </c>
      <c r="K572" s="39" t="s">
        <v>16</v>
      </c>
      <c r="L572" s="39" t="s">
        <v>23</v>
      </c>
      <c r="M572" s="39">
        <v>9</v>
      </c>
      <c r="N572" s="86">
        <f>IF(M572="","",IF(M572=1,300,IF(M572=2,370,IF(M572=3,630,IF(M572=4,830,IF(M572=5,370,IF(M572=6,430,IF(M572=7,530,IF(M572=8,370,IF(M572=9,700,IF(M572=10,870,IF(M572=11,370,IF(M572=12,370,IF(M572=13,370,IF(M572=13,370,IF(M572=14,370,IF(M572=15,370,IF(M572=16,300,IF(M572=17,300,IF(M572=18,170,IF(M572=19,330)))))))))))))))))))))</f>
        <v>700</v>
      </c>
      <c r="O572" s="41">
        <v>370</v>
      </c>
      <c r="P572" s="86" t="str">
        <f t="shared" si="98"/>
        <v>OK</v>
      </c>
      <c r="Q572" s="143"/>
      <c r="R572" s="78"/>
      <c r="S572" s="87" t="str">
        <f t="shared" si="99"/>
        <v/>
      </c>
      <c r="T572" s="87" t="str">
        <f t="shared" si="100"/>
        <v/>
      </c>
      <c r="U572" s="36">
        <v>44699</v>
      </c>
      <c r="V572" s="40">
        <f t="shared" si="101"/>
        <v>370</v>
      </c>
      <c r="W572" s="43">
        <f t="shared" si="102"/>
        <v>0</v>
      </c>
    </row>
    <row r="573" spans="1:23" ht="25.5" x14ac:dyDescent="0.25">
      <c r="A573" s="45" t="s">
        <v>2689</v>
      </c>
      <c r="B573" s="46">
        <v>44638</v>
      </c>
      <c r="C573" s="45" t="s">
        <v>3396</v>
      </c>
      <c r="D573" s="46" t="s">
        <v>868</v>
      </c>
      <c r="E573" s="72" t="s">
        <v>1070</v>
      </c>
      <c r="F573" s="48" t="s">
        <v>3400</v>
      </c>
      <c r="G573" s="47" t="s">
        <v>3401</v>
      </c>
      <c r="H573" s="47" t="s">
        <v>465</v>
      </c>
      <c r="I573" s="48" t="s">
        <v>320</v>
      </c>
      <c r="J573" s="48" t="s">
        <v>317</v>
      </c>
      <c r="K573" s="49" t="s">
        <v>16</v>
      </c>
      <c r="L573" s="49" t="s">
        <v>27</v>
      </c>
      <c r="M573" s="49">
        <v>11</v>
      </c>
      <c r="N573" s="80">
        <v>300</v>
      </c>
      <c r="O573" s="51">
        <v>370</v>
      </c>
      <c r="P573" s="81" t="s">
        <v>1017</v>
      </c>
      <c r="Q573" s="142"/>
      <c r="R573" s="76"/>
      <c r="S573" s="81" t="s">
        <v>415</v>
      </c>
      <c r="T573" s="81" t="s">
        <v>415</v>
      </c>
      <c r="U573" s="46">
        <v>44718</v>
      </c>
      <c r="V573" s="50">
        <f t="shared" si="101"/>
        <v>370</v>
      </c>
      <c r="W573" s="53">
        <f t="shared" si="102"/>
        <v>0</v>
      </c>
    </row>
    <row r="574" spans="1:23" ht="25.5" x14ac:dyDescent="0.25">
      <c r="A574" s="35" t="s">
        <v>2690</v>
      </c>
      <c r="B574" s="36">
        <v>44645</v>
      </c>
      <c r="C574" s="35" t="s">
        <v>3397</v>
      </c>
      <c r="D574" s="36" t="s">
        <v>868</v>
      </c>
      <c r="E574" s="73" t="s">
        <v>1070</v>
      </c>
      <c r="F574" s="38" t="s">
        <v>3398</v>
      </c>
      <c r="G574" s="37" t="s">
        <v>3399</v>
      </c>
      <c r="H574" s="37" t="s">
        <v>465</v>
      </c>
      <c r="I574" s="38" t="s">
        <v>320</v>
      </c>
      <c r="J574" s="39" t="s">
        <v>317</v>
      </c>
      <c r="K574" s="39" t="s">
        <v>16</v>
      </c>
      <c r="L574" s="39" t="s">
        <v>27</v>
      </c>
      <c r="M574" s="39">
        <v>11</v>
      </c>
      <c r="N574" s="86">
        <v>300</v>
      </c>
      <c r="O574" s="41">
        <v>370</v>
      </c>
      <c r="P574" s="86" t="str">
        <f t="shared" si="98"/>
        <v>OK</v>
      </c>
      <c r="Q574" s="143"/>
      <c r="R574" s="78"/>
      <c r="S574" s="145" t="str">
        <f t="shared" si="99"/>
        <v/>
      </c>
      <c r="T574" s="87" t="str">
        <f t="shared" si="100"/>
        <v/>
      </c>
      <c r="U574" s="36">
        <v>44718</v>
      </c>
      <c r="V574" s="40">
        <f t="shared" si="101"/>
        <v>370</v>
      </c>
      <c r="W574" s="43">
        <f t="shared" si="102"/>
        <v>0</v>
      </c>
    </row>
    <row r="575" spans="1:23" ht="25.5" x14ac:dyDescent="0.25">
      <c r="A575" s="45" t="s">
        <v>2691</v>
      </c>
      <c r="B575" s="46">
        <v>44546</v>
      </c>
      <c r="C575" s="45" t="s">
        <v>3421</v>
      </c>
      <c r="D575" s="46" t="s">
        <v>696</v>
      </c>
      <c r="E575" s="72" t="s">
        <v>1072</v>
      </c>
      <c r="F575" s="48" t="s">
        <v>3422</v>
      </c>
      <c r="G575" s="47" t="s">
        <v>3423</v>
      </c>
      <c r="H575" s="47" t="s">
        <v>782</v>
      </c>
      <c r="I575" s="48" t="s">
        <v>2336</v>
      </c>
      <c r="J575" s="48" t="s">
        <v>2337</v>
      </c>
      <c r="K575" s="49" t="s">
        <v>432</v>
      </c>
      <c r="L575" s="49" t="s">
        <v>480</v>
      </c>
      <c r="M575" s="49">
        <v>1</v>
      </c>
      <c r="N575" s="80">
        <v>300</v>
      </c>
      <c r="O575" s="51">
        <v>300</v>
      </c>
      <c r="P575" s="81" t="str">
        <f t="shared" si="98"/>
        <v>OK</v>
      </c>
      <c r="Q575" s="142"/>
      <c r="R575" s="76"/>
      <c r="S575" s="81" t="str">
        <f t="shared" si="99"/>
        <v/>
      </c>
      <c r="T575" s="81" t="str">
        <f t="shared" si="100"/>
        <v/>
      </c>
      <c r="U575" s="46">
        <v>44722</v>
      </c>
      <c r="V575" s="50">
        <f t="shared" si="101"/>
        <v>300</v>
      </c>
      <c r="W575" s="53">
        <f t="shared" si="102"/>
        <v>0</v>
      </c>
    </row>
    <row r="576" spans="1:23" ht="25.5" x14ac:dyDescent="0.25">
      <c r="A576" s="35" t="s">
        <v>2692</v>
      </c>
      <c r="B576" s="36">
        <v>44722</v>
      </c>
      <c r="C576" s="35" t="s">
        <v>3424</v>
      </c>
      <c r="D576" s="36" t="s">
        <v>652</v>
      </c>
      <c r="E576" s="73" t="s">
        <v>1068</v>
      </c>
      <c r="F576" s="38" t="s">
        <v>3425</v>
      </c>
      <c r="G576" s="37" t="s">
        <v>3426</v>
      </c>
      <c r="H576" s="37" t="s">
        <v>3427</v>
      </c>
      <c r="I576" s="38" t="s">
        <v>1639</v>
      </c>
      <c r="J576" s="39" t="s">
        <v>655</v>
      </c>
      <c r="K576" s="39" t="s">
        <v>16</v>
      </c>
      <c r="L576" s="39" t="s">
        <v>27</v>
      </c>
      <c r="M576" s="39">
        <v>11</v>
      </c>
      <c r="N576" s="86">
        <f>IF(M576="","",IF(M576=1,300,IF(M576=2,370,IF(M576=3,630,IF(M576=4,830,IF(M576=5,370,IF(M576=6,430,IF(M576=7,530,IF(M576=8,370,IF(M576=9,700,IF(M576=10,870,IF(M576=11,370,IF(M576=12,370,IF(M576=13,370,IF(M576=13,370,IF(M576=14,370,IF(M576=15,370,IF(M576=16,300,IF(M576=17,300,IF(M576=18,170,IF(M576=19,330)))))))))))))))))))))</f>
        <v>370</v>
      </c>
      <c r="O576" s="41">
        <v>370</v>
      </c>
      <c r="P576" s="86" t="str">
        <f t="shared" si="98"/>
        <v>OK</v>
      </c>
      <c r="Q576" s="143"/>
      <c r="R576" s="78"/>
      <c r="S576" s="87" t="str">
        <f t="shared" si="99"/>
        <v/>
      </c>
      <c r="T576" s="87" t="str">
        <f t="shared" si="100"/>
        <v/>
      </c>
      <c r="U576" s="36">
        <v>44723</v>
      </c>
      <c r="V576" s="40">
        <f t="shared" si="101"/>
        <v>370</v>
      </c>
      <c r="W576" s="43">
        <f t="shared" si="102"/>
        <v>0</v>
      </c>
    </row>
    <row r="577" spans="1:23" ht="25.5" x14ac:dyDescent="0.25">
      <c r="A577" s="45" t="s">
        <v>2693</v>
      </c>
      <c r="B577" s="46">
        <v>44501</v>
      </c>
      <c r="C577" s="45" t="s">
        <v>3428</v>
      </c>
      <c r="D577" s="46" t="s">
        <v>802</v>
      </c>
      <c r="E577" s="72" t="s">
        <v>1068</v>
      </c>
      <c r="F577" s="48" t="s">
        <v>3429</v>
      </c>
      <c r="G577" s="47" t="s">
        <v>3430</v>
      </c>
      <c r="H577" s="47" t="s">
        <v>3431</v>
      </c>
      <c r="I577" s="48" t="s">
        <v>3432</v>
      </c>
      <c r="J577" s="48" t="s">
        <v>3433</v>
      </c>
      <c r="K577" s="49" t="s">
        <v>16</v>
      </c>
      <c r="L577" s="49" t="s">
        <v>765</v>
      </c>
      <c r="M577" s="49">
        <v>8</v>
      </c>
      <c r="N577" s="80">
        <f>IF(M577="","",IF(M577=1,300,IF(M577=2,370,IF(M577=3,630,IF(M577=4,830,IF(M577=5,370,IF(M577=6,430,IF(M577=7,530,IF(M577=8,370,IF(M577=9,700,IF(M577=10,870,IF(M577=11,370,IF(M577=12,370,IF(M577=13,370,IF(M577=13,370,IF(M577=14,370,IF(M577=15,370,IF(M577=16,300,IF(M577=17,300,IF(M577=18,170,IF(M577=19,330)))))))))))))))))))))</f>
        <v>370</v>
      </c>
      <c r="O577" s="51">
        <v>4500</v>
      </c>
      <c r="P577" s="81" t="str">
        <f t="shared" si="98"/>
        <v>ACIMA</v>
      </c>
      <c r="Q577" s="142"/>
      <c r="R577" s="76"/>
      <c r="S577" s="81" t="str">
        <f t="shared" si="99"/>
        <v/>
      </c>
      <c r="T577" s="81" t="str">
        <f t="shared" si="100"/>
        <v/>
      </c>
      <c r="U577" s="46">
        <v>44722</v>
      </c>
      <c r="V577" s="50">
        <f t="shared" si="101"/>
        <v>4500</v>
      </c>
      <c r="W577" s="53">
        <f t="shared" si="102"/>
        <v>0</v>
      </c>
    </row>
    <row r="578" spans="1:23" ht="25.5" x14ac:dyDescent="0.25">
      <c r="A578" s="35" t="s">
        <v>2694</v>
      </c>
      <c r="B578" s="36">
        <v>43700</v>
      </c>
      <c r="C578" s="35" t="s">
        <v>3434</v>
      </c>
      <c r="D578" s="36" t="s">
        <v>466</v>
      </c>
      <c r="E578" s="73" t="s">
        <v>1070</v>
      </c>
      <c r="F578" s="38" t="s">
        <v>3435</v>
      </c>
      <c r="G578" s="37" t="s">
        <v>3436</v>
      </c>
      <c r="H578" s="37" t="s">
        <v>3437</v>
      </c>
      <c r="I578" s="38" t="s">
        <v>320</v>
      </c>
      <c r="J578" s="39" t="s">
        <v>317</v>
      </c>
      <c r="K578" s="39" t="s">
        <v>16</v>
      </c>
      <c r="L578" s="39" t="s">
        <v>27</v>
      </c>
      <c r="M578" s="39">
        <v>11</v>
      </c>
      <c r="N578" s="86">
        <v>300</v>
      </c>
      <c r="O578" s="41">
        <v>370</v>
      </c>
      <c r="P578" s="86" t="str">
        <f t="shared" si="98"/>
        <v>OK</v>
      </c>
      <c r="Q578" s="143"/>
      <c r="R578" s="78"/>
      <c r="S578" s="87" t="str">
        <f t="shared" si="99"/>
        <v/>
      </c>
      <c r="T578" s="87" t="str">
        <f t="shared" si="100"/>
        <v/>
      </c>
      <c r="U578" s="36">
        <v>44722</v>
      </c>
      <c r="V578" s="40">
        <f t="shared" si="101"/>
        <v>370</v>
      </c>
      <c r="W578" s="43">
        <f t="shared" si="102"/>
        <v>0</v>
      </c>
    </row>
    <row r="579" spans="1:23" ht="25.5" x14ac:dyDescent="0.25">
      <c r="A579" s="45" t="s">
        <v>2695</v>
      </c>
      <c r="B579" s="46">
        <v>44250</v>
      </c>
      <c r="C579" s="45" t="s">
        <v>3438</v>
      </c>
      <c r="D579" s="46" t="s">
        <v>996</v>
      </c>
      <c r="E579" s="72" t="s">
        <v>1064</v>
      </c>
      <c r="F579" s="48" t="s">
        <v>3439</v>
      </c>
      <c r="G579" s="47" t="s">
        <v>3440</v>
      </c>
      <c r="H579" s="47" t="s">
        <v>3441</v>
      </c>
      <c r="I579" s="48" t="s">
        <v>3442</v>
      </c>
      <c r="J579" s="48" t="s">
        <v>3443</v>
      </c>
      <c r="K579" s="49" t="s">
        <v>16</v>
      </c>
      <c r="L579" s="49" t="s">
        <v>765</v>
      </c>
      <c r="M579" s="49">
        <v>8</v>
      </c>
      <c r="N579" s="80">
        <v>370</v>
      </c>
      <c r="O579" s="51">
        <v>740</v>
      </c>
      <c r="P579" s="81" t="str">
        <f t="shared" ref="P579:P638" si="103">IF(M579="","",IF(O579&gt;(5*N579),"ACIMA","OK"))</f>
        <v>OK</v>
      </c>
      <c r="Q579" s="142"/>
      <c r="R579" s="76"/>
      <c r="S579" s="81" t="str">
        <f t="shared" ref="S579:S639" si="104">IF(R579="","",R579/O579)</f>
        <v/>
      </c>
      <c r="T579" s="81" t="str">
        <f t="shared" ref="T579:T639" si="105">IF(S579="","",IF(S579&gt;$Z$5,"ACIMA","OK"))</f>
        <v/>
      </c>
      <c r="U579" s="46">
        <v>44722</v>
      </c>
      <c r="V579" s="50">
        <f t="shared" si="101"/>
        <v>740</v>
      </c>
      <c r="W579" s="53">
        <f t="shared" si="102"/>
        <v>0</v>
      </c>
    </row>
    <row r="580" spans="1:23" ht="25.5" x14ac:dyDescent="0.25">
      <c r="A580" s="35" t="s">
        <v>2696</v>
      </c>
      <c r="B580" s="36">
        <v>44125</v>
      </c>
      <c r="C580" s="35" t="s">
        <v>3448</v>
      </c>
      <c r="D580" s="36" t="s">
        <v>996</v>
      </c>
      <c r="E580" s="73" t="s">
        <v>1064</v>
      </c>
      <c r="F580" s="38" t="s">
        <v>3444</v>
      </c>
      <c r="G580" s="37" t="s">
        <v>3445</v>
      </c>
      <c r="H580" s="37" t="s">
        <v>3446</v>
      </c>
      <c r="I580" s="38" t="s">
        <v>888</v>
      </c>
      <c r="J580" s="39" t="s">
        <v>3447</v>
      </c>
      <c r="K580" s="39" t="s">
        <v>16</v>
      </c>
      <c r="L580" s="39" t="s">
        <v>765</v>
      </c>
      <c r="M580" s="39">
        <v>8</v>
      </c>
      <c r="N580" s="86">
        <f t="shared" ref="N580:N635" si="106">IF(M580="","",IF(M580=1,300,IF(M580=2,370,IF(M580=3,630,IF(M580=4,830,IF(M580=5,370,IF(M580=6,430,IF(M580=7,530,IF(M580=8,370,IF(M580=9,700,IF(M580=10,870,IF(M580=11,370,IF(M580=12,370,IF(M580=13,370,IF(M580=13,370,IF(M580=14,370,IF(M580=15,370,IF(M580=16,300,IF(M580=17,300,IF(M580=18,170,IF(M580=19,330)))))))))))))))))))))</f>
        <v>370</v>
      </c>
      <c r="O580" s="41">
        <v>740</v>
      </c>
      <c r="P580" s="86" t="str">
        <f t="shared" si="103"/>
        <v>OK</v>
      </c>
      <c r="Q580" s="143"/>
      <c r="R580" s="78"/>
      <c r="S580" s="87" t="str">
        <f t="shared" si="104"/>
        <v/>
      </c>
      <c r="T580" s="87" t="str">
        <f t="shared" si="105"/>
        <v/>
      </c>
      <c r="U580" s="36">
        <v>44722</v>
      </c>
      <c r="V580" s="40">
        <f t="shared" si="101"/>
        <v>740</v>
      </c>
      <c r="W580" s="43">
        <f t="shared" si="102"/>
        <v>0</v>
      </c>
    </row>
    <row r="581" spans="1:23" ht="25.5" x14ac:dyDescent="0.25">
      <c r="A581" s="45" t="s">
        <v>2697</v>
      </c>
      <c r="B581" s="46">
        <v>44672</v>
      </c>
      <c r="C581" s="45" t="s">
        <v>3449</v>
      </c>
      <c r="D581" s="46" t="s">
        <v>1211</v>
      </c>
      <c r="E581" s="72" t="s">
        <v>1071</v>
      </c>
      <c r="F581" s="48" t="s">
        <v>3450</v>
      </c>
      <c r="G581" s="47" t="s">
        <v>3451</v>
      </c>
      <c r="H581" s="47" t="s">
        <v>3452</v>
      </c>
      <c r="I581" s="48" t="s">
        <v>3064</v>
      </c>
      <c r="J581" s="48" t="s">
        <v>3453</v>
      </c>
      <c r="K581" s="49" t="s">
        <v>16</v>
      </c>
      <c r="L581" s="49" t="s">
        <v>1413</v>
      </c>
      <c r="M581" s="49">
        <v>12</v>
      </c>
      <c r="N581" s="80">
        <f t="shared" si="106"/>
        <v>370</v>
      </c>
      <c r="O581" s="51">
        <v>7000</v>
      </c>
      <c r="P581" s="81" t="str">
        <f t="shared" si="103"/>
        <v>ACIMA</v>
      </c>
      <c r="Q581" s="142"/>
      <c r="R581" s="76"/>
      <c r="S581" s="81" t="str">
        <f t="shared" si="104"/>
        <v/>
      </c>
      <c r="T581" s="81" t="str">
        <f t="shared" si="105"/>
        <v/>
      </c>
      <c r="U581" s="46">
        <v>44722</v>
      </c>
      <c r="V581" s="50">
        <f t="shared" si="101"/>
        <v>7000</v>
      </c>
      <c r="W581" s="53">
        <f t="shared" si="102"/>
        <v>0</v>
      </c>
    </row>
    <row r="582" spans="1:23" ht="89.25" x14ac:dyDescent="0.25">
      <c r="A582" s="35" t="s">
        <v>2698</v>
      </c>
      <c r="B582" s="36">
        <v>44674</v>
      </c>
      <c r="C582" s="35" t="s">
        <v>3454</v>
      </c>
      <c r="D582" s="36" t="s">
        <v>3455</v>
      </c>
      <c r="E582" s="73" t="s">
        <v>1080</v>
      </c>
      <c r="F582" s="38" t="s">
        <v>3456</v>
      </c>
      <c r="G582" s="37" t="s">
        <v>3457</v>
      </c>
      <c r="H582" s="37" t="s">
        <v>3458</v>
      </c>
      <c r="I582" s="38" t="s">
        <v>3459</v>
      </c>
      <c r="J582" s="38" t="s">
        <v>3460</v>
      </c>
      <c r="K582" s="39" t="s">
        <v>5</v>
      </c>
      <c r="L582" s="39" t="s">
        <v>8</v>
      </c>
      <c r="M582" s="39">
        <v>2</v>
      </c>
      <c r="N582" s="86">
        <f t="shared" si="106"/>
        <v>370</v>
      </c>
      <c r="O582" s="41">
        <v>1850</v>
      </c>
      <c r="P582" s="86" t="str">
        <f t="shared" si="103"/>
        <v>OK</v>
      </c>
      <c r="Q582" s="143"/>
      <c r="R582" s="78"/>
      <c r="S582" s="87" t="str">
        <f t="shared" si="104"/>
        <v/>
      </c>
      <c r="T582" s="87" t="str">
        <f t="shared" si="105"/>
        <v/>
      </c>
      <c r="U582" s="36">
        <v>44722</v>
      </c>
      <c r="V582" s="40">
        <f t="shared" si="101"/>
        <v>1850</v>
      </c>
      <c r="W582" s="43">
        <f t="shared" si="102"/>
        <v>0</v>
      </c>
    </row>
    <row r="583" spans="1:23" ht="25.5" x14ac:dyDescent="0.25">
      <c r="A583" s="45" t="s">
        <v>2699</v>
      </c>
      <c r="B583" s="46">
        <v>44524</v>
      </c>
      <c r="C583" s="45" t="s">
        <v>3461</v>
      </c>
      <c r="D583" s="46" t="s">
        <v>993</v>
      </c>
      <c r="E583" s="72" t="s">
        <v>1080</v>
      </c>
      <c r="F583" s="48" t="s">
        <v>3462</v>
      </c>
      <c r="G583" s="47" t="s">
        <v>3463</v>
      </c>
      <c r="H583" s="47" t="s">
        <v>3464</v>
      </c>
      <c r="I583" s="48" t="s">
        <v>2257</v>
      </c>
      <c r="J583" s="48" t="s">
        <v>2258</v>
      </c>
      <c r="K583" s="49" t="s">
        <v>5</v>
      </c>
      <c r="L583" s="49" t="s">
        <v>8</v>
      </c>
      <c r="M583" s="49">
        <v>2</v>
      </c>
      <c r="N583" s="80">
        <f t="shared" si="106"/>
        <v>370</v>
      </c>
      <c r="O583" s="51">
        <v>885.86</v>
      </c>
      <c r="P583" s="81" t="str">
        <f t="shared" si="103"/>
        <v>OK</v>
      </c>
      <c r="Q583" s="142"/>
      <c r="R583" s="76"/>
      <c r="S583" s="81" t="str">
        <f t="shared" si="104"/>
        <v/>
      </c>
      <c r="T583" s="81" t="str">
        <f t="shared" si="105"/>
        <v/>
      </c>
      <c r="U583" s="46">
        <v>44722</v>
      </c>
      <c r="V583" s="50">
        <f t="shared" si="101"/>
        <v>885.86</v>
      </c>
      <c r="W583" s="53">
        <f t="shared" si="102"/>
        <v>0</v>
      </c>
    </row>
    <row r="584" spans="1:23" ht="25.5" x14ac:dyDescent="0.25">
      <c r="A584" s="35" t="s">
        <v>2700</v>
      </c>
      <c r="B584" s="36">
        <v>44343</v>
      </c>
      <c r="C584" s="35" t="s">
        <v>3465</v>
      </c>
      <c r="D584" s="36" t="s">
        <v>501</v>
      </c>
      <c r="E584" s="73" t="s">
        <v>1072</v>
      </c>
      <c r="F584" s="38" t="s">
        <v>3467</v>
      </c>
      <c r="G584" s="146" t="s">
        <v>3468</v>
      </c>
      <c r="H584" s="37" t="s">
        <v>3466</v>
      </c>
      <c r="I584" s="38" t="s">
        <v>320</v>
      </c>
      <c r="J584" s="39" t="s">
        <v>317</v>
      </c>
      <c r="K584" s="39" t="s">
        <v>432</v>
      </c>
      <c r="L584" s="39" t="s">
        <v>480</v>
      </c>
      <c r="M584" s="39">
        <v>1</v>
      </c>
      <c r="N584" s="86">
        <v>300</v>
      </c>
      <c r="O584" s="41">
        <v>1000</v>
      </c>
      <c r="P584" s="86" t="str">
        <f t="shared" si="103"/>
        <v>OK</v>
      </c>
      <c r="Q584" s="143"/>
      <c r="R584" s="78"/>
      <c r="S584" s="87" t="str">
        <f t="shared" si="104"/>
        <v/>
      </c>
      <c r="T584" s="87" t="str">
        <f t="shared" si="105"/>
        <v/>
      </c>
      <c r="U584" s="36">
        <v>44722</v>
      </c>
      <c r="V584" s="40">
        <f t="shared" si="101"/>
        <v>1000</v>
      </c>
      <c r="W584" s="43">
        <f t="shared" si="102"/>
        <v>0</v>
      </c>
    </row>
    <row r="585" spans="1:23" ht="63.75" x14ac:dyDescent="0.25">
      <c r="A585" s="45" t="s">
        <v>2701</v>
      </c>
      <c r="B585" s="46">
        <v>44424</v>
      </c>
      <c r="C585" s="45" t="s">
        <v>3469</v>
      </c>
      <c r="D585" s="46" t="s">
        <v>996</v>
      </c>
      <c r="E585" s="72" t="s">
        <v>1064</v>
      </c>
      <c r="F585" s="48" t="s">
        <v>3470</v>
      </c>
      <c r="G585" s="47" t="s">
        <v>3471</v>
      </c>
      <c r="H585" s="47" t="s">
        <v>3472</v>
      </c>
      <c r="I585" s="48" t="s">
        <v>3473</v>
      </c>
      <c r="J585" s="48" t="s">
        <v>3474</v>
      </c>
      <c r="K585" s="49" t="s">
        <v>16</v>
      </c>
      <c r="L585" s="49" t="s">
        <v>1413</v>
      </c>
      <c r="M585" s="49">
        <v>12</v>
      </c>
      <c r="N585" s="80">
        <f t="shared" si="106"/>
        <v>370</v>
      </c>
      <c r="O585" s="51">
        <v>740</v>
      </c>
      <c r="P585" s="81" t="str">
        <f t="shared" si="103"/>
        <v>OK</v>
      </c>
      <c r="Q585" s="142"/>
      <c r="R585" s="76"/>
      <c r="S585" s="81" t="str">
        <f t="shared" si="104"/>
        <v/>
      </c>
      <c r="T585" s="81" t="str">
        <f t="shared" si="105"/>
        <v/>
      </c>
      <c r="U585" s="46">
        <v>44722</v>
      </c>
      <c r="V585" s="50">
        <f t="shared" si="101"/>
        <v>740</v>
      </c>
      <c r="W585" s="53">
        <f t="shared" si="102"/>
        <v>0</v>
      </c>
    </row>
    <row r="586" spans="1:23" ht="25.5" x14ac:dyDescent="0.25">
      <c r="A586" s="35" t="s">
        <v>2702</v>
      </c>
      <c r="B586" s="36">
        <v>44542</v>
      </c>
      <c r="C586" s="35" t="s">
        <v>3475</v>
      </c>
      <c r="D586" s="36" t="s">
        <v>1134</v>
      </c>
      <c r="E586" s="73" t="s">
        <v>1073</v>
      </c>
      <c r="F586" s="38" t="s">
        <v>3476</v>
      </c>
      <c r="G586" s="37" t="s">
        <v>3477</v>
      </c>
      <c r="H586" s="37" t="s">
        <v>3478</v>
      </c>
      <c r="I586" s="38" t="s">
        <v>320</v>
      </c>
      <c r="J586" s="39" t="s">
        <v>317</v>
      </c>
      <c r="K586" s="39" t="s">
        <v>432</v>
      </c>
      <c r="L586" s="39" t="s">
        <v>480</v>
      </c>
      <c r="M586" s="39">
        <v>1</v>
      </c>
      <c r="N586" s="86">
        <v>300</v>
      </c>
      <c r="O586" s="41">
        <v>370</v>
      </c>
      <c r="P586" s="86" t="s">
        <v>1017</v>
      </c>
      <c r="Q586" s="143"/>
      <c r="R586" s="78"/>
      <c r="S586" s="87" t="s">
        <v>415</v>
      </c>
      <c r="T586" s="87" t="s">
        <v>415</v>
      </c>
      <c r="U586" s="36">
        <v>44722</v>
      </c>
      <c r="V586" s="40">
        <f t="shared" si="101"/>
        <v>370</v>
      </c>
      <c r="W586" s="43">
        <f t="shared" si="102"/>
        <v>0</v>
      </c>
    </row>
    <row r="587" spans="1:23" ht="25.5" x14ac:dyDescent="0.25">
      <c r="A587" s="45" t="s">
        <v>2703</v>
      </c>
      <c r="B587" s="46">
        <v>44511</v>
      </c>
      <c r="C587" s="45" t="s">
        <v>3479</v>
      </c>
      <c r="D587" s="46" t="s">
        <v>2021</v>
      </c>
      <c r="E587" s="72" t="s">
        <v>1080</v>
      </c>
      <c r="F587" s="48" t="s">
        <v>3480</v>
      </c>
      <c r="G587" s="47" t="s">
        <v>3481</v>
      </c>
      <c r="H587" s="47" t="s">
        <v>428</v>
      </c>
      <c r="I587" s="48" t="s">
        <v>1425</v>
      </c>
      <c r="J587" s="48" t="s">
        <v>1426</v>
      </c>
      <c r="K587" s="49" t="s">
        <v>432</v>
      </c>
      <c r="L587" s="49" t="s">
        <v>480</v>
      </c>
      <c r="M587" s="49">
        <v>1</v>
      </c>
      <c r="N587" s="80">
        <v>300</v>
      </c>
      <c r="O587" s="51">
        <v>370</v>
      </c>
      <c r="P587" s="81" t="str">
        <f t="shared" si="103"/>
        <v>OK</v>
      </c>
      <c r="Q587" s="142"/>
      <c r="R587" s="76"/>
      <c r="S587" s="81" t="str">
        <f t="shared" si="104"/>
        <v/>
      </c>
      <c r="T587" s="81" t="str">
        <f t="shared" si="105"/>
        <v/>
      </c>
      <c r="U587" s="46">
        <v>44722</v>
      </c>
      <c r="V587" s="50">
        <f t="shared" si="101"/>
        <v>370</v>
      </c>
      <c r="W587" s="53">
        <f t="shared" si="102"/>
        <v>0</v>
      </c>
    </row>
    <row r="588" spans="1:23" ht="25.5" x14ac:dyDescent="0.25">
      <c r="A588" s="35" t="s">
        <v>2704</v>
      </c>
      <c r="B588" s="36">
        <v>43700</v>
      </c>
      <c r="C588" s="35" t="s">
        <v>3482</v>
      </c>
      <c r="D588" s="36" t="s">
        <v>466</v>
      </c>
      <c r="E588" s="73" t="s">
        <v>1070</v>
      </c>
      <c r="F588" s="38" t="s">
        <v>3483</v>
      </c>
      <c r="G588" s="37" t="s">
        <v>3484</v>
      </c>
      <c r="H588" s="37" t="s">
        <v>3485</v>
      </c>
      <c r="I588" s="38" t="s">
        <v>320</v>
      </c>
      <c r="J588" s="39" t="s">
        <v>317</v>
      </c>
      <c r="K588" s="39" t="s">
        <v>16</v>
      </c>
      <c r="L588" s="39" t="s">
        <v>27</v>
      </c>
      <c r="M588" s="39">
        <v>11</v>
      </c>
      <c r="N588" s="86">
        <v>300</v>
      </c>
      <c r="O588" s="41">
        <v>600</v>
      </c>
      <c r="P588" s="86" t="str">
        <f t="shared" si="103"/>
        <v>OK</v>
      </c>
      <c r="Q588" s="143"/>
      <c r="R588" s="78"/>
      <c r="S588" s="87" t="str">
        <f t="shared" si="104"/>
        <v/>
      </c>
      <c r="T588" s="87" t="str">
        <f t="shared" si="105"/>
        <v/>
      </c>
      <c r="U588" s="36">
        <v>44722</v>
      </c>
      <c r="V588" s="40">
        <f t="shared" si="101"/>
        <v>600</v>
      </c>
      <c r="W588" s="43">
        <f t="shared" si="102"/>
        <v>0</v>
      </c>
    </row>
    <row r="589" spans="1:23" ht="25.5" x14ac:dyDescent="0.25">
      <c r="A589" s="45" t="s">
        <v>2705</v>
      </c>
      <c r="B589" s="46">
        <v>44484</v>
      </c>
      <c r="C589" s="45" t="s">
        <v>3486</v>
      </c>
      <c r="D589" s="46" t="s">
        <v>1055</v>
      </c>
      <c r="E589" s="72" t="s">
        <v>1080</v>
      </c>
      <c r="F589" s="48" t="s">
        <v>3487</v>
      </c>
      <c r="G589" s="47" t="s">
        <v>3488</v>
      </c>
      <c r="H589" s="47" t="s">
        <v>3489</v>
      </c>
      <c r="I589" s="48" t="s">
        <v>320</v>
      </c>
      <c r="J589" s="48" t="s">
        <v>317</v>
      </c>
      <c r="K589" s="49" t="s">
        <v>432</v>
      </c>
      <c r="L589" s="49" t="s">
        <v>480</v>
      </c>
      <c r="M589" s="49">
        <v>1</v>
      </c>
      <c r="N589" s="80">
        <v>300</v>
      </c>
      <c r="O589" s="51">
        <v>1000</v>
      </c>
      <c r="P589" s="81" t="str">
        <f t="shared" si="103"/>
        <v>OK</v>
      </c>
      <c r="Q589" s="142"/>
      <c r="R589" s="76"/>
      <c r="S589" s="81" t="str">
        <f t="shared" si="104"/>
        <v/>
      </c>
      <c r="T589" s="81" t="str">
        <f t="shared" si="105"/>
        <v/>
      </c>
      <c r="U589" s="46">
        <v>44722</v>
      </c>
      <c r="V589" s="50">
        <f t="shared" si="101"/>
        <v>1000</v>
      </c>
      <c r="W589" s="53">
        <f t="shared" si="102"/>
        <v>0</v>
      </c>
    </row>
    <row r="590" spans="1:23" ht="51" x14ac:dyDescent="0.25">
      <c r="A590" s="35" t="s">
        <v>2706</v>
      </c>
      <c r="B590" s="36">
        <v>44669</v>
      </c>
      <c r="C590" s="35" t="s">
        <v>3490</v>
      </c>
      <c r="D590" s="36" t="s">
        <v>501</v>
      </c>
      <c r="E590" s="73" t="s">
        <v>1072</v>
      </c>
      <c r="F590" s="38" t="s">
        <v>3491</v>
      </c>
      <c r="G590" s="37" t="s">
        <v>3492</v>
      </c>
      <c r="H590" s="37" t="s">
        <v>3493</v>
      </c>
      <c r="I590" s="38" t="s">
        <v>3064</v>
      </c>
      <c r="J590" s="39" t="s">
        <v>3065</v>
      </c>
      <c r="K590" s="39" t="s">
        <v>16</v>
      </c>
      <c r="L590" s="39" t="s">
        <v>1413</v>
      </c>
      <c r="M590" s="39">
        <v>12</v>
      </c>
      <c r="N590" s="86">
        <f t="shared" si="106"/>
        <v>370</v>
      </c>
      <c r="O590" s="41">
        <v>1500</v>
      </c>
      <c r="P590" s="86" t="str">
        <f t="shared" si="103"/>
        <v>OK</v>
      </c>
      <c r="Q590" s="143"/>
      <c r="R590" s="78"/>
      <c r="S590" s="87" t="str">
        <f t="shared" si="104"/>
        <v/>
      </c>
      <c r="T590" s="87" t="str">
        <f t="shared" si="105"/>
        <v/>
      </c>
      <c r="U590" s="36">
        <v>44722</v>
      </c>
      <c r="V590" s="40">
        <f t="shared" si="101"/>
        <v>1500</v>
      </c>
      <c r="W590" s="43">
        <f t="shared" si="102"/>
        <v>0</v>
      </c>
    </row>
    <row r="591" spans="1:23" ht="25.5" x14ac:dyDescent="0.25">
      <c r="A591" s="45" t="s">
        <v>2707</v>
      </c>
      <c r="B591" s="46">
        <v>44655</v>
      </c>
      <c r="C591" s="45" t="s">
        <v>3494</v>
      </c>
      <c r="D591" s="46" t="s">
        <v>526</v>
      </c>
      <c r="E591" s="72" t="s">
        <v>1066</v>
      </c>
      <c r="F591" s="48" t="s">
        <v>3495</v>
      </c>
      <c r="G591" s="47" t="s">
        <v>3496</v>
      </c>
      <c r="H591" s="47" t="s">
        <v>3497</v>
      </c>
      <c r="I591" s="48" t="s">
        <v>771</v>
      </c>
      <c r="J591" s="48" t="s">
        <v>772</v>
      </c>
      <c r="K591" s="49" t="s">
        <v>31</v>
      </c>
      <c r="L591" s="49" t="s">
        <v>32</v>
      </c>
      <c r="M591" s="49">
        <v>13</v>
      </c>
      <c r="N591" s="80">
        <f t="shared" si="106"/>
        <v>370</v>
      </c>
      <c r="O591" s="51">
        <v>740</v>
      </c>
      <c r="P591" s="81" t="str">
        <f t="shared" si="103"/>
        <v>OK</v>
      </c>
      <c r="Q591" s="142"/>
      <c r="R591" s="76"/>
      <c r="S591" s="81" t="str">
        <f t="shared" si="104"/>
        <v/>
      </c>
      <c r="T591" s="81" t="str">
        <f t="shared" si="105"/>
        <v/>
      </c>
      <c r="U591" s="46">
        <v>44722</v>
      </c>
      <c r="V591" s="50">
        <f t="shared" si="101"/>
        <v>740</v>
      </c>
      <c r="W591" s="53">
        <f t="shared" si="102"/>
        <v>0</v>
      </c>
    </row>
    <row r="592" spans="1:23" ht="25.5" x14ac:dyDescent="0.25">
      <c r="A592" s="35" t="s">
        <v>2708</v>
      </c>
      <c r="B592" s="36">
        <v>44537</v>
      </c>
      <c r="C592" s="35" t="s">
        <v>3498</v>
      </c>
      <c r="D592" s="36" t="s">
        <v>659</v>
      </c>
      <c r="E592" s="73" t="s">
        <v>1073</v>
      </c>
      <c r="F592" s="38" t="s">
        <v>3499</v>
      </c>
      <c r="G592" s="37" t="s">
        <v>2134</v>
      </c>
      <c r="H592" s="37" t="s">
        <v>1044</v>
      </c>
      <c r="I592" s="38" t="s">
        <v>320</v>
      </c>
      <c r="J592" s="39" t="s">
        <v>317</v>
      </c>
      <c r="K592" s="39" t="s">
        <v>432</v>
      </c>
      <c r="L592" s="39" t="s">
        <v>480</v>
      </c>
      <c r="M592" s="39">
        <v>1</v>
      </c>
      <c r="N592" s="86">
        <v>300</v>
      </c>
      <c r="O592" s="41">
        <v>370</v>
      </c>
      <c r="P592" s="86" t="str">
        <f t="shared" si="103"/>
        <v>OK</v>
      </c>
      <c r="Q592" s="143"/>
      <c r="R592" s="78"/>
      <c r="S592" s="87" t="str">
        <f t="shared" si="104"/>
        <v/>
      </c>
      <c r="T592" s="87" t="str">
        <f t="shared" si="105"/>
        <v/>
      </c>
      <c r="U592" s="36">
        <v>44722</v>
      </c>
      <c r="V592" s="40">
        <f t="shared" si="101"/>
        <v>370</v>
      </c>
      <c r="W592" s="43">
        <f t="shared" si="102"/>
        <v>0</v>
      </c>
    </row>
    <row r="593" spans="1:23" ht="25.5" x14ac:dyDescent="0.25">
      <c r="A593" s="45" t="s">
        <v>2709</v>
      </c>
      <c r="B593" s="46">
        <v>44025</v>
      </c>
      <c r="C593" s="45" t="s">
        <v>3500</v>
      </c>
      <c r="D593" s="46" t="s">
        <v>868</v>
      </c>
      <c r="E593" s="72" t="s">
        <v>1070</v>
      </c>
      <c r="F593" s="48" t="s">
        <v>3501</v>
      </c>
      <c r="G593" s="47" t="s">
        <v>3502</v>
      </c>
      <c r="H593" s="47" t="s">
        <v>469</v>
      </c>
      <c r="I593" s="48" t="s">
        <v>320</v>
      </c>
      <c r="J593" s="48" t="s">
        <v>317</v>
      </c>
      <c r="K593" s="49" t="s">
        <v>16</v>
      </c>
      <c r="L593" s="49" t="s">
        <v>27</v>
      </c>
      <c r="M593" s="49">
        <v>11</v>
      </c>
      <c r="N593" s="80">
        <v>300</v>
      </c>
      <c r="O593" s="51">
        <v>622</v>
      </c>
      <c r="P593" s="81" t="str">
        <f t="shared" si="103"/>
        <v>OK</v>
      </c>
      <c r="Q593" s="142"/>
      <c r="R593" s="76"/>
      <c r="S593" s="81" t="str">
        <f t="shared" si="104"/>
        <v/>
      </c>
      <c r="T593" s="81" t="str">
        <f t="shared" si="105"/>
        <v/>
      </c>
      <c r="U593" s="46">
        <v>44722</v>
      </c>
      <c r="V593" s="50">
        <f t="shared" si="101"/>
        <v>622</v>
      </c>
      <c r="W593" s="53">
        <f t="shared" si="102"/>
        <v>0</v>
      </c>
    </row>
    <row r="594" spans="1:23" ht="25.5" x14ac:dyDescent="0.25">
      <c r="A594" s="35" t="s">
        <v>2710</v>
      </c>
      <c r="B594" s="36">
        <v>44348</v>
      </c>
      <c r="C594" s="35" t="s">
        <v>3503</v>
      </c>
      <c r="D594" s="36" t="s">
        <v>1078</v>
      </c>
      <c r="E594" s="73" t="s">
        <v>981</v>
      </c>
      <c r="F594" s="38" t="s">
        <v>3504</v>
      </c>
      <c r="G594" s="37" t="s">
        <v>3505</v>
      </c>
      <c r="H594" s="37" t="s">
        <v>437</v>
      </c>
      <c r="I594" s="38" t="s">
        <v>753</v>
      </c>
      <c r="J594" s="39" t="s">
        <v>754</v>
      </c>
      <c r="K594" s="39" t="s">
        <v>31</v>
      </c>
      <c r="L594" s="39" t="s">
        <v>1413</v>
      </c>
      <c r="M594" s="39">
        <v>15</v>
      </c>
      <c r="N594" s="86">
        <f t="shared" si="106"/>
        <v>370</v>
      </c>
      <c r="O594" s="41">
        <v>500</v>
      </c>
      <c r="P594" s="86" t="str">
        <f t="shared" si="103"/>
        <v>OK</v>
      </c>
      <c r="Q594" s="143"/>
      <c r="R594" s="78"/>
      <c r="S594" s="87" t="str">
        <f t="shared" si="104"/>
        <v/>
      </c>
      <c r="T594" s="87" t="str">
        <f t="shared" si="105"/>
        <v/>
      </c>
      <c r="U594" s="36">
        <v>37417</v>
      </c>
      <c r="V594" s="40">
        <f t="shared" si="101"/>
        <v>500</v>
      </c>
      <c r="W594" s="43">
        <f t="shared" si="102"/>
        <v>0</v>
      </c>
    </row>
    <row r="595" spans="1:23" ht="25.5" x14ac:dyDescent="0.25">
      <c r="A595" s="45" t="s">
        <v>2711</v>
      </c>
      <c r="B595" s="46">
        <v>44355</v>
      </c>
      <c r="C595" s="45" t="s">
        <v>3506</v>
      </c>
      <c r="D595" s="46" t="s">
        <v>501</v>
      </c>
      <c r="E595" s="72" t="s">
        <v>1072</v>
      </c>
      <c r="F595" s="48" t="s">
        <v>3507</v>
      </c>
      <c r="G595" s="47" t="s">
        <v>3508</v>
      </c>
      <c r="H595" s="47" t="s">
        <v>3509</v>
      </c>
      <c r="I595" s="48" t="s">
        <v>320</v>
      </c>
      <c r="J595" s="48" t="s">
        <v>317</v>
      </c>
      <c r="K595" s="49" t="s">
        <v>432</v>
      </c>
      <c r="L595" s="49" t="s">
        <v>480</v>
      </c>
      <c r="M595" s="49">
        <v>1</v>
      </c>
      <c r="N595" s="80">
        <v>300</v>
      </c>
      <c r="O595" s="51">
        <v>1000</v>
      </c>
      <c r="P595" s="81" t="s">
        <v>1017</v>
      </c>
      <c r="Q595" s="142"/>
      <c r="R595" s="76"/>
      <c r="S595" s="81" t="s">
        <v>415</v>
      </c>
      <c r="T595" s="81" t="s">
        <v>415</v>
      </c>
      <c r="U595" s="46">
        <v>44722</v>
      </c>
      <c r="V595" s="50">
        <f t="shared" si="101"/>
        <v>1000</v>
      </c>
      <c r="W595" s="53">
        <f t="shared" si="102"/>
        <v>0</v>
      </c>
    </row>
    <row r="596" spans="1:23" ht="25.5" x14ac:dyDescent="0.25">
      <c r="A596" s="35" t="s">
        <v>2712</v>
      </c>
      <c r="B596" s="36">
        <v>44228</v>
      </c>
      <c r="C596" s="35" t="s">
        <v>3510</v>
      </c>
      <c r="D596" s="36" t="s">
        <v>990</v>
      </c>
      <c r="E596" s="73" t="s">
        <v>1064</v>
      </c>
      <c r="F596" s="38" t="s">
        <v>3511</v>
      </c>
      <c r="G596" s="37" t="s">
        <v>3512</v>
      </c>
      <c r="H596" s="37" t="s">
        <v>3513</v>
      </c>
      <c r="I596" s="38" t="s">
        <v>667</v>
      </c>
      <c r="J596" s="39" t="s">
        <v>668</v>
      </c>
      <c r="K596" s="39" t="s">
        <v>39</v>
      </c>
      <c r="L596" s="39" t="s">
        <v>40</v>
      </c>
      <c r="M596" s="39">
        <v>17</v>
      </c>
      <c r="N596" s="86">
        <f t="shared" si="106"/>
        <v>300</v>
      </c>
      <c r="O596" s="41">
        <v>450</v>
      </c>
      <c r="P596" s="86" t="str">
        <f t="shared" si="103"/>
        <v>OK</v>
      </c>
      <c r="Q596" s="143"/>
      <c r="R596" s="78"/>
      <c r="S596" s="87" t="str">
        <f t="shared" si="104"/>
        <v/>
      </c>
      <c r="T596" s="87" t="str">
        <f t="shared" si="105"/>
        <v/>
      </c>
      <c r="U596" s="36">
        <v>44722</v>
      </c>
      <c r="V596" s="40">
        <f t="shared" si="101"/>
        <v>450</v>
      </c>
      <c r="W596" s="43">
        <f t="shared" si="102"/>
        <v>0</v>
      </c>
    </row>
    <row r="597" spans="1:23" ht="25.5" x14ac:dyDescent="0.25">
      <c r="A597" s="45" t="s">
        <v>2713</v>
      </c>
      <c r="B597" s="46">
        <v>44596</v>
      </c>
      <c r="C597" s="45" t="s">
        <v>3514</v>
      </c>
      <c r="D597" s="46" t="s">
        <v>1006</v>
      </c>
      <c r="E597" s="72" t="s">
        <v>1064</v>
      </c>
      <c r="F597" s="48" t="s">
        <v>3515</v>
      </c>
      <c r="G597" s="47" t="s">
        <v>3516</v>
      </c>
      <c r="H597" s="47" t="s">
        <v>3517</v>
      </c>
      <c r="I597" s="48" t="s">
        <v>3518</v>
      </c>
      <c r="J597" s="48" t="s">
        <v>3519</v>
      </c>
      <c r="K597" s="49" t="s">
        <v>29</v>
      </c>
      <c r="L597" s="49" t="s">
        <v>3520</v>
      </c>
      <c r="M597" s="49">
        <v>19</v>
      </c>
      <c r="N597" s="80">
        <f t="shared" si="106"/>
        <v>330</v>
      </c>
      <c r="O597" s="51">
        <v>750</v>
      </c>
      <c r="P597" s="81" t="str">
        <f t="shared" si="103"/>
        <v>OK</v>
      </c>
      <c r="Q597" s="142"/>
      <c r="R597" s="76"/>
      <c r="S597" s="81" t="str">
        <f t="shared" si="104"/>
        <v/>
      </c>
      <c r="T597" s="81" t="str">
        <f t="shared" si="105"/>
        <v/>
      </c>
      <c r="U597" s="46">
        <v>44722</v>
      </c>
      <c r="V597" s="50">
        <f t="shared" si="101"/>
        <v>750</v>
      </c>
      <c r="W597" s="53">
        <f t="shared" si="102"/>
        <v>0</v>
      </c>
    </row>
    <row r="598" spans="1:23" ht="38.25" x14ac:dyDescent="0.25">
      <c r="A598" s="35" t="s">
        <v>2714</v>
      </c>
      <c r="B598" s="36">
        <v>44305</v>
      </c>
      <c r="C598" s="35" t="s">
        <v>3521</v>
      </c>
      <c r="D598" s="36" t="s">
        <v>990</v>
      </c>
      <c r="E598" s="73" t="s">
        <v>1064</v>
      </c>
      <c r="F598" s="38" t="s">
        <v>3522</v>
      </c>
      <c r="G598" s="37" t="s">
        <v>3523</v>
      </c>
      <c r="H598" s="37" t="s">
        <v>3524</v>
      </c>
      <c r="I598" s="38" t="s">
        <v>667</v>
      </c>
      <c r="J598" s="39" t="s">
        <v>668</v>
      </c>
      <c r="K598" s="39" t="s">
        <v>39</v>
      </c>
      <c r="L598" s="39" t="s">
        <v>40</v>
      </c>
      <c r="M598" s="39">
        <v>17</v>
      </c>
      <c r="N598" s="86">
        <v>300</v>
      </c>
      <c r="O598" s="41">
        <v>450</v>
      </c>
      <c r="P598" s="86" t="s">
        <v>1017</v>
      </c>
      <c r="Q598" s="143"/>
      <c r="R598" s="78"/>
      <c r="S598" s="87" t="s">
        <v>415</v>
      </c>
      <c r="T598" s="87" t="s">
        <v>415</v>
      </c>
      <c r="U598" s="36">
        <v>44722</v>
      </c>
      <c r="V598" s="40">
        <f t="shared" si="101"/>
        <v>450</v>
      </c>
      <c r="W598" s="43">
        <f t="shared" si="102"/>
        <v>0</v>
      </c>
    </row>
    <row r="599" spans="1:23" ht="25.5" x14ac:dyDescent="0.25">
      <c r="A599" s="45" t="s">
        <v>2715</v>
      </c>
      <c r="B599" s="46">
        <v>44229</v>
      </c>
      <c r="C599" s="45" t="s">
        <v>3525</v>
      </c>
      <c r="D599" s="46" t="s">
        <v>1005</v>
      </c>
      <c r="E599" s="72" t="s">
        <v>1080</v>
      </c>
      <c r="F599" s="48" t="s">
        <v>3526</v>
      </c>
      <c r="G599" s="47" t="s">
        <v>3527</v>
      </c>
      <c r="H599" s="47" t="s">
        <v>3528</v>
      </c>
      <c r="I599" s="48" t="s">
        <v>1592</v>
      </c>
      <c r="J599" s="48" t="s">
        <v>1594</v>
      </c>
      <c r="K599" s="49" t="s">
        <v>432</v>
      </c>
      <c r="L599" s="49" t="s">
        <v>480</v>
      </c>
      <c r="M599" s="49">
        <v>1</v>
      </c>
      <c r="N599" s="80">
        <f t="shared" si="106"/>
        <v>300</v>
      </c>
      <c r="O599" s="51">
        <v>740</v>
      </c>
      <c r="P599" s="81" t="str">
        <f t="shared" si="103"/>
        <v>OK</v>
      </c>
      <c r="Q599" s="142"/>
      <c r="R599" s="76"/>
      <c r="S599" s="81" t="str">
        <f t="shared" si="104"/>
        <v/>
      </c>
      <c r="T599" s="81" t="str">
        <f t="shared" si="105"/>
        <v/>
      </c>
      <c r="U599" s="46">
        <v>44722</v>
      </c>
      <c r="V599" s="50">
        <f t="shared" si="101"/>
        <v>740</v>
      </c>
      <c r="W599" s="53">
        <f t="shared" si="102"/>
        <v>0</v>
      </c>
    </row>
    <row r="600" spans="1:23" ht="25.5" x14ac:dyDescent="0.25">
      <c r="A600" s="35" t="s">
        <v>2716</v>
      </c>
      <c r="B600" s="36">
        <v>44495</v>
      </c>
      <c r="C600" s="35" t="s">
        <v>3529</v>
      </c>
      <c r="D600" s="36" t="s">
        <v>659</v>
      </c>
      <c r="E600" s="73" t="s">
        <v>1073</v>
      </c>
      <c r="F600" s="38" t="s">
        <v>3530</v>
      </c>
      <c r="G600" s="37" t="s">
        <v>3531</v>
      </c>
      <c r="H600" s="37" t="s">
        <v>2391</v>
      </c>
      <c r="I600" s="38" t="s">
        <v>320</v>
      </c>
      <c r="J600" s="39" t="s">
        <v>317</v>
      </c>
      <c r="K600" s="39" t="s">
        <v>432</v>
      </c>
      <c r="L600" s="39" t="s">
        <v>480</v>
      </c>
      <c r="M600" s="39">
        <v>1</v>
      </c>
      <c r="N600" s="86">
        <v>300</v>
      </c>
      <c r="O600" s="41">
        <v>370</v>
      </c>
      <c r="P600" s="86" t="str">
        <f t="shared" si="103"/>
        <v>OK</v>
      </c>
      <c r="Q600" s="143"/>
      <c r="R600" s="78"/>
      <c r="S600" s="87" t="str">
        <f t="shared" si="104"/>
        <v/>
      </c>
      <c r="T600" s="87" t="str">
        <f t="shared" si="105"/>
        <v/>
      </c>
      <c r="U600" s="36">
        <v>44722</v>
      </c>
      <c r="V600" s="40">
        <f t="shared" si="101"/>
        <v>370</v>
      </c>
      <c r="W600" s="43">
        <f t="shared" si="102"/>
        <v>0</v>
      </c>
    </row>
    <row r="601" spans="1:23" ht="25.5" x14ac:dyDescent="0.25">
      <c r="A601" s="45" t="s">
        <v>2717</v>
      </c>
      <c r="B601" s="46">
        <v>43584</v>
      </c>
      <c r="C601" s="45" t="s">
        <v>3532</v>
      </c>
      <c r="D601" s="46" t="s">
        <v>466</v>
      </c>
      <c r="E601" s="72" t="s">
        <v>1070</v>
      </c>
      <c r="F601" s="48" t="s">
        <v>3533</v>
      </c>
      <c r="G601" s="47" t="s">
        <v>3534</v>
      </c>
      <c r="H601" s="47" t="s">
        <v>3535</v>
      </c>
      <c r="I601" s="48" t="s">
        <v>320</v>
      </c>
      <c r="J601" s="48" t="s">
        <v>317</v>
      </c>
      <c r="K601" s="49" t="s">
        <v>16</v>
      </c>
      <c r="L601" s="49" t="s">
        <v>27</v>
      </c>
      <c r="M601" s="49">
        <v>11</v>
      </c>
      <c r="N601" s="80">
        <v>300</v>
      </c>
      <c r="O601" s="51">
        <v>622</v>
      </c>
      <c r="P601" s="81" t="str">
        <f t="shared" si="103"/>
        <v>OK</v>
      </c>
      <c r="Q601" s="142"/>
      <c r="R601" s="76"/>
      <c r="S601" s="81" t="str">
        <f t="shared" si="104"/>
        <v/>
      </c>
      <c r="T601" s="81" t="str">
        <f t="shared" si="105"/>
        <v/>
      </c>
      <c r="U601" s="46">
        <v>44722</v>
      </c>
      <c r="V601" s="50">
        <f t="shared" si="101"/>
        <v>622</v>
      </c>
      <c r="W601" s="53">
        <f t="shared" si="102"/>
        <v>0</v>
      </c>
    </row>
    <row r="602" spans="1:23" ht="25.5" x14ac:dyDescent="0.25">
      <c r="A602" s="35" t="s">
        <v>2718</v>
      </c>
      <c r="B602" s="36">
        <v>43082</v>
      </c>
      <c r="C602" s="35" t="s">
        <v>613</v>
      </c>
      <c r="D602" s="36" t="s">
        <v>995</v>
      </c>
      <c r="E602" s="73" t="s">
        <v>1064</v>
      </c>
      <c r="F602" s="38" t="s">
        <v>614</v>
      </c>
      <c r="G602" s="37" t="s">
        <v>3536</v>
      </c>
      <c r="H602" s="37" t="s">
        <v>3537</v>
      </c>
      <c r="I602" s="38" t="s">
        <v>617</v>
      </c>
      <c r="J602" s="39"/>
      <c r="K602" s="39" t="s">
        <v>39</v>
      </c>
      <c r="L602" s="39" t="s">
        <v>40</v>
      </c>
      <c r="M602" s="39">
        <v>17</v>
      </c>
      <c r="N602" s="86">
        <f t="shared" si="106"/>
        <v>300</v>
      </c>
      <c r="O602" s="41">
        <v>442.93</v>
      </c>
      <c r="P602" s="86" t="str">
        <f t="shared" si="103"/>
        <v>OK</v>
      </c>
      <c r="Q602" s="143"/>
      <c r="R602" s="78"/>
      <c r="S602" s="87" t="str">
        <f t="shared" si="104"/>
        <v/>
      </c>
      <c r="T602" s="87" t="str">
        <f t="shared" si="105"/>
        <v/>
      </c>
      <c r="U602" s="36">
        <v>44722</v>
      </c>
      <c r="V602" s="40">
        <f t="shared" si="101"/>
        <v>442.93</v>
      </c>
      <c r="W602" s="43">
        <f t="shared" si="102"/>
        <v>0</v>
      </c>
    </row>
    <row r="603" spans="1:23" ht="51" x14ac:dyDescent="0.25">
      <c r="A603" s="45" t="s">
        <v>2719</v>
      </c>
      <c r="B603" s="46">
        <v>44627</v>
      </c>
      <c r="C603" s="45" t="s">
        <v>3538</v>
      </c>
      <c r="D603" s="46" t="s">
        <v>501</v>
      </c>
      <c r="E603" s="72" t="s">
        <v>1072</v>
      </c>
      <c r="F603" s="48" t="s">
        <v>3539</v>
      </c>
      <c r="G603" s="47" t="s">
        <v>3540</v>
      </c>
      <c r="H603" s="47" t="s">
        <v>3541</v>
      </c>
      <c r="I603" s="48" t="s">
        <v>3542</v>
      </c>
      <c r="J603" s="48" t="s">
        <v>3543</v>
      </c>
      <c r="K603" s="49" t="s">
        <v>16</v>
      </c>
      <c r="L603" s="49" t="s">
        <v>765</v>
      </c>
      <c r="M603" s="49">
        <v>8</v>
      </c>
      <c r="N603" s="80">
        <f t="shared" si="106"/>
        <v>370</v>
      </c>
      <c r="O603" s="51">
        <v>1100</v>
      </c>
      <c r="P603" s="81" t="str">
        <f t="shared" si="103"/>
        <v>OK</v>
      </c>
      <c r="Q603" s="142"/>
      <c r="R603" s="76"/>
      <c r="S603" s="81" t="str">
        <f t="shared" si="104"/>
        <v/>
      </c>
      <c r="T603" s="81" t="str">
        <f t="shared" si="105"/>
        <v/>
      </c>
      <c r="U603" s="46">
        <v>44722</v>
      </c>
      <c r="V603" s="50">
        <f t="shared" si="101"/>
        <v>1100</v>
      </c>
      <c r="W603" s="53">
        <f t="shared" si="102"/>
        <v>0</v>
      </c>
    </row>
    <row r="604" spans="1:23" ht="63.75" x14ac:dyDescent="0.25">
      <c r="A604" s="35" t="s">
        <v>2720</v>
      </c>
      <c r="B604" s="36">
        <v>44348</v>
      </c>
      <c r="C604" s="35" t="s">
        <v>3544</v>
      </c>
      <c r="D604" s="36" t="s">
        <v>989</v>
      </c>
      <c r="E604" s="73" t="s">
        <v>1064</v>
      </c>
      <c r="F604" s="38" t="s">
        <v>3545</v>
      </c>
      <c r="G604" s="37" t="s">
        <v>3546</v>
      </c>
      <c r="H604" s="37" t="s">
        <v>3547</v>
      </c>
      <c r="I604" s="38" t="s">
        <v>3548</v>
      </c>
      <c r="J604" s="38" t="s">
        <v>3549</v>
      </c>
      <c r="K604" s="39" t="s">
        <v>31</v>
      </c>
      <c r="L604" s="39" t="s">
        <v>1413</v>
      </c>
      <c r="M604" s="39">
        <v>15</v>
      </c>
      <c r="N604" s="86">
        <f t="shared" si="106"/>
        <v>370</v>
      </c>
      <c r="O604" s="41">
        <v>622</v>
      </c>
      <c r="P604" s="86" t="str">
        <f t="shared" si="103"/>
        <v>OK</v>
      </c>
      <c r="Q604" s="143"/>
      <c r="R604" s="78"/>
      <c r="S604" s="87" t="str">
        <f t="shared" si="104"/>
        <v/>
      </c>
      <c r="T604" s="87" t="str">
        <f t="shared" si="105"/>
        <v/>
      </c>
      <c r="U604" s="36">
        <v>44722</v>
      </c>
      <c r="V604" s="40">
        <f t="shared" si="101"/>
        <v>622</v>
      </c>
      <c r="W604" s="43">
        <f t="shared" si="102"/>
        <v>0</v>
      </c>
    </row>
    <row r="605" spans="1:23" ht="25.5" x14ac:dyDescent="0.25">
      <c r="A605" s="45" t="s">
        <v>2721</v>
      </c>
      <c r="B605" s="46">
        <v>44643</v>
      </c>
      <c r="C605" s="45" t="s">
        <v>3550</v>
      </c>
      <c r="D605" s="46" t="s">
        <v>3552</v>
      </c>
      <c r="E605" s="72" t="s">
        <v>1786</v>
      </c>
      <c r="F605" s="48" t="s">
        <v>3551</v>
      </c>
      <c r="G605" s="47" t="s">
        <v>3553</v>
      </c>
      <c r="H605" s="47" t="s">
        <v>3554</v>
      </c>
      <c r="I605" s="48" t="s">
        <v>320</v>
      </c>
      <c r="J605" s="48" t="s">
        <v>317</v>
      </c>
      <c r="K605" s="49" t="s">
        <v>432</v>
      </c>
      <c r="L605" s="49" t="s">
        <v>480</v>
      </c>
      <c r="M605" s="49">
        <v>1</v>
      </c>
      <c r="N605" s="80">
        <v>300</v>
      </c>
      <c r="O605" s="51">
        <v>370</v>
      </c>
      <c r="P605" s="81" t="str">
        <f t="shared" si="103"/>
        <v>OK</v>
      </c>
      <c r="Q605" s="142"/>
      <c r="R605" s="76"/>
      <c r="S605" s="81" t="str">
        <f t="shared" si="104"/>
        <v/>
      </c>
      <c r="T605" s="81" t="str">
        <f t="shared" si="105"/>
        <v/>
      </c>
      <c r="U605" s="46">
        <v>44722</v>
      </c>
      <c r="V605" s="50">
        <f t="shared" si="101"/>
        <v>370</v>
      </c>
      <c r="W605" s="53">
        <f t="shared" si="102"/>
        <v>0</v>
      </c>
    </row>
    <row r="606" spans="1:23" ht="25.5" x14ac:dyDescent="0.25">
      <c r="A606" s="35" t="s">
        <v>2722</v>
      </c>
      <c r="B606" s="36">
        <v>44742</v>
      </c>
      <c r="C606" s="35" t="s">
        <v>3555</v>
      </c>
      <c r="D606" s="36" t="s">
        <v>501</v>
      </c>
      <c r="E606" s="73" t="s">
        <v>1072</v>
      </c>
      <c r="F606" s="38" t="s">
        <v>3556</v>
      </c>
      <c r="G606" s="37" t="s">
        <v>3557</v>
      </c>
      <c r="H606" s="37" t="s">
        <v>3383</v>
      </c>
      <c r="I606" s="38" t="s">
        <v>320</v>
      </c>
      <c r="J606" s="39" t="s">
        <v>317</v>
      </c>
      <c r="K606" s="39" t="s">
        <v>432</v>
      </c>
      <c r="L606" s="39" t="s">
        <v>480</v>
      </c>
      <c r="M606" s="39">
        <v>1</v>
      </c>
      <c r="N606" s="86">
        <v>300</v>
      </c>
      <c r="O606" s="41">
        <v>300</v>
      </c>
      <c r="P606" s="86" t="str">
        <f t="shared" si="103"/>
        <v>OK</v>
      </c>
      <c r="Q606" s="143"/>
      <c r="R606" s="78"/>
      <c r="S606" s="87" t="str">
        <f t="shared" si="104"/>
        <v/>
      </c>
      <c r="T606" s="87" t="str">
        <f t="shared" si="105"/>
        <v/>
      </c>
      <c r="U606" s="36">
        <v>44742</v>
      </c>
      <c r="V606" s="40">
        <f t="shared" si="101"/>
        <v>300</v>
      </c>
      <c r="W606" s="43">
        <f t="shared" si="102"/>
        <v>0</v>
      </c>
    </row>
    <row r="607" spans="1:23" ht="38.25" x14ac:dyDescent="0.25">
      <c r="A607" s="45" t="s">
        <v>2723</v>
      </c>
      <c r="B607" s="46">
        <v>44739</v>
      </c>
      <c r="C607" s="45" t="s">
        <v>3558</v>
      </c>
      <c r="D607" s="46" t="s">
        <v>466</v>
      </c>
      <c r="E607" s="72" t="s">
        <v>1070</v>
      </c>
      <c r="F607" s="48" t="s">
        <v>3559</v>
      </c>
      <c r="G607" s="47" t="s">
        <v>3560</v>
      </c>
      <c r="H607" s="47" t="s">
        <v>3561</v>
      </c>
      <c r="I607" s="48" t="s">
        <v>320</v>
      </c>
      <c r="J607" s="48" t="s">
        <v>317</v>
      </c>
      <c r="K607" s="49" t="s">
        <v>16</v>
      </c>
      <c r="L607" s="49" t="s">
        <v>27</v>
      </c>
      <c r="M607" s="49">
        <v>11</v>
      </c>
      <c r="N607" s="80">
        <v>300</v>
      </c>
      <c r="O607" s="51">
        <v>370</v>
      </c>
      <c r="P607" s="81" t="str">
        <f t="shared" si="103"/>
        <v>OK</v>
      </c>
      <c r="Q607" s="142"/>
      <c r="R607" s="76"/>
      <c r="S607" s="81" t="str">
        <f t="shared" si="104"/>
        <v/>
      </c>
      <c r="T607" s="81" t="str">
        <f t="shared" si="105"/>
        <v/>
      </c>
      <c r="U607" s="46">
        <v>44740</v>
      </c>
      <c r="V607" s="50">
        <f t="shared" si="101"/>
        <v>370</v>
      </c>
      <c r="W607" s="53">
        <f t="shared" si="102"/>
        <v>0</v>
      </c>
    </row>
    <row r="608" spans="1:23" ht="38.25" x14ac:dyDescent="0.25">
      <c r="A608" s="35" t="s">
        <v>2724</v>
      </c>
      <c r="B608" s="36">
        <v>44740</v>
      </c>
      <c r="C608" s="35" t="s">
        <v>3562</v>
      </c>
      <c r="D608" s="36" t="s">
        <v>1173</v>
      </c>
      <c r="E608" s="73" t="s">
        <v>1311</v>
      </c>
      <c r="F608" s="38" t="s">
        <v>3563</v>
      </c>
      <c r="G608" s="37" t="s">
        <v>3564</v>
      </c>
      <c r="H608" s="37" t="s">
        <v>3565</v>
      </c>
      <c r="I608" s="38" t="s">
        <v>1189</v>
      </c>
      <c r="J608" s="39" t="s">
        <v>743</v>
      </c>
      <c r="K608" s="39" t="s">
        <v>31</v>
      </c>
      <c r="L608" s="39" t="s">
        <v>32</v>
      </c>
      <c r="M608" s="39">
        <v>13</v>
      </c>
      <c r="N608" s="86">
        <f t="shared" si="106"/>
        <v>370</v>
      </c>
      <c r="O608" s="41">
        <v>370</v>
      </c>
      <c r="P608" s="86" t="str">
        <f t="shared" si="103"/>
        <v>OK</v>
      </c>
      <c r="Q608" s="143"/>
      <c r="R608" s="78"/>
      <c r="S608" s="87" t="str">
        <f t="shared" si="104"/>
        <v/>
      </c>
      <c r="T608" s="87" t="str">
        <f t="shared" si="105"/>
        <v/>
      </c>
      <c r="U608" s="36">
        <v>44740</v>
      </c>
      <c r="V608" s="40">
        <f t="shared" si="101"/>
        <v>370</v>
      </c>
      <c r="W608" s="43">
        <f t="shared" si="102"/>
        <v>0</v>
      </c>
    </row>
    <row r="609" spans="1:23" ht="25.5" x14ac:dyDescent="0.25">
      <c r="A609" s="45" t="s">
        <v>2725</v>
      </c>
      <c r="B609" s="46">
        <v>44739</v>
      </c>
      <c r="C609" s="45" t="s">
        <v>3566</v>
      </c>
      <c r="D609" s="46" t="s">
        <v>999</v>
      </c>
      <c r="E609" s="72" t="s">
        <v>1064</v>
      </c>
      <c r="F609" s="48" t="s">
        <v>3567</v>
      </c>
      <c r="G609" s="47" t="s">
        <v>3568</v>
      </c>
      <c r="H609" s="47" t="s">
        <v>3569</v>
      </c>
      <c r="I609" s="48" t="s">
        <v>320</v>
      </c>
      <c r="J609" s="48" t="s">
        <v>317</v>
      </c>
      <c r="K609" s="49" t="s">
        <v>432</v>
      </c>
      <c r="L609" s="49" t="s">
        <v>480</v>
      </c>
      <c r="M609" s="49">
        <v>1</v>
      </c>
      <c r="N609" s="80">
        <v>300</v>
      </c>
      <c r="O609" s="51">
        <v>300</v>
      </c>
      <c r="P609" s="81" t="str">
        <f t="shared" si="103"/>
        <v>OK</v>
      </c>
      <c r="Q609" s="142"/>
      <c r="R609" s="76"/>
      <c r="S609" s="81" t="str">
        <f t="shared" si="104"/>
        <v/>
      </c>
      <c r="T609" s="81" t="str">
        <f t="shared" si="105"/>
        <v/>
      </c>
      <c r="U609" s="46">
        <v>44739</v>
      </c>
      <c r="V609" s="50">
        <f t="shared" si="101"/>
        <v>300</v>
      </c>
      <c r="W609" s="53">
        <f t="shared" si="102"/>
        <v>0</v>
      </c>
    </row>
    <row r="610" spans="1:23" ht="51" x14ac:dyDescent="0.25">
      <c r="A610" s="35" t="s">
        <v>2726</v>
      </c>
      <c r="B610" s="36">
        <v>44739</v>
      </c>
      <c r="C610" s="35" t="s">
        <v>3570</v>
      </c>
      <c r="D610" s="36" t="s">
        <v>999</v>
      </c>
      <c r="E610" s="73" t="s">
        <v>1064</v>
      </c>
      <c r="F610" s="38" t="s">
        <v>3571</v>
      </c>
      <c r="G610" s="37" t="s">
        <v>3572</v>
      </c>
      <c r="H610" s="37" t="s">
        <v>3573</v>
      </c>
      <c r="I610" s="38" t="s">
        <v>320</v>
      </c>
      <c r="J610" s="39" t="s">
        <v>317</v>
      </c>
      <c r="K610" s="39" t="s">
        <v>432</v>
      </c>
      <c r="L610" s="39" t="s">
        <v>480</v>
      </c>
      <c r="M610" s="39">
        <v>1</v>
      </c>
      <c r="N610" s="86">
        <v>300</v>
      </c>
      <c r="O610" s="41">
        <v>300</v>
      </c>
      <c r="P610" s="86" t="s">
        <v>1017</v>
      </c>
      <c r="Q610" s="143"/>
      <c r="R610" s="78"/>
      <c r="S610" s="87" t="s">
        <v>415</v>
      </c>
      <c r="T610" s="87" t="s">
        <v>415</v>
      </c>
      <c r="U610" s="36">
        <v>44739</v>
      </c>
      <c r="V610" s="40">
        <f t="shared" si="101"/>
        <v>300</v>
      </c>
      <c r="W610" s="43">
        <f t="shared" si="102"/>
        <v>0</v>
      </c>
    </row>
    <row r="611" spans="1:23" ht="38.25" x14ac:dyDescent="0.25">
      <c r="A611" s="45" t="s">
        <v>2727</v>
      </c>
      <c r="B611" s="46">
        <v>44727</v>
      </c>
      <c r="C611" s="45" t="s">
        <v>3574</v>
      </c>
      <c r="D611" s="46" t="s">
        <v>1173</v>
      </c>
      <c r="E611" s="72" t="s">
        <v>1311</v>
      </c>
      <c r="F611" s="48" t="s">
        <v>3575</v>
      </c>
      <c r="G611" s="47" t="s">
        <v>3576</v>
      </c>
      <c r="H611" s="47" t="s">
        <v>3578</v>
      </c>
      <c r="I611" s="48" t="s">
        <v>1189</v>
      </c>
      <c r="J611" s="48" t="s">
        <v>743</v>
      </c>
      <c r="K611" s="49" t="s">
        <v>31</v>
      </c>
      <c r="L611" s="49" t="s">
        <v>32</v>
      </c>
      <c r="M611" s="49">
        <v>13</v>
      </c>
      <c r="N611" s="80">
        <f t="shared" si="106"/>
        <v>370</v>
      </c>
      <c r="O611" s="51">
        <v>370</v>
      </c>
      <c r="P611" s="81" t="str">
        <f t="shared" si="103"/>
        <v>OK</v>
      </c>
      <c r="Q611" s="142"/>
      <c r="R611" s="76"/>
      <c r="S611" s="81" t="str">
        <f t="shared" si="104"/>
        <v/>
      </c>
      <c r="T611" s="81" t="str">
        <f t="shared" si="105"/>
        <v/>
      </c>
      <c r="U611" s="46">
        <v>44728</v>
      </c>
      <c r="V611" s="50">
        <f t="shared" si="101"/>
        <v>370</v>
      </c>
      <c r="W611" s="53">
        <f t="shared" si="102"/>
        <v>0</v>
      </c>
    </row>
    <row r="612" spans="1:23" ht="38.25" x14ac:dyDescent="0.25">
      <c r="A612" s="35" t="s">
        <v>2728</v>
      </c>
      <c r="B612" s="36">
        <v>44727</v>
      </c>
      <c r="C612" s="35" t="s">
        <v>3579</v>
      </c>
      <c r="D612" s="36" t="s">
        <v>1173</v>
      </c>
      <c r="E612" s="73" t="s">
        <v>1311</v>
      </c>
      <c r="F612" s="38" t="s">
        <v>3580</v>
      </c>
      <c r="G612" s="37" t="s">
        <v>3581</v>
      </c>
      <c r="H612" s="37" t="s">
        <v>3582</v>
      </c>
      <c r="I612" s="38" t="s">
        <v>1189</v>
      </c>
      <c r="J612" s="39" t="s">
        <v>743</v>
      </c>
      <c r="K612" s="39" t="s">
        <v>31</v>
      </c>
      <c r="L612" s="39" t="s">
        <v>32</v>
      </c>
      <c r="M612" s="39">
        <v>13</v>
      </c>
      <c r="N612" s="86">
        <v>370</v>
      </c>
      <c r="O612" s="41">
        <v>370</v>
      </c>
      <c r="P612" s="86" t="s">
        <v>1017</v>
      </c>
      <c r="Q612" s="143"/>
      <c r="R612" s="78"/>
      <c r="S612" s="87" t="s">
        <v>415</v>
      </c>
      <c r="T612" s="87" t="s">
        <v>415</v>
      </c>
      <c r="U612" s="36">
        <v>44728</v>
      </c>
      <c r="V612" s="40">
        <f t="shared" ref="V612:V675" si="107">IF(M612="","",O612-R612)</f>
        <v>370</v>
      </c>
      <c r="W612" s="43">
        <f t="shared" ref="W612:W675" si="108">IF(M612="","",IF(AND(M612&gt;0,U612=""),V612,O612-(R612+V612)))</f>
        <v>0</v>
      </c>
    </row>
    <row r="613" spans="1:23" ht="25.5" x14ac:dyDescent="0.25">
      <c r="A613" s="45" t="s">
        <v>2729</v>
      </c>
      <c r="B613" s="46">
        <v>44720</v>
      </c>
      <c r="C613" s="45" t="s">
        <v>3583</v>
      </c>
      <c r="D613" s="46" t="s">
        <v>1804</v>
      </c>
      <c r="E613" s="72" t="s">
        <v>1726</v>
      </c>
      <c r="F613" s="48" t="s">
        <v>3584</v>
      </c>
      <c r="G613" s="47" t="s">
        <v>3585</v>
      </c>
      <c r="H613" s="47" t="s">
        <v>437</v>
      </c>
      <c r="I613" s="48" t="s">
        <v>1808</v>
      </c>
      <c r="J613" s="48" t="s">
        <v>3586</v>
      </c>
      <c r="K613" s="49" t="s">
        <v>31</v>
      </c>
      <c r="L613" s="49" t="s">
        <v>1413</v>
      </c>
      <c r="M613" s="49">
        <v>15</v>
      </c>
      <c r="N613" s="80">
        <f t="shared" si="106"/>
        <v>370</v>
      </c>
      <c r="O613" s="51">
        <v>300</v>
      </c>
      <c r="P613" s="81" t="str">
        <f t="shared" si="103"/>
        <v>OK</v>
      </c>
      <c r="Q613" s="142"/>
      <c r="R613" s="76"/>
      <c r="S613" s="81" t="str">
        <f t="shared" si="104"/>
        <v/>
      </c>
      <c r="T613" s="81" t="str">
        <f t="shared" si="105"/>
        <v/>
      </c>
      <c r="U613" s="46">
        <v>44725</v>
      </c>
      <c r="V613" s="50">
        <f t="shared" si="107"/>
        <v>300</v>
      </c>
      <c r="W613" s="53">
        <f t="shared" si="108"/>
        <v>0</v>
      </c>
    </row>
    <row r="614" spans="1:23" ht="38.25" x14ac:dyDescent="0.25">
      <c r="A614" s="35" t="s">
        <v>2730</v>
      </c>
      <c r="B614" s="36">
        <v>44516</v>
      </c>
      <c r="C614" s="35" t="s">
        <v>3587</v>
      </c>
      <c r="D614" s="36" t="s">
        <v>1000</v>
      </c>
      <c r="E614" s="73" t="s">
        <v>1064</v>
      </c>
      <c r="F614" s="38" t="s">
        <v>3588</v>
      </c>
      <c r="G614" s="37" t="s">
        <v>3589</v>
      </c>
      <c r="H614" s="37" t="s">
        <v>3590</v>
      </c>
      <c r="I614" s="38" t="s">
        <v>2151</v>
      </c>
      <c r="J614" s="38" t="s">
        <v>3591</v>
      </c>
      <c r="K614" s="39" t="s">
        <v>37</v>
      </c>
      <c r="L614" s="39"/>
      <c r="M614" s="39">
        <v>16</v>
      </c>
      <c r="N614" s="86">
        <f t="shared" si="106"/>
        <v>300</v>
      </c>
      <c r="O614" s="41">
        <v>300</v>
      </c>
      <c r="P614" s="86" t="str">
        <f t="shared" si="103"/>
        <v>OK</v>
      </c>
      <c r="Q614" s="143"/>
      <c r="R614" s="78"/>
      <c r="S614" s="87" t="str">
        <f t="shared" si="104"/>
        <v/>
      </c>
      <c r="T614" s="87" t="str">
        <f t="shared" si="105"/>
        <v/>
      </c>
      <c r="U614" s="36">
        <v>44726</v>
      </c>
      <c r="V614" s="40">
        <f t="shared" si="107"/>
        <v>300</v>
      </c>
      <c r="W614" s="43">
        <f t="shared" si="108"/>
        <v>0</v>
      </c>
    </row>
    <row r="615" spans="1:23" ht="25.5" x14ac:dyDescent="0.25">
      <c r="A615" s="45" t="s">
        <v>2731</v>
      </c>
      <c r="B615" s="46">
        <v>44676</v>
      </c>
      <c r="C615" s="45" t="s">
        <v>3592</v>
      </c>
      <c r="D615" s="46" t="s">
        <v>1079</v>
      </c>
      <c r="E615" s="72" t="s">
        <v>980</v>
      </c>
      <c r="F615" s="48" t="s">
        <v>3593</v>
      </c>
      <c r="G615" s="47" t="s">
        <v>3594</v>
      </c>
      <c r="H615" s="47" t="s">
        <v>3595</v>
      </c>
      <c r="I615" s="48" t="s">
        <v>3596</v>
      </c>
      <c r="J615" s="48" t="s">
        <v>3597</v>
      </c>
      <c r="K615" s="49" t="s">
        <v>39</v>
      </c>
      <c r="L615" s="49" t="s">
        <v>40</v>
      </c>
      <c r="M615" s="49">
        <v>17</v>
      </c>
      <c r="N615" s="80">
        <f t="shared" si="106"/>
        <v>300</v>
      </c>
      <c r="O615" s="51">
        <v>300</v>
      </c>
      <c r="P615" s="81" t="str">
        <f t="shared" si="103"/>
        <v>OK</v>
      </c>
      <c r="Q615" s="142"/>
      <c r="R615" s="76"/>
      <c r="S615" s="81" t="str">
        <f t="shared" si="104"/>
        <v/>
      </c>
      <c r="T615" s="81" t="str">
        <f t="shared" si="105"/>
        <v/>
      </c>
      <c r="U615" s="46">
        <v>44726</v>
      </c>
      <c r="V615" s="50">
        <f t="shared" si="107"/>
        <v>300</v>
      </c>
      <c r="W615" s="53">
        <f t="shared" si="108"/>
        <v>0</v>
      </c>
    </row>
    <row r="616" spans="1:23" ht="25.5" x14ac:dyDescent="0.25">
      <c r="A616" s="35" t="s">
        <v>2732</v>
      </c>
      <c r="B616" s="36">
        <v>44678</v>
      </c>
      <c r="C616" s="35" t="s">
        <v>3598</v>
      </c>
      <c r="D616" s="36" t="s">
        <v>1079</v>
      </c>
      <c r="E616" s="73" t="s">
        <v>980</v>
      </c>
      <c r="F616" s="38" t="s">
        <v>3599</v>
      </c>
      <c r="G616" s="37" t="s">
        <v>3600</v>
      </c>
      <c r="H616" s="37" t="s">
        <v>3601</v>
      </c>
      <c r="I616" s="38" t="s">
        <v>970</v>
      </c>
      <c r="J616" s="39" t="s">
        <v>1107</v>
      </c>
      <c r="K616" s="39" t="s">
        <v>39</v>
      </c>
      <c r="L616" s="39" t="s">
        <v>40</v>
      </c>
      <c r="M616" s="39">
        <v>17</v>
      </c>
      <c r="N616" s="86">
        <f t="shared" si="106"/>
        <v>300</v>
      </c>
      <c r="O616" s="41">
        <v>300</v>
      </c>
      <c r="P616" s="86" t="str">
        <f t="shared" si="103"/>
        <v>OK</v>
      </c>
      <c r="Q616" s="143"/>
      <c r="R616" s="78"/>
      <c r="S616" s="87" t="str">
        <f t="shared" si="104"/>
        <v/>
      </c>
      <c r="T616" s="87" t="str">
        <f t="shared" si="105"/>
        <v/>
      </c>
      <c r="U616" s="36">
        <v>44726</v>
      </c>
      <c r="V616" s="40">
        <f t="shared" si="107"/>
        <v>300</v>
      </c>
      <c r="W616" s="43">
        <f t="shared" si="108"/>
        <v>0</v>
      </c>
    </row>
    <row r="617" spans="1:23" ht="25.5" x14ac:dyDescent="0.25">
      <c r="A617" s="45" t="s">
        <v>2733</v>
      </c>
      <c r="B617" s="46">
        <v>44617</v>
      </c>
      <c r="C617" s="45" t="s">
        <v>3602</v>
      </c>
      <c r="D617" s="46" t="s">
        <v>1079</v>
      </c>
      <c r="E617" s="72" t="s">
        <v>980</v>
      </c>
      <c r="F617" s="48" t="s">
        <v>3603</v>
      </c>
      <c r="G617" s="47" t="s">
        <v>1758</v>
      </c>
      <c r="H617" s="47" t="s">
        <v>1759</v>
      </c>
      <c r="I617" s="48" t="s">
        <v>2238</v>
      </c>
      <c r="J617" s="48" t="s">
        <v>2239</v>
      </c>
      <c r="K617" s="49" t="s">
        <v>31</v>
      </c>
      <c r="L617" s="49" t="s">
        <v>32</v>
      </c>
      <c r="M617" s="49">
        <v>13</v>
      </c>
      <c r="N617" s="80">
        <f t="shared" si="106"/>
        <v>370</v>
      </c>
      <c r="O617" s="51">
        <v>370</v>
      </c>
      <c r="P617" s="81" t="str">
        <f t="shared" si="103"/>
        <v>OK</v>
      </c>
      <c r="Q617" s="142"/>
      <c r="R617" s="76"/>
      <c r="S617" s="81" t="str">
        <f t="shared" si="104"/>
        <v/>
      </c>
      <c r="T617" s="81" t="str">
        <f t="shared" si="105"/>
        <v/>
      </c>
      <c r="U617" s="46">
        <v>44726</v>
      </c>
      <c r="V617" s="50">
        <f t="shared" si="107"/>
        <v>370</v>
      </c>
      <c r="W617" s="53">
        <f t="shared" si="108"/>
        <v>0</v>
      </c>
    </row>
    <row r="618" spans="1:23" ht="51" x14ac:dyDescent="0.25">
      <c r="A618" s="35" t="s">
        <v>2734</v>
      </c>
      <c r="B618" s="36">
        <v>44747</v>
      </c>
      <c r="C618" s="35" t="s">
        <v>3604</v>
      </c>
      <c r="D618" s="36" t="s">
        <v>999</v>
      </c>
      <c r="E618" s="73" t="s">
        <v>1064</v>
      </c>
      <c r="F618" s="38" t="s">
        <v>3605</v>
      </c>
      <c r="G618" s="37" t="s">
        <v>3606</v>
      </c>
      <c r="H618" s="37" t="s">
        <v>3573</v>
      </c>
      <c r="I618" s="38" t="s">
        <v>320</v>
      </c>
      <c r="J618" s="39" t="s">
        <v>317</v>
      </c>
      <c r="K618" s="39" t="s">
        <v>432</v>
      </c>
      <c r="L618" s="39" t="s">
        <v>480</v>
      </c>
      <c r="M618" s="39">
        <v>1</v>
      </c>
      <c r="N618" s="86">
        <v>300</v>
      </c>
      <c r="O618" s="41">
        <v>300</v>
      </c>
      <c r="P618" s="86" t="s">
        <v>1017</v>
      </c>
      <c r="Q618" s="143"/>
      <c r="R618" s="78"/>
      <c r="S618" s="87" t="s">
        <v>415</v>
      </c>
      <c r="T618" s="87" t="s">
        <v>415</v>
      </c>
      <c r="U618" s="36">
        <v>44747</v>
      </c>
      <c r="V618" s="40">
        <f t="shared" si="107"/>
        <v>300</v>
      </c>
      <c r="W618" s="43">
        <f t="shared" si="108"/>
        <v>0</v>
      </c>
    </row>
    <row r="619" spans="1:23" ht="25.5" x14ac:dyDescent="0.25">
      <c r="A619" s="45" t="s">
        <v>2735</v>
      </c>
      <c r="B619" s="46">
        <v>44746</v>
      </c>
      <c r="C619" s="45" t="s">
        <v>3607</v>
      </c>
      <c r="D619" s="46" t="s">
        <v>1804</v>
      </c>
      <c r="E619" s="72" t="s">
        <v>1726</v>
      </c>
      <c r="F619" s="48" t="s">
        <v>3608</v>
      </c>
      <c r="G619" s="47" t="s">
        <v>3609</v>
      </c>
      <c r="H619" s="47" t="s">
        <v>1744</v>
      </c>
      <c r="I619" s="48" t="s">
        <v>1729</v>
      </c>
      <c r="J619" s="48" t="s">
        <v>2167</v>
      </c>
      <c r="K619" s="49" t="s">
        <v>31</v>
      </c>
      <c r="L619" s="49" t="s">
        <v>1413</v>
      </c>
      <c r="M619" s="49">
        <v>15</v>
      </c>
      <c r="N619" s="80">
        <f t="shared" si="106"/>
        <v>370</v>
      </c>
      <c r="O619" s="51">
        <v>300</v>
      </c>
      <c r="P619" s="81" t="str">
        <f t="shared" si="103"/>
        <v>OK</v>
      </c>
      <c r="Q619" s="142"/>
      <c r="R619" s="76"/>
      <c r="S619" s="81" t="str">
        <f t="shared" si="104"/>
        <v/>
      </c>
      <c r="T619" s="81" t="str">
        <f t="shared" si="105"/>
        <v/>
      </c>
      <c r="U619" s="46">
        <v>44746</v>
      </c>
      <c r="V619" s="50">
        <f t="shared" si="107"/>
        <v>300</v>
      </c>
      <c r="W619" s="53">
        <f t="shared" si="108"/>
        <v>0</v>
      </c>
    </row>
    <row r="620" spans="1:23" ht="25.5" x14ac:dyDescent="0.25">
      <c r="A620" s="35" t="s">
        <v>2736</v>
      </c>
      <c r="B620" s="36">
        <v>44746</v>
      </c>
      <c r="C620" s="35" t="s">
        <v>3610</v>
      </c>
      <c r="D620" s="36" t="s">
        <v>1811</v>
      </c>
      <c r="E620" s="73" t="s">
        <v>1812</v>
      </c>
      <c r="F620" s="38" t="s">
        <v>3611</v>
      </c>
      <c r="G620" s="37" t="s">
        <v>3612</v>
      </c>
      <c r="H620" s="37" t="s">
        <v>3613</v>
      </c>
      <c r="I620" s="38" t="s">
        <v>320</v>
      </c>
      <c r="J620" s="39" t="s">
        <v>317</v>
      </c>
      <c r="K620" s="39" t="s">
        <v>432</v>
      </c>
      <c r="L620" s="39" t="s">
        <v>480</v>
      </c>
      <c r="M620" s="39">
        <v>1</v>
      </c>
      <c r="N620" s="86">
        <v>300</v>
      </c>
      <c r="O620" s="41">
        <v>300</v>
      </c>
      <c r="P620" s="86" t="str">
        <f t="shared" si="103"/>
        <v>OK</v>
      </c>
      <c r="Q620" s="143"/>
      <c r="R620" s="78"/>
      <c r="S620" s="87" t="str">
        <f t="shared" si="104"/>
        <v/>
      </c>
      <c r="T620" s="87" t="str">
        <f t="shared" si="105"/>
        <v/>
      </c>
      <c r="U620" s="36">
        <v>44746</v>
      </c>
      <c r="V620" s="40">
        <f t="shared" si="107"/>
        <v>300</v>
      </c>
      <c r="W620" s="43">
        <f t="shared" si="108"/>
        <v>0</v>
      </c>
    </row>
    <row r="621" spans="1:23" ht="25.5" x14ac:dyDescent="0.25">
      <c r="A621" s="45" t="s">
        <v>2737</v>
      </c>
      <c r="B621" s="46">
        <v>44746</v>
      </c>
      <c r="C621" s="45" t="s">
        <v>3614</v>
      </c>
      <c r="D621" s="46" t="s">
        <v>1804</v>
      </c>
      <c r="E621" s="72" t="s">
        <v>1726</v>
      </c>
      <c r="F621" s="48" t="s">
        <v>3615</v>
      </c>
      <c r="G621" s="47" t="s">
        <v>3616</v>
      </c>
      <c r="H621" s="47" t="s">
        <v>3617</v>
      </c>
      <c r="I621" s="48" t="s">
        <v>1808</v>
      </c>
      <c r="J621" s="48" t="s">
        <v>3586</v>
      </c>
      <c r="K621" s="49" t="s">
        <v>31</v>
      </c>
      <c r="L621" s="49" t="s">
        <v>32</v>
      </c>
      <c r="M621" s="49">
        <v>13</v>
      </c>
      <c r="N621" s="80">
        <v>370</v>
      </c>
      <c r="O621" s="51">
        <v>300</v>
      </c>
      <c r="P621" s="81" t="str">
        <f t="shared" si="103"/>
        <v>OK</v>
      </c>
      <c r="Q621" s="142"/>
      <c r="R621" s="76"/>
      <c r="S621" s="81" t="str">
        <f t="shared" si="104"/>
        <v/>
      </c>
      <c r="T621" s="81" t="str">
        <f t="shared" si="105"/>
        <v/>
      </c>
      <c r="U621" s="46">
        <v>44746</v>
      </c>
      <c r="V621" s="50">
        <f t="shared" si="107"/>
        <v>300</v>
      </c>
      <c r="W621" s="53">
        <f t="shared" si="108"/>
        <v>0</v>
      </c>
    </row>
    <row r="622" spans="1:23" ht="38.25" x14ac:dyDescent="0.25">
      <c r="A622" s="35" t="s">
        <v>2738</v>
      </c>
      <c r="B622" s="36">
        <v>44746</v>
      </c>
      <c r="C622" s="35" t="s">
        <v>3618</v>
      </c>
      <c r="D622" s="36" t="s">
        <v>1804</v>
      </c>
      <c r="E622" s="73" t="s">
        <v>1726</v>
      </c>
      <c r="F622" s="38" t="s">
        <v>3619</v>
      </c>
      <c r="G622" s="37" t="s">
        <v>3620</v>
      </c>
      <c r="H622" s="37" t="s">
        <v>3621</v>
      </c>
      <c r="I622" s="38" t="s">
        <v>1808</v>
      </c>
      <c r="J622" s="39" t="s">
        <v>3586</v>
      </c>
      <c r="K622" s="39" t="s">
        <v>31</v>
      </c>
      <c r="L622" s="39" t="s">
        <v>32</v>
      </c>
      <c r="M622" s="39">
        <v>13</v>
      </c>
      <c r="N622" s="86">
        <v>370</v>
      </c>
      <c r="O622" s="41">
        <v>300</v>
      </c>
      <c r="P622" s="86" t="s">
        <v>1017</v>
      </c>
      <c r="Q622" s="143"/>
      <c r="R622" s="78"/>
      <c r="S622" s="87" t="s">
        <v>415</v>
      </c>
      <c r="T622" s="87" t="s">
        <v>415</v>
      </c>
      <c r="U622" s="36">
        <v>44746</v>
      </c>
      <c r="V622" s="40">
        <f t="shared" si="107"/>
        <v>300</v>
      </c>
      <c r="W622" s="43">
        <f t="shared" si="108"/>
        <v>0</v>
      </c>
    </row>
    <row r="623" spans="1:23" ht="25.5" x14ac:dyDescent="0.25">
      <c r="A623" s="45" t="s">
        <v>2739</v>
      </c>
      <c r="B623" s="46">
        <v>44746</v>
      </c>
      <c r="C623" s="45" t="s">
        <v>3622</v>
      </c>
      <c r="D623" s="46" t="s">
        <v>1804</v>
      </c>
      <c r="E623" s="72" t="s">
        <v>1726</v>
      </c>
      <c r="F623" s="48" t="s">
        <v>3623</v>
      </c>
      <c r="G623" s="47" t="s">
        <v>3624</v>
      </c>
      <c r="H623" s="47" t="s">
        <v>437</v>
      </c>
      <c r="I623" s="48" t="s">
        <v>1729</v>
      </c>
      <c r="J623" s="48" t="s">
        <v>2167</v>
      </c>
      <c r="K623" s="49" t="s">
        <v>31</v>
      </c>
      <c r="L623" s="49" t="s">
        <v>1413</v>
      </c>
      <c r="M623" s="49">
        <v>15</v>
      </c>
      <c r="N623" s="80">
        <v>370</v>
      </c>
      <c r="O623" s="51">
        <v>300</v>
      </c>
      <c r="P623" s="81" t="str">
        <f t="shared" si="103"/>
        <v>OK</v>
      </c>
      <c r="Q623" s="142"/>
      <c r="R623" s="76"/>
      <c r="S623" s="81" t="str">
        <f t="shared" si="104"/>
        <v/>
      </c>
      <c r="T623" s="81" t="str">
        <f t="shared" si="105"/>
        <v/>
      </c>
      <c r="U623" s="46">
        <v>44746</v>
      </c>
      <c r="V623" s="50">
        <f t="shared" si="107"/>
        <v>300</v>
      </c>
      <c r="W623" s="53">
        <f t="shared" si="108"/>
        <v>0</v>
      </c>
    </row>
    <row r="624" spans="1:23" ht="25.5" x14ac:dyDescent="0.25">
      <c r="A624" s="35" t="s">
        <v>2740</v>
      </c>
      <c r="B624" s="36">
        <v>44746</v>
      </c>
      <c r="C624" s="35" t="s">
        <v>3625</v>
      </c>
      <c r="D624" s="36" t="s">
        <v>1804</v>
      </c>
      <c r="E624" s="73" t="s">
        <v>1726</v>
      </c>
      <c r="F624" s="38" t="s">
        <v>3626</v>
      </c>
      <c r="G624" s="37" t="s">
        <v>3627</v>
      </c>
      <c r="H624" s="37" t="s">
        <v>437</v>
      </c>
      <c r="I624" s="38" t="s">
        <v>1729</v>
      </c>
      <c r="J624" s="39" t="s">
        <v>2167</v>
      </c>
      <c r="K624" s="39" t="s">
        <v>31</v>
      </c>
      <c r="L624" s="39" t="s">
        <v>1413</v>
      </c>
      <c r="M624" s="39">
        <v>15</v>
      </c>
      <c r="N624" s="86">
        <v>370</v>
      </c>
      <c r="O624" s="41">
        <v>370</v>
      </c>
      <c r="P624" s="86" t="s">
        <v>1017</v>
      </c>
      <c r="Q624" s="143"/>
      <c r="R624" s="78"/>
      <c r="S624" s="87" t="s">
        <v>415</v>
      </c>
      <c r="T624" s="87" t="s">
        <v>415</v>
      </c>
      <c r="U624" s="36">
        <v>44746</v>
      </c>
      <c r="V624" s="40">
        <f t="shared" si="107"/>
        <v>370</v>
      </c>
      <c r="W624" s="43">
        <f t="shared" si="108"/>
        <v>0</v>
      </c>
    </row>
    <row r="625" spans="1:23" ht="25.5" x14ac:dyDescent="0.25">
      <c r="A625" s="45" t="s">
        <v>2741</v>
      </c>
      <c r="B625" s="46">
        <v>44748</v>
      </c>
      <c r="C625" s="45" t="s">
        <v>3628</v>
      </c>
      <c r="D625" s="46" t="s">
        <v>1804</v>
      </c>
      <c r="E625" s="72" t="s">
        <v>1726</v>
      </c>
      <c r="F625" s="48" t="s">
        <v>3629</v>
      </c>
      <c r="G625" s="47" t="s">
        <v>3630</v>
      </c>
      <c r="H625" s="47" t="s">
        <v>3631</v>
      </c>
      <c r="I625" s="48" t="s">
        <v>1808</v>
      </c>
      <c r="J625" s="48" t="s">
        <v>3586</v>
      </c>
      <c r="K625" s="49" t="s">
        <v>31</v>
      </c>
      <c r="L625" s="49" t="s">
        <v>1413</v>
      </c>
      <c r="M625" s="49">
        <v>15</v>
      </c>
      <c r="N625" s="80">
        <v>370</v>
      </c>
      <c r="O625" s="51">
        <v>370</v>
      </c>
      <c r="P625" s="81" t="str">
        <f t="shared" si="103"/>
        <v>OK</v>
      </c>
      <c r="Q625" s="142"/>
      <c r="R625" s="76"/>
      <c r="S625" s="81" t="str">
        <f t="shared" si="104"/>
        <v/>
      </c>
      <c r="T625" s="81" t="str">
        <f t="shared" si="105"/>
        <v/>
      </c>
      <c r="U625" s="46">
        <v>44749</v>
      </c>
      <c r="V625" s="50">
        <f t="shared" si="107"/>
        <v>370</v>
      </c>
      <c r="W625" s="53">
        <f t="shared" si="108"/>
        <v>0</v>
      </c>
    </row>
    <row r="626" spans="1:23" ht="38.25" x14ac:dyDescent="0.25">
      <c r="A626" s="35" t="s">
        <v>2742</v>
      </c>
      <c r="B626" s="36">
        <v>44748</v>
      </c>
      <c r="C626" s="35" t="s">
        <v>3632</v>
      </c>
      <c r="D626" s="36" t="s">
        <v>2522</v>
      </c>
      <c r="E626" s="73" t="s">
        <v>1066</v>
      </c>
      <c r="F626" s="38" t="s">
        <v>3633</v>
      </c>
      <c r="G626" s="37" t="s">
        <v>3634</v>
      </c>
      <c r="H626" s="37" t="s">
        <v>3635</v>
      </c>
      <c r="I626" s="38" t="s">
        <v>320</v>
      </c>
      <c r="J626" s="39" t="s">
        <v>317</v>
      </c>
      <c r="K626" s="39" t="s">
        <v>432</v>
      </c>
      <c r="L626" s="39" t="s">
        <v>480</v>
      </c>
      <c r="M626" s="39">
        <v>1</v>
      </c>
      <c r="N626" s="86">
        <v>300</v>
      </c>
      <c r="O626" s="41">
        <v>300</v>
      </c>
      <c r="P626" s="86" t="str">
        <f t="shared" si="103"/>
        <v>OK</v>
      </c>
      <c r="Q626" s="143"/>
      <c r="R626" s="78"/>
      <c r="S626" s="87" t="str">
        <f t="shared" si="104"/>
        <v/>
      </c>
      <c r="T626" s="87" t="str">
        <f t="shared" si="105"/>
        <v/>
      </c>
      <c r="U626" s="36">
        <v>44749</v>
      </c>
      <c r="V626" s="40">
        <f t="shared" si="107"/>
        <v>300</v>
      </c>
      <c r="W626" s="43">
        <f t="shared" si="108"/>
        <v>0</v>
      </c>
    </row>
    <row r="627" spans="1:23" ht="38.25" x14ac:dyDescent="0.25">
      <c r="A627" s="45" t="s">
        <v>2743</v>
      </c>
      <c r="B627" s="46">
        <v>44211</v>
      </c>
      <c r="C627" s="45" t="s">
        <v>338</v>
      </c>
      <c r="D627" s="46" t="s">
        <v>996</v>
      </c>
      <c r="E627" s="72" t="s">
        <v>1064</v>
      </c>
      <c r="F627" s="48" t="s">
        <v>3636</v>
      </c>
      <c r="G627" s="47" t="s">
        <v>1163</v>
      </c>
      <c r="H627" s="47" t="s">
        <v>1169</v>
      </c>
      <c r="I627" s="48" t="s">
        <v>793</v>
      </c>
      <c r="J627" s="48" t="s">
        <v>792</v>
      </c>
      <c r="K627" s="49" t="s">
        <v>432</v>
      </c>
      <c r="L627" s="49" t="s">
        <v>480</v>
      </c>
      <c r="M627" s="49">
        <v>1</v>
      </c>
      <c r="N627" s="80">
        <v>300</v>
      </c>
      <c r="O627" s="51">
        <v>300</v>
      </c>
      <c r="P627" s="81" t="str">
        <f t="shared" si="103"/>
        <v>OK</v>
      </c>
      <c r="Q627" s="142"/>
      <c r="R627" s="76"/>
      <c r="S627" s="81" t="str">
        <f t="shared" si="104"/>
        <v/>
      </c>
      <c r="T627" s="81" t="str">
        <f t="shared" si="105"/>
        <v/>
      </c>
      <c r="U627" s="46">
        <v>44749</v>
      </c>
      <c r="V627" s="50">
        <f t="shared" si="107"/>
        <v>300</v>
      </c>
      <c r="W627" s="53">
        <f t="shared" si="108"/>
        <v>0</v>
      </c>
    </row>
    <row r="628" spans="1:23" ht="25.5" x14ac:dyDescent="0.25">
      <c r="A628" s="35" t="s">
        <v>2744</v>
      </c>
      <c r="B628" s="36">
        <v>44497</v>
      </c>
      <c r="C628" s="35" t="s">
        <v>3637</v>
      </c>
      <c r="D628" s="36" t="s">
        <v>1000</v>
      </c>
      <c r="E628" s="73" t="s">
        <v>1064</v>
      </c>
      <c r="F628" s="38" t="s">
        <v>3638</v>
      </c>
      <c r="G628" s="37" t="s">
        <v>3639</v>
      </c>
      <c r="H628" s="37" t="s">
        <v>3640</v>
      </c>
      <c r="I628" s="38" t="s">
        <v>2151</v>
      </c>
      <c r="J628" s="39" t="s">
        <v>3591</v>
      </c>
      <c r="K628" s="39" t="s">
        <v>37</v>
      </c>
      <c r="L628" s="39"/>
      <c r="M628" s="39">
        <v>16</v>
      </c>
      <c r="N628" s="86">
        <v>300</v>
      </c>
      <c r="O628" s="41">
        <v>300</v>
      </c>
      <c r="P628" s="86" t="str">
        <f t="shared" si="103"/>
        <v>OK</v>
      </c>
      <c r="Q628" s="143"/>
      <c r="R628" s="78"/>
      <c r="S628" s="87" t="str">
        <f t="shared" si="104"/>
        <v/>
      </c>
      <c r="T628" s="87" t="str">
        <f t="shared" si="105"/>
        <v/>
      </c>
      <c r="U628" s="36">
        <v>44754</v>
      </c>
      <c r="V628" s="40">
        <f t="shared" si="107"/>
        <v>300</v>
      </c>
      <c r="W628" s="43">
        <f t="shared" si="108"/>
        <v>0</v>
      </c>
    </row>
    <row r="629" spans="1:23" ht="25.5" x14ac:dyDescent="0.25">
      <c r="A629" s="45" t="s">
        <v>2745</v>
      </c>
      <c r="B629" s="46">
        <v>44496</v>
      </c>
      <c r="C629" s="45" t="s">
        <v>3577</v>
      </c>
      <c r="D629" s="46" t="s">
        <v>1000</v>
      </c>
      <c r="E629" s="72" t="s">
        <v>1064</v>
      </c>
      <c r="F629" s="48" t="s">
        <v>3641</v>
      </c>
      <c r="G629" s="47" t="s">
        <v>3642</v>
      </c>
      <c r="H629" s="47" t="s">
        <v>3643</v>
      </c>
      <c r="I629" s="48" t="s">
        <v>2151</v>
      </c>
      <c r="J629" s="48" t="s">
        <v>3591</v>
      </c>
      <c r="K629" s="49" t="s">
        <v>37</v>
      </c>
      <c r="L629" s="49"/>
      <c r="M629" s="49">
        <v>16</v>
      </c>
      <c r="N629" s="80">
        <v>300</v>
      </c>
      <c r="O629" s="51">
        <v>300</v>
      </c>
      <c r="P629" s="81" t="s">
        <v>1017</v>
      </c>
      <c r="Q629" s="142"/>
      <c r="R629" s="76"/>
      <c r="S629" s="81" t="s">
        <v>415</v>
      </c>
      <c r="T629" s="81" t="s">
        <v>415</v>
      </c>
      <c r="U629" s="46">
        <v>44755</v>
      </c>
      <c r="V629" s="50">
        <f t="shared" si="107"/>
        <v>300</v>
      </c>
      <c r="W629" s="53">
        <f t="shared" si="108"/>
        <v>0</v>
      </c>
    </row>
    <row r="630" spans="1:23" ht="25.5" x14ac:dyDescent="0.25">
      <c r="A630" s="35" t="s">
        <v>2746</v>
      </c>
      <c r="B630" s="36">
        <v>44762</v>
      </c>
      <c r="C630" s="35" t="s">
        <v>3644</v>
      </c>
      <c r="D630" s="36" t="s">
        <v>1078</v>
      </c>
      <c r="E630" s="73" t="s">
        <v>981</v>
      </c>
      <c r="F630" s="38" t="s">
        <v>3645</v>
      </c>
      <c r="G630" s="37" t="s">
        <v>3646</v>
      </c>
      <c r="H630" s="37" t="s">
        <v>3647</v>
      </c>
      <c r="I630" s="38" t="s">
        <v>3648</v>
      </c>
      <c r="J630" s="39" t="s">
        <v>1090</v>
      </c>
      <c r="K630" s="39" t="s">
        <v>16</v>
      </c>
      <c r="L630" s="39" t="s">
        <v>23</v>
      </c>
      <c r="M630" s="39">
        <v>9</v>
      </c>
      <c r="N630" s="86">
        <f t="shared" si="106"/>
        <v>700</v>
      </c>
      <c r="O630" s="41">
        <v>430</v>
      </c>
      <c r="P630" s="86" t="str">
        <f t="shared" si="103"/>
        <v>OK</v>
      </c>
      <c r="Q630" s="143"/>
      <c r="R630" s="78"/>
      <c r="S630" s="87" t="str">
        <f t="shared" si="104"/>
        <v/>
      </c>
      <c r="T630" s="87" t="str">
        <f t="shared" si="105"/>
        <v/>
      </c>
      <c r="U630" s="36">
        <v>44763</v>
      </c>
      <c r="V630" s="40">
        <f t="shared" si="107"/>
        <v>430</v>
      </c>
      <c r="W630" s="43">
        <f t="shared" si="108"/>
        <v>0</v>
      </c>
    </row>
    <row r="631" spans="1:23" ht="25.5" x14ac:dyDescent="0.25">
      <c r="A631" s="45" t="s">
        <v>2747</v>
      </c>
      <c r="B631" s="46">
        <v>44776</v>
      </c>
      <c r="C631" s="45" t="s">
        <v>3649</v>
      </c>
      <c r="D631" s="46" t="s">
        <v>466</v>
      </c>
      <c r="E631" s="72" t="s">
        <v>1070</v>
      </c>
      <c r="F631" s="48" t="s">
        <v>3650</v>
      </c>
      <c r="G631" s="47" t="s">
        <v>3651</v>
      </c>
      <c r="H631" s="47" t="s">
        <v>3652</v>
      </c>
      <c r="I631" s="48" t="s">
        <v>320</v>
      </c>
      <c r="J631" s="48" t="s">
        <v>317</v>
      </c>
      <c r="K631" s="49" t="s">
        <v>16</v>
      </c>
      <c r="L631" s="49" t="s">
        <v>27</v>
      </c>
      <c r="M631" s="49">
        <v>11</v>
      </c>
      <c r="N631" s="80">
        <v>300</v>
      </c>
      <c r="O631" s="51">
        <v>370</v>
      </c>
      <c r="P631" s="81" t="str">
        <f t="shared" si="103"/>
        <v>OK</v>
      </c>
      <c r="Q631" s="142"/>
      <c r="R631" s="76"/>
      <c r="S631" s="81" t="str">
        <f t="shared" si="104"/>
        <v/>
      </c>
      <c r="T631" s="81" t="str">
        <f t="shared" si="105"/>
        <v/>
      </c>
      <c r="U631" s="46">
        <v>44778</v>
      </c>
      <c r="V631" s="50">
        <f t="shared" si="107"/>
        <v>370</v>
      </c>
      <c r="W631" s="53">
        <f t="shared" si="108"/>
        <v>0</v>
      </c>
    </row>
    <row r="632" spans="1:23" ht="25.5" x14ac:dyDescent="0.25">
      <c r="A632" s="35" t="s">
        <v>2748</v>
      </c>
      <c r="B632" s="36">
        <v>44782</v>
      </c>
      <c r="C632" s="35" t="s">
        <v>3653</v>
      </c>
      <c r="D632" s="36" t="s">
        <v>466</v>
      </c>
      <c r="E632" s="73" t="s">
        <v>1070</v>
      </c>
      <c r="F632" s="38" t="s">
        <v>3654</v>
      </c>
      <c r="G632" s="37" t="s">
        <v>3655</v>
      </c>
      <c r="H632" s="37" t="s">
        <v>1316</v>
      </c>
      <c r="I632" s="38" t="s">
        <v>320</v>
      </c>
      <c r="J632" s="39" t="s">
        <v>317</v>
      </c>
      <c r="K632" s="39" t="s">
        <v>16</v>
      </c>
      <c r="L632" s="39" t="s">
        <v>27</v>
      </c>
      <c r="M632" s="39">
        <v>11</v>
      </c>
      <c r="N632" s="86">
        <v>300</v>
      </c>
      <c r="O632" s="41">
        <v>370</v>
      </c>
      <c r="P632" s="86" t="s">
        <v>1017</v>
      </c>
      <c r="Q632" s="143"/>
      <c r="R632" s="78"/>
      <c r="S632" s="87" t="s">
        <v>415</v>
      </c>
      <c r="T632" s="87" t="s">
        <v>415</v>
      </c>
      <c r="U632" s="36">
        <v>44783</v>
      </c>
      <c r="V632" s="40">
        <f t="shared" si="107"/>
        <v>370</v>
      </c>
      <c r="W632" s="43">
        <f t="shared" si="108"/>
        <v>0</v>
      </c>
    </row>
    <row r="633" spans="1:23" ht="25.5" x14ac:dyDescent="0.25">
      <c r="A633" s="45" t="s">
        <v>2749</v>
      </c>
      <c r="B633" s="46">
        <v>44775</v>
      </c>
      <c r="C633" s="45" t="s">
        <v>3656</v>
      </c>
      <c r="D633" s="46" t="s">
        <v>2021</v>
      </c>
      <c r="E633" s="72" t="s">
        <v>1080</v>
      </c>
      <c r="F633" s="48" t="s">
        <v>3657</v>
      </c>
      <c r="G633" s="47" t="s">
        <v>3658</v>
      </c>
      <c r="H633" s="47" t="s">
        <v>3659</v>
      </c>
      <c r="I633" s="48" t="s">
        <v>320</v>
      </c>
      <c r="J633" s="48" t="s">
        <v>317</v>
      </c>
      <c r="K633" s="49" t="s">
        <v>432</v>
      </c>
      <c r="L633" s="49" t="s">
        <v>480</v>
      </c>
      <c r="M633" s="49">
        <v>1</v>
      </c>
      <c r="N633" s="80">
        <v>300</v>
      </c>
      <c r="O633" s="51">
        <v>300</v>
      </c>
      <c r="P633" s="81" t="str">
        <f t="shared" si="103"/>
        <v>OK</v>
      </c>
      <c r="Q633" s="142"/>
      <c r="R633" s="76"/>
      <c r="S633" s="81" t="str">
        <f t="shared" si="104"/>
        <v/>
      </c>
      <c r="T633" s="81" t="str">
        <f t="shared" si="105"/>
        <v/>
      </c>
      <c r="U633" s="46">
        <v>44775</v>
      </c>
      <c r="V633" s="50">
        <f t="shared" si="107"/>
        <v>300</v>
      </c>
      <c r="W633" s="53">
        <f t="shared" si="108"/>
        <v>0</v>
      </c>
    </row>
    <row r="634" spans="1:23" ht="25.5" x14ac:dyDescent="0.25">
      <c r="A634" s="35" t="s">
        <v>2750</v>
      </c>
      <c r="B634" s="36">
        <v>44776</v>
      </c>
      <c r="C634" s="35" t="s">
        <v>3660</v>
      </c>
      <c r="D634" s="36" t="s">
        <v>466</v>
      </c>
      <c r="E634" s="73" t="s">
        <v>1070</v>
      </c>
      <c r="F634" s="38" t="s">
        <v>3650</v>
      </c>
      <c r="G634" s="37" t="s">
        <v>3661</v>
      </c>
      <c r="H634" s="37" t="s">
        <v>3662</v>
      </c>
      <c r="I634" s="38" t="s">
        <v>320</v>
      </c>
      <c r="J634" s="39" t="s">
        <v>317</v>
      </c>
      <c r="K634" s="39" t="s">
        <v>16</v>
      </c>
      <c r="L634" s="39" t="s">
        <v>27</v>
      </c>
      <c r="M634" s="39">
        <v>11</v>
      </c>
      <c r="N634" s="86">
        <v>300</v>
      </c>
      <c r="O634" s="41">
        <v>370</v>
      </c>
      <c r="P634" s="86" t="str">
        <f t="shared" si="103"/>
        <v>OK</v>
      </c>
      <c r="Q634" s="143"/>
      <c r="R634" s="78"/>
      <c r="S634" s="87" t="str">
        <f t="shared" si="104"/>
        <v/>
      </c>
      <c r="T634" s="87" t="str">
        <f t="shared" si="105"/>
        <v/>
      </c>
      <c r="U634" s="36">
        <v>44778</v>
      </c>
      <c r="V634" s="40">
        <f t="shared" si="107"/>
        <v>370</v>
      </c>
      <c r="W634" s="43">
        <f t="shared" si="108"/>
        <v>0</v>
      </c>
    </row>
    <row r="635" spans="1:23" ht="25.5" x14ac:dyDescent="0.25">
      <c r="A635" s="45" t="s">
        <v>2751</v>
      </c>
      <c r="B635" s="46">
        <v>44775</v>
      </c>
      <c r="C635" s="45" t="s">
        <v>3663</v>
      </c>
      <c r="D635" s="46" t="s">
        <v>1078</v>
      </c>
      <c r="E635" s="72" t="s">
        <v>981</v>
      </c>
      <c r="F635" s="48" t="s">
        <v>3664</v>
      </c>
      <c r="G635" s="47" t="s">
        <v>3665</v>
      </c>
      <c r="H635" s="47" t="s">
        <v>3666</v>
      </c>
      <c r="I635" s="48" t="s">
        <v>753</v>
      </c>
      <c r="J635" s="48" t="s">
        <v>754</v>
      </c>
      <c r="K635" s="49" t="s">
        <v>31</v>
      </c>
      <c r="L635" s="49" t="s">
        <v>1413</v>
      </c>
      <c r="M635" s="49">
        <v>15</v>
      </c>
      <c r="N635" s="80">
        <f t="shared" si="106"/>
        <v>370</v>
      </c>
      <c r="O635" s="51">
        <v>370</v>
      </c>
      <c r="P635" s="81" t="str">
        <f t="shared" si="103"/>
        <v>OK</v>
      </c>
      <c r="Q635" s="142"/>
      <c r="R635" s="76"/>
      <c r="S635" s="81" t="str">
        <f t="shared" si="104"/>
        <v/>
      </c>
      <c r="T635" s="81" t="str">
        <f t="shared" si="105"/>
        <v/>
      </c>
      <c r="U635" s="46">
        <v>44776</v>
      </c>
      <c r="V635" s="50">
        <f t="shared" si="107"/>
        <v>370</v>
      </c>
      <c r="W635" s="53">
        <f t="shared" si="108"/>
        <v>0</v>
      </c>
    </row>
    <row r="636" spans="1:23" ht="25.5" x14ac:dyDescent="0.25">
      <c r="A636" s="35" t="s">
        <v>2752</v>
      </c>
      <c r="B636" s="36">
        <v>44776</v>
      </c>
      <c r="C636" s="35" t="s">
        <v>3667</v>
      </c>
      <c r="D636" s="36" t="s">
        <v>466</v>
      </c>
      <c r="E636" s="73" t="s">
        <v>1070</v>
      </c>
      <c r="F636" s="38" t="s">
        <v>3668</v>
      </c>
      <c r="G636" s="37" t="s">
        <v>3669</v>
      </c>
      <c r="H636" s="37" t="s">
        <v>3662</v>
      </c>
      <c r="I636" s="38" t="s">
        <v>320</v>
      </c>
      <c r="J636" s="39" t="s">
        <v>317</v>
      </c>
      <c r="K636" s="39" t="s">
        <v>16</v>
      </c>
      <c r="L636" s="39" t="s">
        <v>27</v>
      </c>
      <c r="M636" s="39">
        <v>11</v>
      </c>
      <c r="N636" s="86">
        <v>300</v>
      </c>
      <c r="O636" s="41">
        <v>370</v>
      </c>
      <c r="P636" s="86" t="s">
        <v>1017</v>
      </c>
      <c r="Q636" s="143"/>
      <c r="R636" s="78"/>
      <c r="S636" s="87" t="s">
        <v>415</v>
      </c>
      <c r="T636" s="87" t="s">
        <v>415</v>
      </c>
      <c r="U636" s="36">
        <v>44778</v>
      </c>
      <c r="V636" s="40">
        <f t="shared" si="107"/>
        <v>370</v>
      </c>
      <c r="W636" s="43">
        <f t="shared" si="108"/>
        <v>0</v>
      </c>
    </row>
    <row r="637" spans="1:23" ht="25.5" x14ac:dyDescent="0.25">
      <c r="A637" s="45" t="s">
        <v>2753</v>
      </c>
      <c r="B637" s="46">
        <v>44603</v>
      </c>
      <c r="C637" s="45" t="s">
        <v>3670</v>
      </c>
      <c r="D637" s="46" t="s">
        <v>3671</v>
      </c>
      <c r="E637" s="72" t="s">
        <v>3672</v>
      </c>
      <c r="F637" s="48" t="s">
        <v>3673</v>
      </c>
      <c r="G637" s="47" t="s">
        <v>3674</v>
      </c>
      <c r="H637" s="47" t="s">
        <v>437</v>
      </c>
      <c r="I637" s="48" t="s">
        <v>753</v>
      </c>
      <c r="J637" s="48" t="s">
        <v>754</v>
      </c>
      <c r="K637" s="49" t="s">
        <v>31</v>
      </c>
      <c r="L637" s="49" t="s">
        <v>1413</v>
      </c>
      <c r="M637" s="49">
        <v>15</v>
      </c>
      <c r="N637" s="80">
        <v>370</v>
      </c>
      <c r="O637" s="51">
        <v>250</v>
      </c>
      <c r="P637" s="81" t="s">
        <v>1017</v>
      </c>
      <c r="Q637" s="142"/>
      <c r="R637" s="76"/>
      <c r="S637" s="81" t="s">
        <v>415</v>
      </c>
      <c r="T637" s="81" t="s">
        <v>415</v>
      </c>
      <c r="U637" s="46">
        <v>44776</v>
      </c>
      <c r="V637" s="50">
        <f t="shared" si="107"/>
        <v>250</v>
      </c>
      <c r="W637" s="53">
        <f t="shared" si="108"/>
        <v>0</v>
      </c>
    </row>
    <row r="638" spans="1:23" ht="63.75" x14ac:dyDescent="0.25">
      <c r="A638" s="35" t="s">
        <v>2754</v>
      </c>
      <c r="B638" s="36">
        <v>44783</v>
      </c>
      <c r="C638" s="35" t="s">
        <v>3675</v>
      </c>
      <c r="D638" s="36" t="s">
        <v>999</v>
      </c>
      <c r="E638" s="73" t="s">
        <v>1064</v>
      </c>
      <c r="F638" s="38" t="s">
        <v>3676</v>
      </c>
      <c r="G638" s="37" t="s">
        <v>3677</v>
      </c>
      <c r="H638" s="37" t="s">
        <v>3678</v>
      </c>
      <c r="I638" s="38" t="s">
        <v>320</v>
      </c>
      <c r="J638" s="39" t="s">
        <v>317</v>
      </c>
      <c r="K638" s="39" t="s">
        <v>432</v>
      </c>
      <c r="L638" s="39" t="s">
        <v>480</v>
      </c>
      <c r="M638" s="39">
        <v>1</v>
      </c>
      <c r="N638" s="86">
        <v>300</v>
      </c>
      <c r="O638" s="41">
        <v>300</v>
      </c>
      <c r="P638" s="86" t="str">
        <f t="shared" si="103"/>
        <v>OK</v>
      </c>
      <c r="Q638" s="143"/>
      <c r="R638" s="78"/>
      <c r="S638" s="87" t="str">
        <f t="shared" si="104"/>
        <v/>
      </c>
      <c r="T638" s="87" t="str">
        <f t="shared" si="105"/>
        <v/>
      </c>
      <c r="U638" s="36">
        <v>44783</v>
      </c>
      <c r="V638" s="40">
        <f t="shared" si="107"/>
        <v>300</v>
      </c>
      <c r="W638" s="43">
        <f t="shared" si="108"/>
        <v>0</v>
      </c>
    </row>
    <row r="639" spans="1:23" ht="25.5" x14ac:dyDescent="0.25">
      <c r="A639" s="45" t="s">
        <v>2755</v>
      </c>
      <c r="B639" s="46">
        <v>44784</v>
      </c>
      <c r="C639" s="45" t="s">
        <v>3679</v>
      </c>
      <c r="D639" s="46" t="s">
        <v>466</v>
      </c>
      <c r="E639" s="72" t="s">
        <v>1070</v>
      </c>
      <c r="F639" s="48" t="s">
        <v>3680</v>
      </c>
      <c r="G639" s="47" t="s">
        <v>3681</v>
      </c>
      <c r="H639" s="47" t="s">
        <v>3662</v>
      </c>
      <c r="I639" s="48" t="s">
        <v>320</v>
      </c>
      <c r="J639" s="48" t="s">
        <v>317</v>
      </c>
      <c r="K639" s="49" t="s">
        <v>16</v>
      </c>
      <c r="L639" s="49" t="s">
        <v>27</v>
      </c>
      <c r="M639" s="49">
        <v>11</v>
      </c>
      <c r="N639" s="80">
        <v>300</v>
      </c>
      <c r="O639" s="51">
        <v>370</v>
      </c>
      <c r="P639" s="81" t="s">
        <v>1017</v>
      </c>
      <c r="Q639" s="142"/>
      <c r="R639" s="76"/>
      <c r="S639" s="81" t="str">
        <f t="shared" si="104"/>
        <v/>
      </c>
      <c r="T639" s="81" t="str">
        <f t="shared" si="105"/>
        <v/>
      </c>
      <c r="U639" s="46">
        <v>44785</v>
      </c>
      <c r="V639" s="50">
        <f t="shared" si="107"/>
        <v>370</v>
      </c>
      <c r="W639" s="53">
        <f t="shared" si="108"/>
        <v>0</v>
      </c>
    </row>
    <row r="640" spans="1:23" ht="25.5" x14ac:dyDescent="0.25">
      <c r="A640" s="35" t="s">
        <v>2756</v>
      </c>
      <c r="B640" s="36">
        <v>44784</v>
      </c>
      <c r="C640" s="35" t="s">
        <v>3682</v>
      </c>
      <c r="D640" s="36" t="s">
        <v>466</v>
      </c>
      <c r="E640" s="73" t="s">
        <v>1070</v>
      </c>
      <c r="F640" s="38" t="s">
        <v>3683</v>
      </c>
      <c r="G640" s="37" t="s">
        <v>3684</v>
      </c>
      <c r="H640" s="37" t="s">
        <v>3662</v>
      </c>
      <c r="I640" s="38" t="s">
        <v>320</v>
      </c>
      <c r="J640" s="39" t="s">
        <v>317</v>
      </c>
      <c r="K640" s="39" t="s">
        <v>16</v>
      </c>
      <c r="L640" s="39" t="s">
        <v>27</v>
      </c>
      <c r="M640" s="39">
        <v>11</v>
      </c>
      <c r="N640" s="86">
        <v>300</v>
      </c>
      <c r="O640" s="41">
        <v>370</v>
      </c>
      <c r="P640" s="86" t="s">
        <v>1017</v>
      </c>
      <c r="Q640" s="143"/>
      <c r="R640" s="78"/>
      <c r="S640" s="87" t="s">
        <v>415</v>
      </c>
      <c r="T640" s="87" t="s">
        <v>415</v>
      </c>
      <c r="U640" s="36">
        <v>44785</v>
      </c>
      <c r="V640" s="40">
        <f t="shared" si="107"/>
        <v>370</v>
      </c>
      <c r="W640" s="43">
        <f t="shared" si="108"/>
        <v>0</v>
      </c>
    </row>
    <row r="641" spans="1:23" ht="25.5" x14ac:dyDescent="0.25">
      <c r="A641" s="45" t="s">
        <v>2757</v>
      </c>
      <c r="B641" s="46">
        <v>44784</v>
      </c>
      <c r="C641" s="45" t="s">
        <v>3685</v>
      </c>
      <c r="D641" s="46" t="s">
        <v>466</v>
      </c>
      <c r="E641" s="72" t="s">
        <v>1070</v>
      </c>
      <c r="F641" s="48" t="s">
        <v>3686</v>
      </c>
      <c r="G641" s="47" t="s">
        <v>3687</v>
      </c>
      <c r="H641" s="47" t="s">
        <v>3662</v>
      </c>
      <c r="I641" s="48" t="s">
        <v>320</v>
      </c>
      <c r="J641" s="48" t="s">
        <v>317</v>
      </c>
      <c r="K641" s="49" t="s">
        <v>16</v>
      </c>
      <c r="L641" s="49" t="s">
        <v>27</v>
      </c>
      <c r="M641" s="49">
        <v>11</v>
      </c>
      <c r="N641" s="80">
        <v>300</v>
      </c>
      <c r="O641" s="51">
        <v>370</v>
      </c>
      <c r="P641" s="81" t="s">
        <v>1017</v>
      </c>
      <c r="Q641" s="142"/>
      <c r="R641" s="76"/>
      <c r="S641" s="81" t="s">
        <v>415</v>
      </c>
      <c r="T641" s="81" t="s">
        <v>415</v>
      </c>
      <c r="U641" s="46">
        <v>44785</v>
      </c>
      <c r="V641" s="50">
        <f t="shared" si="107"/>
        <v>370</v>
      </c>
      <c r="W641" s="53">
        <f t="shared" si="108"/>
        <v>0</v>
      </c>
    </row>
    <row r="642" spans="1:23" ht="25.5" x14ac:dyDescent="0.25">
      <c r="A642" s="35" t="s">
        <v>2758</v>
      </c>
      <c r="B642" s="36">
        <v>44793</v>
      </c>
      <c r="C642" s="35" t="s">
        <v>3688</v>
      </c>
      <c r="D642" s="36" t="s">
        <v>466</v>
      </c>
      <c r="E642" s="73" t="s">
        <v>1070</v>
      </c>
      <c r="F642" s="38" t="s">
        <v>3690</v>
      </c>
      <c r="G642" s="37" t="s">
        <v>3689</v>
      </c>
      <c r="H642" s="37" t="s">
        <v>3662</v>
      </c>
      <c r="I642" s="38" t="s">
        <v>320</v>
      </c>
      <c r="J642" s="39" t="s">
        <v>317</v>
      </c>
      <c r="K642" s="39" t="s">
        <v>16</v>
      </c>
      <c r="L642" s="39" t="s">
        <v>27</v>
      </c>
      <c r="M642" s="39">
        <v>11</v>
      </c>
      <c r="N642" s="86">
        <v>300</v>
      </c>
      <c r="O642" s="41">
        <v>622</v>
      </c>
      <c r="P642" s="86" t="s">
        <v>1017</v>
      </c>
      <c r="Q642" s="143"/>
      <c r="R642" s="78"/>
      <c r="S642" s="87" t="s">
        <v>415</v>
      </c>
      <c r="T642" s="87" t="s">
        <v>415</v>
      </c>
      <c r="U642" s="36">
        <v>44785</v>
      </c>
      <c r="V642" s="40">
        <f t="shared" si="107"/>
        <v>622</v>
      </c>
      <c r="W642" s="43">
        <f t="shared" si="108"/>
        <v>0</v>
      </c>
    </row>
    <row r="643" spans="1:23" ht="25.5" x14ac:dyDescent="0.25">
      <c r="A643" s="45" t="s">
        <v>2759</v>
      </c>
      <c r="B643" s="46">
        <v>44784</v>
      </c>
      <c r="C643" s="45" t="s">
        <v>3691</v>
      </c>
      <c r="D643" s="46" t="s">
        <v>466</v>
      </c>
      <c r="E643" s="72" t="s">
        <v>1070</v>
      </c>
      <c r="F643" s="48" t="s">
        <v>3692</v>
      </c>
      <c r="G643" s="47" t="s">
        <v>3693</v>
      </c>
      <c r="H643" s="47" t="s">
        <v>3662</v>
      </c>
      <c r="I643" s="48" t="s">
        <v>320</v>
      </c>
      <c r="J643" s="48" t="s">
        <v>317</v>
      </c>
      <c r="K643" s="49" t="s">
        <v>16</v>
      </c>
      <c r="L643" s="49" t="s">
        <v>27</v>
      </c>
      <c r="M643" s="49">
        <v>11</v>
      </c>
      <c r="N643" s="80">
        <v>300</v>
      </c>
      <c r="O643" s="51">
        <v>622</v>
      </c>
      <c r="P643" s="81" t="s">
        <v>1017</v>
      </c>
      <c r="Q643" s="142"/>
      <c r="R643" s="76"/>
      <c r="S643" s="81" t="s">
        <v>415</v>
      </c>
      <c r="T643" s="81" t="s">
        <v>415</v>
      </c>
      <c r="U643" s="46">
        <v>44785</v>
      </c>
      <c r="V643" s="50">
        <f t="shared" si="107"/>
        <v>622</v>
      </c>
      <c r="W643" s="53">
        <f t="shared" si="108"/>
        <v>0</v>
      </c>
    </row>
    <row r="644" spans="1:23" ht="25.5" x14ac:dyDescent="0.25">
      <c r="A644" s="35" t="s">
        <v>2760</v>
      </c>
      <c r="B644" s="36">
        <v>44784</v>
      </c>
      <c r="C644" s="35" t="s">
        <v>3694</v>
      </c>
      <c r="D644" s="36" t="s">
        <v>466</v>
      </c>
      <c r="E644" s="73" t="s">
        <v>1070</v>
      </c>
      <c r="F644" s="38" t="s">
        <v>3695</v>
      </c>
      <c r="G644" s="37" t="s">
        <v>3696</v>
      </c>
      <c r="H644" s="37" t="s">
        <v>3662</v>
      </c>
      <c r="I644" s="38" t="s">
        <v>320</v>
      </c>
      <c r="J644" s="39" t="s">
        <v>317</v>
      </c>
      <c r="K644" s="39" t="s">
        <v>16</v>
      </c>
      <c r="L644" s="39" t="s">
        <v>27</v>
      </c>
      <c r="M644" s="39">
        <v>11</v>
      </c>
      <c r="N644" s="86">
        <v>300</v>
      </c>
      <c r="O644" s="41">
        <v>622</v>
      </c>
      <c r="P644" s="86" t="s">
        <v>1017</v>
      </c>
      <c r="Q644" s="143"/>
      <c r="R644" s="78"/>
      <c r="S644" s="87" t="s">
        <v>415</v>
      </c>
      <c r="T644" s="87" t="s">
        <v>415</v>
      </c>
      <c r="U644" s="36">
        <v>44785</v>
      </c>
      <c r="V644" s="40">
        <f t="shared" si="107"/>
        <v>622</v>
      </c>
      <c r="W644" s="43">
        <f t="shared" si="108"/>
        <v>0</v>
      </c>
    </row>
    <row r="645" spans="1:23" ht="25.5" x14ac:dyDescent="0.25">
      <c r="A645" s="45" t="s">
        <v>2761</v>
      </c>
      <c r="B645" s="46">
        <v>44655</v>
      </c>
      <c r="C645" s="45" t="s">
        <v>3697</v>
      </c>
      <c r="D645" s="46" t="s">
        <v>526</v>
      </c>
      <c r="E645" s="72" t="s">
        <v>1066</v>
      </c>
      <c r="F645" s="48" t="s">
        <v>3698</v>
      </c>
      <c r="G645" s="47" t="s">
        <v>3699</v>
      </c>
      <c r="H645" s="47" t="s">
        <v>3700</v>
      </c>
      <c r="I645" s="48" t="s">
        <v>771</v>
      </c>
      <c r="J645" s="48" t="s">
        <v>772</v>
      </c>
      <c r="K645" s="49" t="s">
        <v>31</v>
      </c>
      <c r="L645" s="49" t="s">
        <v>32</v>
      </c>
      <c r="M645" s="49">
        <v>13</v>
      </c>
      <c r="N645" s="80">
        <f t="shared" ref="N645:N677" si="109">IF(M645="","",IF(M645=1,300,IF(M645=2,370,IF(M645=3,630,IF(M645=4,830,IF(M645=5,370,IF(M645=6,430,IF(M645=7,530,IF(M645=8,370,IF(M645=9,700,IF(M645=10,870,IF(M645=11,370,IF(M645=12,370,IF(M645=13,370,IF(M645=13,370,IF(M645=14,370,IF(M645=15,370,IF(M645=16,300,IF(M645=17,300,IF(M645=18,170,IF(M645=19,330)))))))))))))))))))))</f>
        <v>370</v>
      </c>
      <c r="O645" s="51">
        <v>740</v>
      </c>
      <c r="P645" s="81" t="str">
        <f t="shared" ref="P645:P677" si="110">IF(M645="","",IF(O645&gt;(5*N645),"ACIMA","OK"))</f>
        <v>OK</v>
      </c>
      <c r="Q645" s="142"/>
      <c r="R645" s="76"/>
      <c r="S645" s="81" t="str">
        <f t="shared" ref="S645:S677" si="111">IF(R645="","",R645/O645)</f>
        <v/>
      </c>
      <c r="T645" s="81" t="str">
        <f t="shared" ref="T645:T677" si="112">IF(S645="","",IF(S645&gt;$Z$5,"ACIMA","OK"))</f>
        <v/>
      </c>
      <c r="U645" s="46">
        <v>44785</v>
      </c>
      <c r="V645" s="50">
        <f t="shared" si="107"/>
        <v>740</v>
      </c>
      <c r="W645" s="53">
        <f t="shared" si="108"/>
        <v>0</v>
      </c>
    </row>
    <row r="646" spans="1:23" ht="25.5" x14ac:dyDescent="0.25">
      <c r="A646" s="35" t="s">
        <v>2762</v>
      </c>
      <c r="B646" s="36">
        <v>44705</v>
      </c>
      <c r="C646" s="35" t="s">
        <v>3701</v>
      </c>
      <c r="D646" s="36" t="s">
        <v>526</v>
      </c>
      <c r="E646" s="73" t="s">
        <v>1066</v>
      </c>
      <c r="F646" s="38" t="s">
        <v>3702</v>
      </c>
      <c r="G646" s="37" t="s">
        <v>3703</v>
      </c>
      <c r="H646" s="37" t="s">
        <v>3704</v>
      </c>
      <c r="I646" s="38" t="s">
        <v>771</v>
      </c>
      <c r="J646" s="39" t="s">
        <v>772</v>
      </c>
      <c r="K646" s="39" t="s">
        <v>31</v>
      </c>
      <c r="L646" s="39" t="s">
        <v>32</v>
      </c>
      <c r="M646" s="39">
        <v>13</v>
      </c>
      <c r="N646" s="86">
        <v>370</v>
      </c>
      <c r="O646" s="41">
        <v>740</v>
      </c>
      <c r="P646" s="86" t="s">
        <v>1017</v>
      </c>
      <c r="Q646" s="143"/>
      <c r="R646" s="78"/>
      <c r="S646" s="87" t="s">
        <v>415</v>
      </c>
      <c r="T646" s="87" t="s">
        <v>415</v>
      </c>
      <c r="U646" s="36">
        <v>44785</v>
      </c>
      <c r="V646" s="40">
        <f t="shared" si="107"/>
        <v>740</v>
      </c>
      <c r="W646" s="43">
        <f t="shared" si="108"/>
        <v>0</v>
      </c>
    </row>
    <row r="647" spans="1:23" ht="25.5" x14ac:dyDescent="0.25">
      <c r="A647" s="45" t="s">
        <v>2763</v>
      </c>
      <c r="B647" s="46">
        <v>44705</v>
      </c>
      <c r="C647" s="45" t="s">
        <v>3705</v>
      </c>
      <c r="D647" s="46" t="s">
        <v>526</v>
      </c>
      <c r="E647" s="72" t="s">
        <v>1066</v>
      </c>
      <c r="F647" s="48" t="s">
        <v>3706</v>
      </c>
      <c r="G647" s="47" t="s">
        <v>3707</v>
      </c>
      <c r="H647" s="47" t="s">
        <v>3708</v>
      </c>
      <c r="I647" s="48" t="s">
        <v>771</v>
      </c>
      <c r="J647" s="48" t="s">
        <v>772</v>
      </c>
      <c r="K647" s="49" t="s">
        <v>31</v>
      </c>
      <c r="L647" s="49" t="s">
        <v>32</v>
      </c>
      <c r="M647" s="49">
        <v>13</v>
      </c>
      <c r="N647" s="80">
        <v>370</v>
      </c>
      <c r="O647" s="51">
        <v>740</v>
      </c>
      <c r="P647" s="81" t="s">
        <v>1017</v>
      </c>
      <c r="Q647" s="142"/>
      <c r="R647" s="76"/>
      <c r="S647" s="81" t="s">
        <v>415</v>
      </c>
      <c r="T647" s="81" t="s">
        <v>415</v>
      </c>
      <c r="U647" s="46">
        <v>44785</v>
      </c>
      <c r="V647" s="50">
        <f t="shared" si="107"/>
        <v>740</v>
      </c>
      <c r="W647" s="53">
        <f t="shared" si="108"/>
        <v>0</v>
      </c>
    </row>
    <row r="648" spans="1:23" ht="25.5" x14ac:dyDescent="0.25">
      <c r="A648" s="35" t="s">
        <v>2764</v>
      </c>
      <c r="B648" s="36">
        <v>44658</v>
      </c>
      <c r="C648" s="35" t="s">
        <v>3709</v>
      </c>
      <c r="D648" s="36" t="s">
        <v>526</v>
      </c>
      <c r="E648" s="73" t="s">
        <v>1066</v>
      </c>
      <c r="F648" s="38" t="s">
        <v>3710</v>
      </c>
      <c r="G648" s="37" t="s">
        <v>3711</v>
      </c>
      <c r="H648" s="37" t="s">
        <v>3712</v>
      </c>
      <c r="I648" s="38" t="s">
        <v>771</v>
      </c>
      <c r="J648" s="39" t="s">
        <v>772</v>
      </c>
      <c r="K648" s="39" t="s">
        <v>31</v>
      </c>
      <c r="L648" s="39" t="s">
        <v>32</v>
      </c>
      <c r="M648" s="39">
        <v>13</v>
      </c>
      <c r="N648" s="86">
        <v>370</v>
      </c>
      <c r="O648" s="41">
        <v>740</v>
      </c>
      <c r="P648" s="86" t="s">
        <v>1017</v>
      </c>
      <c r="Q648" s="143"/>
      <c r="R648" s="78"/>
      <c r="S648" s="87" t="s">
        <v>415</v>
      </c>
      <c r="T648" s="87" t="s">
        <v>415</v>
      </c>
      <c r="U648" s="36">
        <v>44785</v>
      </c>
      <c r="V648" s="40">
        <f t="shared" si="107"/>
        <v>740</v>
      </c>
      <c r="W648" s="43">
        <f t="shared" si="108"/>
        <v>0</v>
      </c>
    </row>
    <row r="649" spans="1:23" ht="25.5" x14ac:dyDescent="0.25">
      <c r="A649" s="45" t="s">
        <v>2765</v>
      </c>
      <c r="B649" s="46">
        <v>44704</v>
      </c>
      <c r="C649" s="45" t="s">
        <v>3713</v>
      </c>
      <c r="D649" s="46" t="s">
        <v>3714</v>
      </c>
      <c r="E649" s="72" t="s">
        <v>1064</v>
      </c>
      <c r="F649" s="48" t="s">
        <v>3715</v>
      </c>
      <c r="G649" s="47" t="s">
        <v>3716</v>
      </c>
      <c r="H649" s="47" t="s">
        <v>3712</v>
      </c>
      <c r="I649" s="48" t="s">
        <v>3717</v>
      </c>
      <c r="J649" s="48" t="s">
        <v>3718</v>
      </c>
      <c r="K649" s="49" t="s">
        <v>16</v>
      </c>
      <c r="L649" s="49" t="s">
        <v>17</v>
      </c>
      <c r="M649" s="49">
        <v>6</v>
      </c>
      <c r="N649" s="80">
        <f t="shared" si="109"/>
        <v>430</v>
      </c>
      <c r="O649" s="51">
        <v>3010</v>
      </c>
      <c r="P649" s="81" t="str">
        <f t="shared" si="110"/>
        <v>ACIMA</v>
      </c>
      <c r="Q649" s="142"/>
      <c r="R649" s="76"/>
      <c r="S649" s="81" t="str">
        <f t="shared" si="111"/>
        <v/>
      </c>
      <c r="T649" s="81" t="str">
        <f t="shared" si="112"/>
        <v/>
      </c>
      <c r="U649" s="46">
        <v>44785</v>
      </c>
      <c r="V649" s="50">
        <f t="shared" si="107"/>
        <v>3010</v>
      </c>
      <c r="W649" s="53">
        <f t="shared" si="108"/>
        <v>0</v>
      </c>
    </row>
    <row r="650" spans="1:23" ht="38.25" x14ac:dyDescent="0.25">
      <c r="A650" s="35" t="s">
        <v>2766</v>
      </c>
      <c r="B650" s="36">
        <v>44600</v>
      </c>
      <c r="C650" s="35" t="s">
        <v>3719</v>
      </c>
      <c r="D650" s="36" t="s">
        <v>1532</v>
      </c>
      <c r="E650" s="73" t="s">
        <v>1064</v>
      </c>
      <c r="F650" s="38" t="s">
        <v>3720</v>
      </c>
      <c r="G650" s="37" t="s">
        <v>3721</v>
      </c>
      <c r="H650" s="37" t="s">
        <v>3722</v>
      </c>
      <c r="I650" s="38" t="s">
        <v>2047</v>
      </c>
      <c r="J650" s="39" t="s">
        <v>3723</v>
      </c>
      <c r="K650" s="39" t="s">
        <v>16</v>
      </c>
      <c r="L650" s="39" t="s">
        <v>29</v>
      </c>
      <c r="M650" s="39">
        <v>12</v>
      </c>
      <c r="N650" s="86">
        <f t="shared" si="109"/>
        <v>370</v>
      </c>
      <c r="O650" s="41">
        <v>1480</v>
      </c>
      <c r="P650" s="86" t="str">
        <f t="shared" si="110"/>
        <v>OK</v>
      </c>
      <c r="Q650" s="143"/>
      <c r="R650" s="78"/>
      <c r="S650" s="87" t="str">
        <f t="shared" si="111"/>
        <v/>
      </c>
      <c r="T650" s="87" t="str">
        <f t="shared" si="112"/>
        <v/>
      </c>
      <c r="U650" s="36">
        <v>44785</v>
      </c>
      <c r="V650" s="40">
        <f t="shared" si="107"/>
        <v>1480</v>
      </c>
      <c r="W650" s="43">
        <f t="shared" si="108"/>
        <v>0</v>
      </c>
    </row>
    <row r="651" spans="1:23" ht="25.5" x14ac:dyDescent="0.25">
      <c r="A651" s="45" t="s">
        <v>2767</v>
      </c>
      <c r="B651" s="46">
        <v>44784</v>
      </c>
      <c r="C651" s="45" t="s">
        <v>3724</v>
      </c>
      <c r="D651" s="46" t="s">
        <v>3018</v>
      </c>
      <c r="E651" s="72" t="s">
        <v>1064</v>
      </c>
      <c r="F651" s="48" t="s">
        <v>3725</v>
      </c>
      <c r="G651" s="47" t="s">
        <v>3726</v>
      </c>
      <c r="H651" s="47" t="s">
        <v>3727</v>
      </c>
      <c r="I651" s="48" t="s">
        <v>3728</v>
      </c>
      <c r="J651" s="48" t="s">
        <v>3729</v>
      </c>
      <c r="K651" s="49" t="s">
        <v>31</v>
      </c>
      <c r="L651" s="49" t="s">
        <v>29</v>
      </c>
      <c r="M651" s="49">
        <v>15</v>
      </c>
      <c r="N651" s="80">
        <f t="shared" si="109"/>
        <v>370</v>
      </c>
      <c r="O651" s="51">
        <v>370</v>
      </c>
      <c r="P651" s="81" t="str">
        <f t="shared" si="110"/>
        <v>OK</v>
      </c>
      <c r="Q651" s="142"/>
      <c r="R651" s="76"/>
      <c r="S651" s="81" t="str">
        <f t="shared" si="111"/>
        <v/>
      </c>
      <c r="T651" s="81" t="str">
        <f t="shared" si="112"/>
        <v/>
      </c>
      <c r="U651" s="46">
        <v>44785</v>
      </c>
      <c r="V651" s="50">
        <f t="shared" si="107"/>
        <v>370</v>
      </c>
      <c r="W651" s="53">
        <f t="shared" si="108"/>
        <v>0</v>
      </c>
    </row>
    <row r="652" spans="1:23" ht="38.25" x14ac:dyDescent="0.25">
      <c r="A652" s="35" t="s">
        <v>2768</v>
      </c>
      <c r="B652" s="36">
        <v>44494</v>
      </c>
      <c r="C652" s="35" t="s">
        <v>3730</v>
      </c>
      <c r="D652" s="36" t="s">
        <v>1005</v>
      </c>
      <c r="E652" s="73" t="s">
        <v>1080</v>
      </c>
      <c r="F652" s="38" t="s">
        <v>3731</v>
      </c>
      <c r="G652" s="37" t="s">
        <v>3732</v>
      </c>
      <c r="H652" s="37" t="s">
        <v>1751</v>
      </c>
      <c r="I652" s="38" t="s">
        <v>1153</v>
      </c>
      <c r="J652" s="39" t="s">
        <v>1781</v>
      </c>
      <c r="K652" s="39" t="s">
        <v>5</v>
      </c>
      <c r="L652" s="39" t="s">
        <v>8</v>
      </c>
      <c r="M652" s="39">
        <v>2</v>
      </c>
      <c r="N652" s="86">
        <f t="shared" si="109"/>
        <v>370</v>
      </c>
      <c r="O652" s="41">
        <v>388.21</v>
      </c>
      <c r="P652" s="86" t="str">
        <f t="shared" si="110"/>
        <v>OK</v>
      </c>
      <c r="Q652" s="143"/>
      <c r="R652" s="78"/>
      <c r="S652" s="87" t="str">
        <f t="shared" si="111"/>
        <v/>
      </c>
      <c r="T652" s="87" t="str">
        <f t="shared" si="112"/>
        <v/>
      </c>
      <c r="U652" s="36">
        <v>44785</v>
      </c>
      <c r="V652" s="40">
        <f t="shared" si="107"/>
        <v>388.21</v>
      </c>
      <c r="W652" s="43">
        <f t="shared" si="108"/>
        <v>0</v>
      </c>
    </row>
    <row r="653" spans="1:23" ht="25.5" x14ac:dyDescent="0.25">
      <c r="A653" s="45" t="s">
        <v>2769</v>
      </c>
      <c r="B653" s="46">
        <v>44706</v>
      </c>
      <c r="C653" s="45" t="s">
        <v>3733</v>
      </c>
      <c r="D653" s="46" t="s">
        <v>1211</v>
      </c>
      <c r="E653" s="72" t="s">
        <v>1071</v>
      </c>
      <c r="F653" s="48" t="s">
        <v>3734</v>
      </c>
      <c r="G653" s="47" t="s">
        <v>3735</v>
      </c>
      <c r="H653" s="47" t="s">
        <v>3736</v>
      </c>
      <c r="I653" s="48" t="s">
        <v>2200</v>
      </c>
      <c r="J653" s="48" t="s">
        <v>2201</v>
      </c>
      <c r="K653" s="49" t="s">
        <v>16</v>
      </c>
      <c r="L653" s="49" t="s">
        <v>765</v>
      </c>
      <c r="M653" s="49">
        <v>11</v>
      </c>
      <c r="N653" s="80">
        <f t="shared" si="109"/>
        <v>370</v>
      </c>
      <c r="O653" s="51">
        <v>1750</v>
      </c>
      <c r="P653" s="81" t="str">
        <f t="shared" si="110"/>
        <v>OK</v>
      </c>
      <c r="Q653" s="142"/>
      <c r="R653" s="76"/>
      <c r="S653" s="81" t="str">
        <f t="shared" si="111"/>
        <v/>
      </c>
      <c r="T653" s="81" t="str">
        <f t="shared" si="112"/>
        <v/>
      </c>
      <c r="U653" s="46">
        <v>44785</v>
      </c>
      <c r="V653" s="50">
        <f t="shared" si="107"/>
        <v>1750</v>
      </c>
      <c r="W653" s="53">
        <f t="shared" si="108"/>
        <v>0</v>
      </c>
    </row>
    <row r="654" spans="1:23" ht="25.5" x14ac:dyDescent="0.25">
      <c r="A654" s="35" t="s">
        <v>2770</v>
      </c>
      <c r="B654" s="36">
        <v>44699</v>
      </c>
      <c r="C654" s="35" t="s">
        <v>3737</v>
      </c>
      <c r="D654" s="36" t="s">
        <v>2397</v>
      </c>
      <c r="E654" s="73" t="s">
        <v>1080</v>
      </c>
      <c r="F654" s="38" t="s">
        <v>3738</v>
      </c>
      <c r="G654" s="37" t="s">
        <v>3739</v>
      </c>
      <c r="H654" s="37" t="s">
        <v>3193</v>
      </c>
      <c r="I654" s="38" t="s">
        <v>1425</v>
      </c>
      <c r="J654" s="39" t="s">
        <v>1426</v>
      </c>
      <c r="K654" s="39" t="s">
        <v>432</v>
      </c>
      <c r="L654" s="39" t="s">
        <v>480</v>
      </c>
      <c r="M654" s="39">
        <v>1</v>
      </c>
      <c r="N654" s="86">
        <f t="shared" si="109"/>
        <v>300</v>
      </c>
      <c r="O654" s="41">
        <v>1850</v>
      </c>
      <c r="P654" s="86" t="str">
        <f t="shared" si="110"/>
        <v>ACIMA</v>
      </c>
      <c r="Q654" s="143"/>
      <c r="R654" s="78"/>
      <c r="S654" s="87" t="str">
        <f t="shared" si="111"/>
        <v/>
      </c>
      <c r="T654" s="87" t="str">
        <f t="shared" si="112"/>
        <v/>
      </c>
      <c r="U654" s="36">
        <v>44785</v>
      </c>
      <c r="V654" s="40">
        <f t="shared" si="107"/>
        <v>1850</v>
      </c>
      <c r="W654" s="43">
        <f t="shared" si="108"/>
        <v>0</v>
      </c>
    </row>
    <row r="655" spans="1:23" ht="51" x14ac:dyDescent="0.25">
      <c r="A655" s="45" t="s">
        <v>2771</v>
      </c>
      <c r="B655" s="46">
        <v>44001</v>
      </c>
      <c r="C655" s="45" t="s">
        <v>3740</v>
      </c>
      <c r="D655" s="46" t="s">
        <v>991</v>
      </c>
      <c r="E655" s="72" t="s">
        <v>1064</v>
      </c>
      <c r="F655" s="48" t="s">
        <v>3741</v>
      </c>
      <c r="G655" s="47" t="s">
        <v>3742</v>
      </c>
      <c r="H655" s="47" t="s">
        <v>3743</v>
      </c>
      <c r="I655" s="48" t="s">
        <v>592</v>
      </c>
      <c r="J655" s="48"/>
      <c r="K655" s="49" t="s">
        <v>16</v>
      </c>
      <c r="L655" s="49" t="s">
        <v>1413</v>
      </c>
      <c r="M655" s="49">
        <v>12</v>
      </c>
      <c r="N655" s="80">
        <f t="shared" si="109"/>
        <v>370</v>
      </c>
      <c r="O655" s="51">
        <v>522.5</v>
      </c>
      <c r="P655" s="81" t="str">
        <f t="shared" si="110"/>
        <v>OK</v>
      </c>
      <c r="Q655" s="142"/>
      <c r="R655" s="76"/>
      <c r="S655" s="81" t="str">
        <f t="shared" si="111"/>
        <v/>
      </c>
      <c r="T655" s="81" t="str">
        <f t="shared" si="112"/>
        <v/>
      </c>
      <c r="U655" s="46">
        <v>44785</v>
      </c>
      <c r="V655" s="50">
        <f t="shared" si="107"/>
        <v>522.5</v>
      </c>
      <c r="W655" s="53">
        <f t="shared" si="108"/>
        <v>0</v>
      </c>
    </row>
    <row r="656" spans="1:23" ht="25.5" x14ac:dyDescent="0.25">
      <c r="A656" s="35" t="s">
        <v>2772</v>
      </c>
      <c r="B656" s="36">
        <v>44785</v>
      </c>
      <c r="C656" s="35" t="s">
        <v>3744</v>
      </c>
      <c r="D656" s="36" t="s">
        <v>868</v>
      </c>
      <c r="E656" s="73" t="s">
        <v>1070</v>
      </c>
      <c r="F656" s="38" t="s">
        <v>3745</v>
      </c>
      <c r="G656" s="37" t="s">
        <v>3746</v>
      </c>
      <c r="H656" s="37" t="s">
        <v>1028</v>
      </c>
      <c r="I656" s="38" t="s">
        <v>320</v>
      </c>
      <c r="J656" s="39" t="s">
        <v>317</v>
      </c>
      <c r="K656" s="39" t="s">
        <v>432</v>
      </c>
      <c r="L656" s="39" t="s">
        <v>480</v>
      </c>
      <c r="M656" s="39">
        <v>1</v>
      </c>
      <c r="N656" s="86">
        <v>300</v>
      </c>
      <c r="O656" s="41">
        <v>300</v>
      </c>
      <c r="P656" s="86" t="str">
        <f t="shared" si="110"/>
        <v>OK</v>
      </c>
      <c r="Q656" s="143"/>
      <c r="R656" s="78"/>
      <c r="S656" s="87" t="str">
        <f t="shared" si="111"/>
        <v/>
      </c>
      <c r="T656" s="87" t="str">
        <f t="shared" si="112"/>
        <v/>
      </c>
      <c r="U656" s="36">
        <v>44790</v>
      </c>
      <c r="V656" s="40">
        <f t="shared" si="107"/>
        <v>300</v>
      </c>
      <c r="W656" s="43">
        <f t="shared" si="108"/>
        <v>0</v>
      </c>
    </row>
    <row r="657" spans="1:23" ht="25.5" x14ac:dyDescent="0.25">
      <c r="A657" s="45" t="s">
        <v>2773</v>
      </c>
      <c r="B657" s="46">
        <v>44810</v>
      </c>
      <c r="C657" s="45" t="s">
        <v>3747</v>
      </c>
      <c r="D657" s="46" t="s">
        <v>999</v>
      </c>
      <c r="E657" s="72" t="s">
        <v>1064</v>
      </c>
      <c r="F657" s="48" t="s">
        <v>3748</v>
      </c>
      <c r="G657" s="47" t="s">
        <v>3749</v>
      </c>
      <c r="H657" s="47" t="s">
        <v>2414</v>
      </c>
      <c r="I657" s="48" t="s">
        <v>320</v>
      </c>
      <c r="J657" s="48" t="s">
        <v>317</v>
      </c>
      <c r="K657" s="49" t="s">
        <v>432</v>
      </c>
      <c r="L657" s="49" t="s">
        <v>480</v>
      </c>
      <c r="M657" s="49">
        <v>1</v>
      </c>
      <c r="N657" s="80">
        <v>300</v>
      </c>
      <c r="O657" s="51">
        <v>300</v>
      </c>
      <c r="P657" s="81" t="str">
        <f t="shared" si="110"/>
        <v>OK</v>
      </c>
      <c r="Q657" s="142"/>
      <c r="R657" s="76"/>
      <c r="S657" s="81" t="str">
        <f t="shared" si="111"/>
        <v/>
      </c>
      <c r="T657" s="81" t="str">
        <f t="shared" si="112"/>
        <v/>
      </c>
      <c r="U657" s="46">
        <v>44812</v>
      </c>
      <c r="V657" s="50">
        <f t="shared" si="107"/>
        <v>300</v>
      </c>
      <c r="W657" s="53">
        <f t="shared" si="108"/>
        <v>0</v>
      </c>
    </row>
    <row r="658" spans="1:23" ht="25.5" x14ac:dyDescent="0.25">
      <c r="A658" s="35" t="s">
        <v>2774</v>
      </c>
      <c r="B658" s="36">
        <v>44810</v>
      </c>
      <c r="C658" s="35" t="s">
        <v>3750</v>
      </c>
      <c r="D658" s="36" t="s">
        <v>466</v>
      </c>
      <c r="E658" s="73" t="s">
        <v>1070</v>
      </c>
      <c r="F658" s="38" t="s">
        <v>3751</v>
      </c>
      <c r="G658" s="37" t="s">
        <v>3752</v>
      </c>
      <c r="H658" s="37" t="s">
        <v>3753</v>
      </c>
      <c r="I658" s="38" t="s">
        <v>320</v>
      </c>
      <c r="J658" s="39" t="s">
        <v>317</v>
      </c>
      <c r="K658" s="39" t="s">
        <v>16</v>
      </c>
      <c r="L658" s="39" t="s">
        <v>27</v>
      </c>
      <c r="M658" s="39">
        <v>11</v>
      </c>
      <c r="N658" s="86">
        <v>300</v>
      </c>
      <c r="O658" s="41">
        <v>370</v>
      </c>
      <c r="P658" s="86" t="s">
        <v>1017</v>
      </c>
      <c r="Q658" s="143"/>
      <c r="R658" s="78"/>
      <c r="S658" s="87" t="s">
        <v>415</v>
      </c>
      <c r="T658" s="87" t="s">
        <v>415</v>
      </c>
      <c r="U658" s="36">
        <v>44817</v>
      </c>
      <c r="V658" s="40">
        <f t="shared" si="107"/>
        <v>370</v>
      </c>
      <c r="W658" s="43">
        <f t="shared" si="108"/>
        <v>0</v>
      </c>
    </row>
    <row r="659" spans="1:23" ht="25.5" x14ac:dyDescent="0.25">
      <c r="A659" s="45" t="s">
        <v>2775</v>
      </c>
      <c r="B659" s="46">
        <v>44819</v>
      </c>
      <c r="C659" s="45" t="s">
        <v>3754</v>
      </c>
      <c r="D659" s="46" t="s">
        <v>466</v>
      </c>
      <c r="E659" s="72" t="s">
        <v>1070</v>
      </c>
      <c r="F659" s="48" t="s">
        <v>3755</v>
      </c>
      <c r="G659" s="47" t="s">
        <v>3756</v>
      </c>
      <c r="H659" s="47" t="s">
        <v>3770</v>
      </c>
      <c r="I659" s="48" t="s">
        <v>320</v>
      </c>
      <c r="J659" s="48" t="s">
        <v>317</v>
      </c>
      <c r="K659" s="49" t="s">
        <v>16</v>
      </c>
      <c r="L659" s="49" t="s">
        <v>27</v>
      </c>
      <c r="M659" s="49">
        <v>11</v>
      </c>
      <c r="N659" s="80">
        <v>300</v>
      </c>
      <c r="O659" s="51">
        <v>370</v>
      </c>
      <c r="P659" s="81" t="s">
        <v>1017</v>
      </c>
      <c r="Q659" s="142"/>
      <c r="R659" s="76"/>
      <c r="S659" s="81" t="s">
        <v>415</v>
      </c>
      <c r="T659" s="81" t="s">
        <v>415</v>
      </c>
      <c r="U659" s="46">
        <v>44819</v>
      </c>
      <c r="V659" s="50">
        <f t="shared" si="107"/>
        <v>370</v>
      </c>
      <c r="W659" s="53">
        <f t="shared" si="108"/>
        <v>0</v>
      </c>
    </row>
    <row r="660" spans="1:23" ht="38.25" x14ac:dyDescent="0.25">
      <c r="A660" s="35" t="s">
        <v>2776</v>
      </c>
      <c r="B660" s="36">
        <v>44819</v>
      </c>
      <c r="C660" s="35" t="s">
        <v>3757</v>
      </c>
      <c r="D660" s="36" t="s">
        <v>466</v>
      </c>
      <c r="E660" s="73" t="s">
        <v>1070</v>
      </c>
      <c r="F660" s="38" t="s">
        <v>3758</v>
      </c>
      <c r="G660" s="37" t="s">
        <v>3759</v>
      </c>
      <c r="H660" s="37" t="s">
        <v>3760</v>
      </c>
      <c r="I660" s="38" t="s">
        <v>320</v>
      </c>
      <c r="J660" s="39" t="s">
        <v>317</v>
      </c>
      <c r="K660" s="39" t="s">
        <v>16</v>
      </c>
      <c r="L660" s="39" t="s">
        <v>27</v>
      </c>
      <c r="M660" s="39">
        <v>11</v>
      </c>
      <c r="N660" s="86">
        <v>300</v>
      </c>
      <c r="O660" s="41">
        <v>370</v>
      </c>
      <c r="P660" s="86" t="s">
        <v>1017</v>
      </c>
      <c r="Q660" s="143"/>
      <c r="R660" s="78"/>
      <c r="S660" s="87" t="s">
        <v>415</v>
      </c>
      <c r="T660" s="87" t="s">
        <v>415</v>
      </c>
      <c r="U660" s="36">
        <v>44819</v>
      </c>
      <c r="V660" s="40">
        <f t="shared" si="107"/>
        <v>370</v>
      </c>
      <c r="W660" s="43">
        <f t="shared" si="108"/>
        <v>0</v>
      </c>
    </row>
    <row r="661" spans="1:23" ht="38.25" x14ac:dyDescent="0.25">
      <c r="A661" s="45" t="s">
        <v>2777</v>
      </c>
      <c r="B661" s="46">
        <v>44819</v>
      </c>
      <c r="C661" s="45" t="s">
        <v>3761</v>
      </c>
      <c r="D661" s="46" t="s">
        <v>466</v>
      </c>
      <c r="E661" s="72" t="s">
        <v>1070</v>
      </c>
      <c r="F661" s="48" t="s">
        <v>3762</v>
      </c>
      <c r="G661" s="47" t="s">
        <v>3763</v>
      </c>
      <c r="H661" s="47" t="s">
        <v>3760</v>
      </c>
      <c r="I661" s="48" t="s">
        <v>320</v>
      </c>
      <c r="J661" s="48" t="s">
        <v>317</v>
      </c>
      <c r="K661" s="49" t="s">
        <v>16</v>
      </c>
      <c r="L661" s="49" t="s">
        <v>27</v>
      </c>
      <c r="M661" s="49">
        <v>11</v>
      </c>
      <c r="N661" s="80">
        <v>300</v>
      </c>
      <c r="O661" s="51">
        <v>370</v>
      </c>
      <c r="P661" s="81" t="s">
        <v>1017</v>
      </c>
      <c r="Q661" s="142"/>
      <c r="R661" s="76"/>
      <c r="S661" s="81" t="s">
        <v>415</v>
      </c>
      <c r="T661" s="81" t="s">
        <v>415</v>
      </c>
      <c r="U661" s="46">
        <v>44819</v>
      </c>
      <c r="V661" s="50">
        <f t="shared" si="107"/>
        <v>370</v>
      </c>
      <c r="W661" s="53">
        <f t="shared" si="108"/>
        <v>0</v>
      </c>
    </row>
    <row r="662" spans="1:23" ht="38.25" x14ac:dyDescent="0.25">
      <c r="A662" s="35" t="s">
        <v>2778</v>
      </c>
      <c r="B662" s="36">
        <v>44819</v>
      </c>
      <c r="C662" s="35" t="s">
        <v>3764</v>
      </c>
      <c r="D662" s="36" t="s">
        <v>466</v>
      </c>
      <c r="E662" s="73" t="s">
        <v>1070</v>
      </c>
      <c r="F662" s="38" t="s">
        <v>3765</v>
      </c>
      <c r="G662" s="37" t="s">
        <v>3766</v>
      </c>
      <c r="H662" s="37" t="s">
        <v>3753</v>
      </c>
      <c r="I662" s="38" t="s">
        <v>320</v>
      </c>
      <c r="J662" s="39" t="s">
        <v>317</v>
      </c>
      <c r="K662" s="39" t="s">
        <v>16</v>
      </c>
      <c r="L662" s="39" t="s">
        <v>27</v>
      </c>
      <c r="M662" s="39">
        <v>11</v>
      </c>
      <c r="N662" s="86">
        <v>300</v>
      </c>
      <c r="O662" s="41">
        <v>370</v>
      </c>
      <c r="P662" s="86" t="s">
        <v>1017</v>
      </c>
      <c r="Q662" s="143"/>
      <c r="R662" s="78"/>
      <c r="S662" s="87" t="s">
        <v>415</v>
      </c>
      <c r="T662" s="87" t="s">
        <v>415</v>
      </c>
      <c r="U662" s="36">
        <v>44819</v>
      </c>
      <c r="V662" s="40">
        <f t="shared" si="107"/>
        <v>370</v>
      </c>
      <c r="W662" s="43">
        <f t="shared" si="108"/>
        <v>0</v>
      </c>
    </row>
    <row r="663" spans="1:23" ht="25.5" x14ac:dyDescent="0.25">
      <c r="A663" s="45" t="s">
        <v>2779</v>
      </c>
      <c r="B663" s="46">
        <v>44819</v>
      </c>
      <c r="C663" s="45" t="s">
        <v>3767</v>
      </c>
      <c r="D663" s="46" t="s">
        <v>466</v>
      </c>
      <c r="E663" s="72" t="s">
        <v>1070</v>
      </c>
      <c r="F663" s="48" t="s">
        <v>3769</v>
      </c>
      <c r="G663" s="47" t="s">
        <v>3768</v>
      </c>
      <c r="H663" s="47" t="s">
        <v>3760</v>
      </c>
      <c r="I663" s="48" t="s">
        <v>320</v>
      </c>
      <c r="J663" s="48" t="s">
        <v>317</v>
      </c>
      <c r="K663" s="49" t="s">
        <v>16</v>
      </c>
      <c r="L663" s="49" t="s">
        <v>27</v>
      </c>
      <c r="M663" s="49">
        <v>11</v>
      </c>
      <c r="N663" s="80">
        <v>300</v>
      </c>
      <c r="O663" s="51">
        <v>370</v>
      </c>
      <c r="P663" s="81" t="s">
        <v>1017</v>
      </c>
      <c r="Q663" s="142"/>
      <c r="R663" s="76"/>
      <c r="S663" s="81" t="s">
        <v>415</v>
      </c>
      <c r="T663" s="81" t="s">
        <v>415</v>
      </c>
      <c r="U663" s="46">
        <v>44819</v>
      </c>
      <c r="V663" s="50">
        <f t="shared" si="107"/>
        <v>370</v>
      </c>
      <c r="W663" s="53">
        <f t="shared" si="108"/>
        <v>0</v>
      </c>
    </row>
    <row r="664" spans="1:23" ht="38.25" x14ac:dyDescent="0.25">
      <c r="A664" s="35" t="s">
        <v>2780</v>
      </c>
      <c r="B664" s="36">
        <v>44761</v>
      </c>
      <c r="C664" s="35" t="s">
        <v>3771</v>
      </c>
      <c r="D664" s="36" t="s">
        <v>868</v>
      </c>
      <c r="E664" s="73" t="s">
        <v>1070</v>
      </c>
      <c r="F664" s="38" t="s">
        <v>3772</v>
      </c>
      <c r="G664" s="37" t="s">
        <v>3773</v>
      </c>
      <c r="H664" s="37" t="s">
        <v>3760</v>
      </c>
      <c r="I664" s="38" t="s">
        <v>320</v>
      </c>
      <c r="J664" s="39" t="s">
        <v>317</v>
      </c>
      <c r="K664" s="39" t="s">
        <v>16</v>
      </c>
      <c r="L664" s="39" t="s">
        <v>27</v>
      </c>
      <c r="M664" s="39">
        <v>11</v>
      </c>
      <c r="N664" s="86">
        <v>300</v>
      </c>
      <c r="O664" s="41">
        <v>370</v>
      </c>
      <c r="P664" s="86" t="s">
        <v>1017</v>
      </c>
      <c r="Q664" s="143"/>
      <c r="R664" s="78"/>
      <c r="S664" s="87" t="s">
        <v>415</v>
      </c>
      <c r="T664" s="87" t="s">
        <v>415</v>
      </c>
      <c r="U664" s="36">
        <v>44816</v>
      </c>
      <c r="V664" s="40">
        <f t="shared" si="107"/>
        <v>370</v>
      </c>
      <c r="W664" s="43">
        <f t="shared" si="108"/>
        <v>0</v>
      </c>
    </row>
    <row r="665" spans="1:23" ht="25.5" x14ac:dyDescent="0.25">
      <c r="A665" s="45" t="s">
        <v>2781</v>
      </c>
      <c r="B665" s="46">
        <v>44819</v>
      </c>
      <c r="C665" s="45" t="s">
        <v>3774</v>
      </c>
      <c r="D665" s="46" t="s">
        <v>868</v>
      </c>
      <c r="E665" s="72" t="s">
        <v>1070</v>
      </c>
      <c r="F665" s="48" t="s">
        <v>3775</v>
      </c>
      <c r="G665" s="47" t="s">
        <v>3776</v>
      </c>
      <c r="H665" s="47" t="s">
        <v>3760</v>
      </c>
      <c r="I665" s="48" t="s">
        <v>320</v>
      </c>
      <c r="J665" s="48" t="s">
        <v>317</v>
      </c>
      <c r="K665" s="49" t="s">
        <v>16</v>
      </c>
      <c r="L665" s="49" t="s">
        <v>27</v>
      </c>
      <c r="M665" s="49">
        <v>11</v>
      </c>
      <c r="N665" s="80">
        <v>300</v>
      </c>
      <c r="O665" s="51">
        <v>370</v>
      </c>
      <c r="P665" s="81" t="s">
        <v>1017</v>
      </c>
      <c r="Q665" s="142"/>
      <c r="R665" s="76"/>
      <c r="S665" s="81" t="s">
        <v>415</v>
      </c>
      <c r="T665" s="81" t="s">
        <v>415</v>
      </c>
      <c r="U665" s="46">
        <v>44816</v>
      </c>
      <c r="V665" s="50">
        <f t="shared" si="107"/>
        <v>370</v>
      </c>
      <c r="W665" s="53">
        <f t="shared" si="108"/>
        <v>0</v>
      </c>
    </row>
    <row r="666" spans="1:23" ht="25.5" x14ac:dyDescent="0.25">
      <c r="A666" s="35" t="s">
        <v>2782</v>
      </c>
      <c r="B666" s="36">
        <v>44785</v>
      </c>
      <c r="C666" s="35" t="s">
        <v>3777</v>
      </c>
      <c r="D666" s="36" t="s">
        <v>868</v>
      </c>
      <c r="E666" s="73" t="s">
        <v>1070</v>
      </c>
      <c r="F666" s="38" t="s">
        <v>3778</v>
      </c>
      <c r="G666" s="37" t="s">
        <v>3779</v>
      </c>
      <c r="H666" s="37" t="s">
        <v>3760</v>
      </c>
      <c r="I666" s="38" t="s">
        <v>320</v>
      </c>
      <c r="J666" s="39" t="s">
        <v>317</v>
      </c>
      <c r="K666" s="39" t="s">
        <v>16</v>
      </c>
      <c r="L666" s="39" t="s">
        <v>27</v>
      </c>
      <c r="M666" s="39">
        <v>11</v>
      </c>
      <c r="N666" s="86">
        <v>300</v>
      </c>
      <c r="O666" s="41">
        <v>370</v>
      </c>
      <c r="P666" s="86" t="s">
        <v>1017</v>
      </c>
      <c r="Q666" s="143"/>
      <c r="R666" s="78"/>
      <c r="S666" s="87" t="s">
        <v>415</v>
      </c>
      <c r="T666" s="87" t="s">
        <v>415</v>
      </c>
      <c r="U666" s="36">
        <v>44816</v>
      </c>
      <c r="V666" s="40">
        <f t="shared" si="107"/>
        <v>370</v>
      </c>
      <c r="W666" s="43">
        <f t="shared" si="108"/>
        <v>0</v>
      </c>
    </row>
    <row r="667" spans="1:23" ht="38.25" x14ac:dyDescent="0.25">
      <c r="A667" s="45" t="s">
        <v>2783</v>
      </c>
      <c r="B667" s="46">
        <v>44824</v>
      </c>
      <c r="C667" s="45" t="s">
        <v>3780</v>
      </c>
      <c r="D667" s="46" t="s">
        <v>2522</v>
      </c>
      <c r="E667" s="72" t="s">
        <v>1066</v>
      </c>
      <c r="F667" s="48" t="s">
        <v>3781</v>
      </c>
      <c r="G667" s="47" t="s">
        <v>3782</v>
      </c>
      <c r="H667" s="47" t="s">
        <v>3783</v>
      </c>
      <c r="I667" s="48" t="s">
        <v>320</v>
      </c>
      <c r="J667" s="48" t="s">
        <v>317</v>
      </c>
      <c r="K667" s="49" t="s">
        <v>432</v>
      </c>
      <c r="L667" s="49" t="s">
        <v>480</v>
      </c>
      <c r="M667" s="49">
        <v>1</v>
      </c>
      <c r="N667" s="80">
        <v>300</v>
      </c>
      <c r="O667" s="51">
        <v>300</v>
      </c>
      <c r="P667" s="81" t="s">
        <v>1017</v>
      </c>
      <c r="Q667" s="142"/>
      <c r="R667" s="76"/>
      <c r="S667" s="81" t="s">
        <v>415</v>
      </c>
      <c r="T667" s="81" t="s">
        <v>415</v>
      </c>
      <c r="U667" s="46">
        <v>44824</v>
      </c>
      <c r="V667" s="50">
        <f t="shared" si="107"/>
        <v>300</v>
      </c>
      <c r="W667" s="53">
        <f t="shared" si="108"/>
        <v>0</v>
      </c>
    </row>
    <row r="668" spans="1:23" ht="25.5" x14ac:dyDescent="0.25">
      <c r="A668" s="35" t="s">
        <v>2784</v>
      </c>
      <c r="B668" s="36">
        <v>44820</v>
      </c>
      <c r="C668" s="35" t="s">
        <v>3784</v>
      </c>
      <c r="D668" s="36" t="s">
        <v>466</v>
      </c>
      <c r="E668" s="73" t="s">
        <v>1070</v>
      </c>
      <c r="F668" s="38" t="s">
        <v>3785</v>
      </c>
      <c r="G668" s="37" t="s">
        <v>3786</v>
      </c>
      <c r="H668" s="37" t="s">
        <v>3760</v>
      </c>
      <c r="I668" s="38" t="s">
        <v>320</v>
      </c>
      <c r="J668" s="39" t="s">
        <v>317</v>
      </c>
      <c r="K668" s="39" t="s">
        <v>16</v>
      </c>
      <c r="L668" s="39" t="s">
        <v>27</v>
      </c>
      <c r="M668" s="39">
        <v>11</v>
      </c>
      <c r="N668" s="86">
        <v>300</v>
      </c>
      <c r="O668" s="41">
        <v>370</v>
      </c>
      <c r="P668" s="86" t="s">
        <v>1017</v>
      </c>
      <c r="Q668" s="143"/>
      <c r="R668" s="78"/>
      <c r="S668" s="87" t="s">
        <v>415</v>
      </c>
      <c r="T668" s="87" t="s">
        <v>415</v>
      </c>
      <c r="U668" s="36">
        <v>44823</v>
      </c>
      <c r="V668" s="40">
        <f t="shared" si="107"/>
        <v>370</v>
      </c>
      <c r="W668" s="43">
        <f t="shared" si="108"/>
        <v>0</v>
      </c>
    </row>
    <row r="669" spans="1:23" ht="25.5" x14ac:dyDescent="0.25">
      <c r="A669" s="45" t="s">
        <v>2785</v>
      </c>
      <c r="B669" s="46">
        <v>44820</v>
      </c>
      <c r="C669" s="45" t="s">
        <v>3787</v>
      </c>
      <c r="D669" s="46" t="s">
        <v>466</v>
      </c>
      <c r="E669" s="72" t="s">
        <v>1070</v>
      </c>
      <c r="F669" s="48" t="s">
        <v>3788</v>
      </c>
      <c r="G669" s="47" t="s">
        <v>3789</v>
      </c>
      <c r="H669" s="47" t="s">
        <v>3760</v>
      </c>
      <c r="I669" s="48" t="s">
        <v>320</v>
      </c>
      <c r="J669" s="48" t="s">
        <v>317</v>
      </c>
      <c r="K669" s="49" t="s">
        <v>16</v>
      </c>
      <c r="L669" s="49" t="s">
        <v>27</v>
      </c>
      <c r="M669" s="49">
        <v>11</v>
      </c>
      <c r="N669" s="80">
        <v>300</v>
      </c>
      <c r="O669" s="51">
        <v>370</v>
      </c>
      <c r="P669" s="81" t="s">
        <v>1017</v>
      </c>
      <c r="Q669" s="142"/>
      <c r="R669" s="76"/>
      <c r="S669" s="81" t="s">
        <v>415</v>
      </c>
      <c r="T669" s="81" t="s">
        <v>415</v>
      </c>
      <c r="U669" s="46">
        <v>44823</v>
      </c>
      <c r="V669" s="50">
        <f t="shared" si="107"/>
        <v>370</v>
      </c>
      <c r="W669" s="53">
        <f t="shared" si="108"/>
        <v>0</v>
      </c>
    </row>
    <row r="670" spans="1:23" ht="25.5" x14ac:dyDescent="0.25">
      <c r="A670" s="35" t="s">
        <v>2786</v>
      </c>
      <c r="B670" s="36">
        <v>44820</v>
      </c>
      <c r="C670" s="35" t="s">
        <v>3790</v>
      </c>
      <c r="D670" s="36" t="s">
        <v>466</v>
      </c>
      <c r="E670" s="73" t="s">
        <v>1070</v>
      </c>
      <c r="F670" s="38" t="s">
        <v>3791</v>
      </c>
      <c r="G670" s="37" t="s">
        <v>3792</v>
      </c>
      <c r="H670" s="37" t="s">
        <v>3760</v>
      </c>
      <c r="I670" s="38" t="s">
        <v>320</v>
      </c>
      <c r="J670" s="39" t="s">
        <v>317</v>
      </c>
      <c r="K670" s="39" t="s">
        <v>16</v>
      </c>
      <c r="L670" s="39" t="s">
        <v>27</v>
      </c>
      <c r="M670" s="39">
        <v>11</v>
      </c>
      <c r="N670" s="86">
        <v>300</v>
      </c>
      <c r="O670" s="41">
        <v>370</v>
      </c>
      <c r="P670" s="86" t="s">
        <v>1017</v>
      </c>
      <c r="Q670" s="143"/>
      <c r="R670" s="78"/>
      <c r="S670" s="87" t="s">
        <v>415</v>
      </c>
      <c r="T670" s="87" t="s">
        <v>415</v>
      </c>
      <c r="U670" s="36">
        <v>44823</v>
      </c>
      <c r="V670" s="40">
        <v>370</v>
      </c>
      <c r="W670" s="43">
        <f t="shared" si="108"/>
        <v>0</v>
      </c>
    </row>
    <row r="671" spans="1:23" ht="25.5" x14ac:dyDescent="0.25">
      <c r="A671" s="45" t="s">
        <v>2787</v>
      </c>
      <c r="B671" s="46">
        <v>44819</v>
      </c>
      <c r="C671" s="45" t="s">
        <v>3793</v>
      </c>
      <c r="D671" s="46" t="s">
        <v>999</v>
      </c>
      <c r="E671" s="72" t="s">
        <v>1064</v>
      </c>
      <c r="F671" s="48" t="s">
        <v>3794</v>
      </c>
      <c r="G671" s="47" t="s">
        <v>3795</v>
      </c>
      <c r="H671" s="47" t="s">
        <v>3796</v>
      </c>
      <c r="I671" s="48" t="s">
        <v>320</v>
      </c>
      <c r="J671" s="48" t="s">
        <v>317</v>
      </c>
      <c r="K671" s="49" t="s">
        <v>432</v>
      </c>
      <c r="L671" s="49" t="s">
        <v>480</v>
      </c>
      <c r="M671" s="49">
        <v>1</v>
      </c>
      <c r="N671" s="80">
        <v>300</v>
      </c>
      <c r="O671" s="51">
        <v>300</v>
      </c>
      <c r="P671" s="81" t="s">
        <v>1017</v>
      </c>
      <c r="Q671" s="142"/>
      <c r="R671" s="76"/>
      <c r="S671" s="81" t="s">
        <v>415</v>
      </c>
      <c r="T671" s="81" t="s">
        <v>415</v>
      </c>
      <c r="U671" s="46">
        <v>44820</v>
      </c>
      <c r="V671" s="50">
        <f t="shared" si="107"/>
        <v>300</v>
      </c>
      <c r="W671" s="53">
        <f t="shared" si="108"/>
        <v>0</v>
      </c>
    </row>
    <row r="672" spans="1:23" ht="25.5" x14ac:dyDescent="0.25">
      <c r="A672" s="35" t="s">
        <v>2788</v>
      </c>
      <c r="B672" s="36">
        <v>44753</v>
      </c>
      <c r="C672" s="35" t="s">
        <v>3797</v>
      </c>
      <c r="D672" s="36" t="s">
        <v>868</v>
      </c>
      <c r="E672" s="73" t="s">
        <v>1070</v>
      </c>
      <c r="F672" s="38" t="s">
        <v>3799</v>
      </c>
      <c r="G672" s="37" t="s">
        <v>3798</v>
      </c>
      <c r="H672" s="37" t="s">
        <v>3760</v>
      </c>
      <c r="I672" s="38" t="s">
        <v>320</v>
      </c>
      <c r="J672" s="39" t="s">
        <v>317</v>
      </c>
      <c r="K672" s="39" t="s">
        <v>16</v>
      </c>
      <c r="L672" s="39" t="s">
        <v>27</v>
      </c>
      <c r="M672" s="39">
        <v>11</v>
      </c>
      <c r="N672" s="86">
        <v>300</v>
      </c>
      <c r="O672" s="41">
        <v>370</v>
      </c>
      <c r="P672" s="86" t="s">
        <v>1017</v>
      </c>
      <c r="Q672" s="143"/>
      <c r="R672" s="78"/>
      <c r="S672" s="87" t="s">
        <v>415</v>
      </c>
      <c r="T672" s="87" t="s">
        <v>415</v>
      </c>
      <c r="U672" s="36">
        <v>44820</v>
      </c>
      <c r="V672" s="40">
        <f t="shared" si="107"/>
        <v>370</v>
      </c>
      <c r="W672" s="43">
        <f t="shared" si="108"/>
        <v>0</v>
      </c>
    </row>
    <row r="673" spans="1:23" ht="38.25" x14ac:dyDescent="0.25">
      <c r="A673" s="45" t="s">
        <v>2789</v>
      </c>
      <c r="B673" s="46">
        <v>44714</v>
      </c>
      <c r="C673" s="45" t="s">
        <v>3800</v>
      </c>
      <c r="D673" s="46" t="s">
        <v>3455</v>
      </c>
      <c r="E673" s="72" t="s">
        <v>1080</v>
      </c>
      <c r="F673" s="48" t="s">
        <v>3815</v>
      </c>
      <c r="G673" s="47" t="s">
        <v>3816</v>
      </c>
      <c r="H673" s="47" t="s">
        <v>3817</v>
      </c>
      <c r="I673" s="48" t="s">
        <v>3818</v>
      </c>
      <c r="J673" s="48" t="s">
        <v>3819</v>
      </c>
      <c r="K673" s="49" t="s">
        <v>432</v>
      </c>
      <c r="L673" s="49" t="s">
        <v>480</v>
      </c>
      <c r="M673" s="49">
        <v>1</v>
      </c>
      <c r="N673" s="80">
        <v>300</v>
      </c>
      <c r="O673" s="51">
        <v>300</v>
      </c>
      <c r="P673" s="81" t="str">
        <f t="shared" si="110"/>
        <v>OK</v>
      </c>
      <c r="Q673" s="142"/>
      <c r="R673" s="76"/>
      <c r="S673" s="81" t="str">
        <f t="shared" si="111"/>
        <v/>
      </c>
      <c r="T673" s="81" t="str">
        <f t="shared" si="112"/>
        <v/>
      </c>
      <c r="U673" s="46">
        <v>44796</v>
      </c>
      <c r="V673" s="50">
        <f t="shared" si="107"/>
        <v>300</v>
      </c>
      <c r="W673" s="53">
        <f t="shared" si="108"/>
        <v>0</v>
      </c>
    </row>
    <row r="674" spans="1:23" ht="25.5" x14ac:dyDescent="0.25">
      <c r="A674" s="35" t="s">
        <v>2790</v>
      </c>
      <c r="B674" s="36">
        <v>44796</v>
      </c>
      <c r="C674" s="35" t="s">
        <v>3801</v>
      </c>
      <c r="D674" s="36" t="s">
        <v>466</v>
      </c>
      <c r="E674" s="73" t="s">
        <v>1070</v>
      </c>
      <c r="F674" s="38" t="s">
        <v>3820</v>
      </c>
      <c r="G674" s="37" t="s">
        <v>3821</v>
      </c>
      <c r="H674" s="37" t="s">
        <v>2163</v>
      </c>
      <c r="I674" s="38" t="s">
        <v>320</v>
      </c>
      <c r="J674" s="39" t="s">
        <v>317</v>
      </c>
      <c r="K674" s="39" t="s">
        <v>16</v>
      </c>
      <c r="L674" s="39" t="s">
        <v>27</v>
      </c>
      <c r="M674" s="39">
        <v>11</v>
      </c>
      <c r="N674" s="86">
        <v>300</v>
      </c>
      <c r="O674" s="41">
        <v>370</v>
      </c>
      <c r="P674" s="86" t="str">
        <f t="shared" si="110"/>
        <v>OK</v>
      </c>
      <c r="Q674" s="143"/>
      <c r="R674" s="78"/>
      <c r="S674" s="87" t="str">
        <f t="shared" si="111"/>
        <v/>
      </c>
      <c r="T674" s="87" t="str">
        <f t="shared" si="112"/>
        <v/>
      </c>
      <c r="U674" s="36">
        <v>44796</v>
      </c>
      <c r="V674" s="40">
        <f t="shared" si="107"/>
        <v>370</v>
      </c>
      <c r="W674" s="43">
        <f t="shared" si="108"/>
        <v>0</v>
      </c>
    </row>
    <row r="675" spans="1:23" ht="25.5" x14ac:dyDescent="0.25">
      <c r="A675" s="45" t="s">
        <v>2791</v>
      </c>
      <c r="B675" s="46">
        <v>44803</v>
      </c>
      <c r="C675" s="45" t="s">
        <v>3802</v>
      </c>
      <c r="D675" s="46" t="s">
        <v>466</v>
      </c>
      <c r="E675" s="72" t="s">
        <v>1070</v>
      </c>
      <c r="F675" s="48" t="s">
        <v>3822</v>
      </c>
      <c r="G675" s="47" t="s">
        <v>3823</v>
      </c>
      <c r="H675" s="47" t="s">
        <v>2163</v>
      </c>
      <c r="I675" s="48" t="s">
        <v>320</v>
      </c>
      <c r="J675" s="48" t="s">
        <v>317</v>
      </c>
      <c r="K675" s="49" t="s">
        <v>16</v>
      </c>
      <c r="L675" s="49" t="s">
        <v>27</v>
      </c>
      <c r="M675" s="49">
        <v>11</v>
      </c>
      <c r="N675" s="80">
        <v>300</v>
      </c>
      <c r="O675" s="51">
        <v>370</v>
      </c>
      <c r="P675" s="81" t="s">
        <v>1017</v>
      </c>
      <c r="Q675" s="142"/>
      <c r="R675" s="76"/>
      <c r="S675" s="81" t="s">
        <v>415</v>
      </c>
      <c r="T675" s="81" t="s">
        <v>415</v>
      </c>
      <c r="U675" s="46">
        <v>44796</v>
      </c>
      <c r="V675" s="50">
        <f t="shared" si="107"/>
        <v>370</v>
      </c>
      <c r="W675" s="53">
        <f t="shared" si="108"/>
        <v>0</v>
      </c>
    </row>
    <row r="676" spans="1:23" ht="38.25" x14ac:dyDescent="0.25">
      <c r="A676" s="35" t="s">
        <v>2792</v>
      </c>
      <c r="B676" s="36">
        <v>44771</v>
      </c>
      <c r="C676" s="35" t="s">
        <v>3814</v>
      </c>
      <c r="D676" s="36" t="s">
        <v>1079</v>
      </c>
      <c r="E676" s="73" t="s">
        <v>980</v>
      </c>
      <c r="F676" s="38" t="s">
        <v>3824</v>
      </c>
      <c r="G676" s="37" t="s">
        <v>3825</v>
      </c>
      <c r="H676" s="37" t="s">
        <v>3826</v>
      </c>
      <c r="I676" s="38" t="s">
        <v>2238</v>
      </c>
      <c r="J676" s="39" t="s">
        <v>2239</v>
      </c>
      <c r="K676" s="39" t="s">
        <v>31</v>
      </c>
      <c r="L676" s="39" t="s">
        <v>1413</v>
      </c>
      <c r="M676" s="39">
        <v>15</v>
      </c>
      <c r="N676" s="86">
        <f t="shared" si="109"/>
        <v>370</v>
      </c>
      <c r="O676" s="41">
        <v>350</v>
      </c>
      <c r="P676" s="86" t="str">
        <f t="shared" si="110"/>
        <v>OK</v>
      </c>
      <c r="Q676" s="143"/>
      <c r="R676" s="78"/>
      <c r="S676" s="87" t="str">
        <f t="shared" si="111"/>
        <v/>
      </c>
      <c r="T676" s="87" t="str">
        <f t="shared" si="112"/>
        <v/>
      </c>
      <c r="U676" s="36">
        <v>44803</v>
      </c>
      <c r="V676" s="40">
        <f t="shared" ref="V676:V739" si="113">IF(M676="","",O676-R676)</f>
        <v>350</v>
      </c>
      <c r="W676" s="43">
        <f t="shared" ref="W676:W739" si="114">IF(M676="","",IF(AND(M676&gt;0,U676=""),V676,O676-(R676+V676)))</f>
        <v>0</v>
      </c>
    </row>
    <row r="677" spans="1:23" ht="38.25" x14ac:dyDescent="0.25">
      <c r="A677" s="45" t="s">
        <v>2793</v>
      </c>
      <c r="B677" s="46">
        <v>44802</v>
      </c>
      <c r="C677" s="45" t="s">
        <v>3803</v>
      </c>
      <c r="D677" s="46" t="s">
        <v>1770</v>
      </c>
      <c r="E677" s="72" t="s">
        <v>1771</v>
      </c>
      <c r="F677" s="48" t="s">
        <v>3827</v>
      </c>
      <c r="G677" s="47" t="s">
        <v>3828</v>
      </c>
      <c r="H677" s="47" t="s">
        <v>3829</v>
      </c>
      <c r="I677" s="48" t="s">
        <v>3830</v>
      </c>
      <c r="J677" s="48" t="s">
        <v>3831</v>
      </c>
      <c r="K677" s="49" t="s">
        <v>31</v>
      </c>
      <c r="L677" s="49" t="s">
        <v>1413</v>
      </c>
      <c r="M677" s="49">
        <v>15</v>
      </c>
      <c r="N677" s="80">
        <f t="shared" si="109"/>
        <v>370</v>
      </c>
      <c r="O677" s="51">
        <v>370</v>
      </c>
      <c r="P677" s="81" t="str">
        <f t="shared" si="110"/>
        <v>OK</v>
      </c>
      <c r="Q677" s="142"/>
      <c r="R677" s="76"/>
      <c r="S677" s="81" t="str">
        <f t="shared" si="111"/>
        <v/>
      </c>
      <c r="T677" s="81" t="str">
        <f t="shared" si="112"/>
        <v/>
      </c>
      <c r="U677" s="46">
        <v>44803</v>
      </c>
      <c r="V677" s="50">
        <f t="shared" si="113"/>
        <v>370</v>
      </c>
      <c r="W677" s="53">
        <f t="shared" si="114"/>
        <v>0</v>
      </c>
    </row>
    <row r="678" spans="1:23" ht="25.5" x14ac:dyDescent="0.25">
      <c r="A678" s="35" t="s">
        <v>2794</v>
      </c>
      <c r="B678" s="36">
        <v>44806</v>
      </c>
      <c r="C678" s="35" t="s">
        <v>3804</v>
      </c>
      <c r="D678" s="36" t="s">
        <v>1079</v>
      </c>
      <c r="E678" s="73" t="s">
        <v>980</v>
      </c>
      <c r="F678" s="38" t="s">
        <v>3832</v>
      </c>
      <c r="G678" s="37" t="s">
        <v>3833</v>
      </c>
      <c r="H678" s="37" t="s">
        <v>3834</v>
      </c>
      <c r="I678" s="38" t="s">
        <v>2238</v>
      </c>
      <c r="J678" s="39" t="s">
        <v>2239</v>
      </c>
      <c r="K678" s="39" t="s">
        <v>31</v>
      </c>
      <c r="L678" s="39" t="s">
        <v>1413</v>
      </c>
      <c r="M678" s="39">
        <v>15</v>
      </c>
      <c r="N678" s="86">
        <v>370</v>
      </c>
      <c r="O678" s="41">
        <v>350</v>
      </c>
      <c r="P678" s="86" t="s">
        <v>1017</v>
      </c>
      <c r="Q678" s="143"/>
      <c r="R678" s="78"/>
      <c r="S678" s="87" t="s">
        <v>415</v>
      </c>
      <c r="T678" s="87" t="s">
        <v>415</v>
      </c>
      <c r="U678" s="36">
        <v>44806</v>
      </c>
      <c r="V678" s="40">
        <f t="shared" si="113"/>
        <v>350</v>
      </c>
      <c r="W678" s="43">
        <f t="shared" si="114"/>
        <v>0</v>
      </c>
    </row>
    <row r="679" spans="1:23" ht="25.5" x14ac:dyDescent="0.25">
      <c r="A679" s="45" t="s">
        <v>2795</v>
      </c>
      <c r="B679" s="46">
        <v>44806</v>
      </c>
      <c r="C679" s="45" t="s">
        <v>3805</v>
      </c>
      <c r="D679" s="46" t="s">
        <v>1079</v>
      </c>
      <c r="E679" s="72" t="s">
        <v>980</v>
      </c>
      <c r="F679" s="48" t="s">
        <v>3835</v>
      </c>
      <c r="G679" s="47" t="s">
        <v>3836</v>
      </c>
      <c r="H679" s="47" t="s">
        <v>3837</v>
      </c>
      <c r="I679" s="48" t="s">
        <v>2238</v>
      </c>
      <c r="J679" s="48" t="s">
        <v>2239</v>
      </c>
      <c r="K679" s="49" t="s">
        <v>31</v>
      </c>
      <c r="L679" s="49" t="s">
        <v>1413</v>
      </c>
      <c r="M679" s="49">
        <v>15</v>
      </c>
      <c r="N679" s="80">
        <v>370</v>
      </c>
      <c r="O679" s="51">
        <v>350</v>
      </c>
      <c r="P679" s="81" t="s">
        <v>1017</v>
      </c>
      <c r="Q679" s="142"/>
      <c r="R679" s="76"/>
      <c r="S679" s="81" t="s">
        <v>415</v>
      </c>
      <c r="T679" s="81" t="s">
        <v>415</v>
      </c>
      <c r="U679" s="46">
        <v>44806</v>
      </c>
      <c r="V679" s="50">
        <f t="shared" si="113"/>
        <v>350</v>
      </c>
      <c r="W679" s="53">
        <f t="shared" si="114"/>
        <v>0</v>
      </c>
    </row>
    <row r="680" spans="1:23" ht="25.5" x14ac:dyDescent="0.25">
      <c r="A680" s="35" t="s">
        <v>2796</v>
      </c>
      <c r="B680" s="36">
        <v>44806</v>
      </c>
      <c r="C680" s="35" t="s">
        <v>3806</v>
      </c>
      <c r="D680" s="36" t="s">
        <v>3839</v>
      </c>
      <c r="E680" s="73" t="s">
        <v>3838</v>
      </c>
      <c r="F680" s="38" t="s">
        <v>3840</v>
      </c>
      <c r="G680" s="37" t="s">
        <v>3841</v>
      </c>
      <c r="H680" s="37" t="s">
        <v>3842</v>
      </c>
      <c r="I680" s="38" t="s">
        <v>2238</v>
      </c>
      <c r="J680" s="39" t="s">
        <v>2239</v>
      </c>
      <c r="K680" s="39" t="s">
        <v>31</v>
      </c>
      <c r="L680" s="39" t="s">
        <v>1413</v>
      </c>
      <c r="M680" s="39">
        <v>15</v>
      </c>
      <c r="N680" s="86">
        <v>370</v>
      </c>
      <c r="O680" s="41">
        <v>370</v>
      </c>
      <c r="P680" s="86" t="s">
        <v>1017</v>
      </c>
      <c r="Q680" s="143"/>
      <c r="R680" s="78"/>
      <c r="S680" s="87" t="s">
        <v>415</v>
      </c>
      <c r="T680" s="87" t="s">
        <v>415</v>
      </c>
      <c r="U680" s="36">
        <v>44810</v>
      </c>
      <c r="V680" s="40">
        <f t="shared" si="113"/>
        <v>370</v>
      </c>
      <c r="W680" s="43">
        <f t="shared" si="114"/>
        <v>0</v>
      </c>
    </row>
    <row r="681" spans="1:23" ht="25.5" x14ac:dyDescent="0.25">
      <c r="A681" s="45" t="s">
        <v>2797</v>
      </c>
      <c r="B681" s="46">
        <v>44810</v>
      </c>
      <c r="C681" s="45" t="s">
        <v>3807</v>
      </c>
      <c r="D681" s="46" t="s">
        <v>3839</v>
      </c>
      <c r="E681" s="72" t="s">
        <v>3838</v>
      </c>
      <c r="F681" s="48" t="s">
        <v>3843</v>
      </c>
      <c r="G681" s="47" t="s">
        <v>3844</v>
      </c>
      <c r="H681" s="47" t="s">
        <v>3845</v>
      </c>
      <c r="I681" s="48" t="s">
        <v>2238</v>
      </c>
      <c r="J681" s="48" t="s">
        <v>2239</v>
      </c>
      <c r="K681" s="49" t="s">
        <v>31</v>
      </c>
      <c r="L681" s="49" t="s">
        <v>1413</v>
      </c>
      <c r="M681" s="49">
        <v>15</v>
      </c>
      <c r="N681" s="80">
        <v>370</v>
      </c>
      <c r="O681" s="51">
        <v>370</v>
      </c>
      <c r="P681" s="81" t="s">
        <v>1017</v>
      </c>
      <c r="Q681" s="142"/>
      <c r="R681" s="76"/>
      <c r="S681" s="81" t="s">
        <v>415</v>
      </c>
      <c r="T681" s="81" t="s">
        <v>415</v>
      </c>
      <c r="U681" s="46">
        <v>44810</v>
      </c>
      <c r="V681" s="50">
        <f t="shared" si="113"/>
        <v>370</v>
      </c>
      <c r="W681" s="53">
        <f t="shared" si="114"/>
        <v>0</v>
      </c>
    </row>
    <row r="682" spans="1:23" ht="38.25" x14ac:dyDescent="0.25">
      <c r="A682" s="35" t="s">
        <v>2798</v>
      </c>
      <c r="B682" s="36">
        <v>44810</v>
      </c>
      <c r="C682" s="35" t="s">
        <v>3808</v>
      </c>
      <c r="D682" s="36" t="s">
        <v>3839</v>
      </c>
      <c r="E682" s="73" t="s">
        <v>3838</v>
      </c>
      <c r="F682" s="38" t="s">
        <v>3846</v>
      </c>
      <c r="G682" s="37" t="s">
        <v>3847</v>
      </c>
      <c r="H682" s="37" t="s">
        <v>3845</v>
      </c>
      <c r="I682" s="38" t="s">
        <v>2238</v>
      </c>
      <c r="J682" s="39" t="s">
        <v>2239</v>
      </c>
      <c r="K682" s="39" t="s">
        <v>31</v>
      </c>
      <c r="L682" s="39" t="s">
        <v>1413</v>
      </c>
      <c r="M682" s="39">
        <v>15</v>
      </c>
      <c r="N682" s="86">
        <v>370</v>
      </c>
      <c r="O682" s="41">
        <v>370</v>
      </c>
      <c r="P682" s="86" t="s">
        <v>1017</v>
      </c>
      <c r="Q682" s="143"/>
      <c r="R682" s="78"/>
      <c r="S682" s="87" t="s">
        <v>415</v>
      </c>
      <c r="T682" s="87" t="s">
        <v>415</v>
      </c>
      <c r="U682" s="36">
        <v>44810</v>
      </c>
      <c r="V682" s="40">
        <f t="shared" si="113"/>
        <v>370</v>
      </c>
      <c r="W682" s="43">
        <f t="shared" si="114"/>
        <v>0</v>
      </c>
    </row>
    <row r="683" spans="1:23" ht="38.25" x14ac:dyDescent="0.25">
      <c r="A683" s="45" t="s">
        <v>2799</v>
      </c>
      <c r="B683" s="46">
        <v>44810</v>
      </c>
      <c r="C683" s="45" t="s">
        <v>3809</v>
      </c>
      <c r="D683" s="46" t="s">
        <v>3839</v>
      </c>
      <c r="E683" s="72" t="s">
        <v>3838</v>
      </c>
      <c r="F683" s="48" t="s">
        <v>3848</v>
      </c>
      <c r="G683" s="47" t="s">
        <v>3849</v>
      </c>
      <c r="H683" s="47" t="s">
        <v>3850</v>
      </c>
      <c r="I683" s="48" t="s">
        <v>2238</v>
      </c>
      <c r="J683" s="48" t="s">
        <v>2239</v>
      </c>
      <c r="K683" s="49" t="s">
        <v>31</v>
      </c>
      <c r="L683" s="49" t="s">
        <v>1413</v>
      </c>
      <c r="M683" s="49">
        <v>15</v>
      </c>
      <c r="N683" s="80">
        <v>370</v>
      </c>
      <c r="O683" s="51">
        <v>370</v>
      </c>
      <c r="P683" s="81" t="s">
        <v>1017</v>
      </c>
      <c r="Q683" s="142"/>
      <c r="R683" s="76"/>
      <c r="S683" s="81" t="s">
        <v>415</v>
      </c>
      <c r="T683" s="81" t="s">
        <v>415</v>
      </c>
      <c r="U683" s="46">
        <v>44810</v>
      </c>
      <c r="V683" s="50">
        <f t="shared" si="113"/>
        <v>370</v>
      </c>
      <c r="W683" s="53">
        <f t="shared" si="114"/>
        <v>0</v>
      </c>
    </row>
    <row r="684" spans="1:23" ht="38.25" x14ac:dyDescent="0.25">
      <c r="A684" s="35" t="s">
        <v>2800</v>
      </c>
      <c r="B684" s="36">
        <v>44810</v>
      </c>
      <c r="C684" s="35" t="s">
        <v>3810</v>
      </c>
      <c r="D684" s="36" t="s">
        <v>3839</v>
      </c>
      <c r="E684" s="73" t="s">
        <v>3838</v>
      </c>
      <c r="F684" s="38" t="s">
        <v>3851</v>
      </c>
      <c r="G684" s="37" t="s">
        <v>3852</v>
      </c>
      <c r="H684" s="37" t="s">
        <v>3853</v>
      </c>
      <c r="I684" s="38" t="s">
        <v>2238</v>
      </c>
      <c r="J684" s="39" t="s">
        <v>2239</v>
      </c>
      <c r="K684" s="39" t="s">
        <v>31</v>
      </c>
      <c r="L684" s="39" t="s">
        <v>1413</v>
      </c>
      <c r="M684" s="39">
        <v>15</v>
      </c>
      <c r="N684" s="86">
        <v>370</v>
      </c>
      <c r="O684" s="41">
        <v>370</v>
      </c>
      <c r="P684" s="86" t="s">
        <v>1017</v>
      </c>
      <c r="Q684" s="143"/>
      <c r="R684" s="78"/>
      <c r="S684" s="87" t="s">
        <v>415</v>
      </c>
      <c r="T684" s="87" t="s">
        <v>415</v>
      </c>
      <c r="U684" s="36">
        <v>44810</v>
      </c>
      <c r="V684" s="40">
        <f t="shared" si="113"/>
        <v>370</v>
      </c>
      <c r="W684" s="43">
        <f t="shared" si="114"/>
        <v>0</v>
      </c>
    </row>
    <row r="685" spans="1:23" ht="25.5" x14ac:dyDescent="0.25">
      <c r="A685" s="45" t="s">
        <v>2801</v>
      </c>
      <c r="B685" s="46">
        <v>44810</v>
      </c>
      <c r="C685" s="45" t="s">
        <v>3811</v>
      </c>
      <c r="D685" s="46" t="s">
        <v>3839</v>
      </c>
      <c r="E685" s="72" t="s">
        <v>3838</v>
      </c>
      <c r="F685" s="48" t="s">
        <v>3854</v>
      </c>
      <c r="G685" s="47" t="s">
        <v>3855</v>
      </c>
      <c r="H685" s="47" t="s">
        <v>3856</v>
      </c>
      <c r="I685" s="48" t="s">
        <v>2238</v>
      </c>
      <c r="J685" s="48" t="s">
        <v>2239</v>
      </c>
      <c r="K685" s="49" t="s">
        <v>31</v>
      </c>
      <c r="L685" s="49" t="s">
        <v>1413</v>
      </c>
      <c r="M685" s="49">
        <v>15</v>
      </c>
      <c r="N685" s="80">
        <v>370</v>
      </c>
      <c r="O685" s="51">
        <v>370</v>
      </c>
      <c r="P685" s="81" t="s">
        <v>1017</v>
      </c>
      <c r="Q685" s="142"/>
      <c r="R685" s="76"/>
      <c r="S685" s="81" t="s">
        <v>415</v>
      </c>
      <c r="T685" s="81" t="s">
        <v>415</v>
      </c>
      <c r="U685" s="46">
        <v>44810</v>
      </c>
      <c r="V685" s="50">
        <f t="shared" si="113"/>
        <v>370</v>
      </c>
      <c r="W685" s="53">
        <f t="shared" si="114"/>
        <v>0</v>
      </c>
    </row>
    <row r="686" spans="1:23" ht="25.5" x14ac:dyDescent="0.25">
      <c r="A686" s="35" t="s">
        <v>2802</v>
      </c>
      <c r="B686" s="36">
        <v>44810</v>
      </c>
      <c r="C686" s="35" t="s">
        <v>3812</v>
      </c>
      <c r="D686" s="36" t="s">
        <v>3839</v>
      </c>
      <c r="E686" s="73" t="s">
        <v>3838</v>
      </c>
      <c r="F686" s="38" t="s">
        <v>3857</v>
      </c>
      <c r="G686" s="37" t="s">
        <v>3858</v>
      </c>
      <c r="H686" s="37" t="s">
        <v>3845</v>
      </c>
      <c r="I686" s="38" t="s">
        <v>2238</v>
      </c>
      <c r="J686" s="39" t="s">
        <v>2239</v>
      </c>
      <c r="K686" s="39" t="s">
        <v>31</v>
      </c>
      <c r="L686" s="39" t="s">
        <v>1413</v>
      </c>
      <c r="M686" s="39">
        <v>15</v>
      </c>
      <c r="N686" s="86">
        <v>370</v>
      </c>
      <c r="O686" s="41">
        <v>370</v>
      </c>
      <c r="P686" s="86" t="s">
        <v>1017</v>
      </c>
      <c r="Q686" s="143"/>
      <c r="R686" s="78"/>
      <c r="S686" s="87" t="s">
        <v>415</v>
      </c>
      <c r="T686" s="87" t="s">
        <v>415</v>
      </c>
      <c r="U686" s="36">
        <v>44810</v>
      </c>
      <c r="V686" s="40">
        <f t="shared" si="113"/>
        <v>370</v>
      </c>
      <c r="W686" s="43">
        <f t="shared" si="114"/>
        <v>0</v>
      </c>
    </row>
    <row r="687" spans="1:23" ht="25.5" x14ac:dyDescent="0.25">
      <c r="A687" s="45" t="s">
        <v>2803</v>
      </c>
      <c r="B687" s="46">
        <v>44810</v>
      </c>
      <c r="C687" s="45" t="s">
        <v>3813</v>
      </c>
      <c r="D687" s="46" t="s">
        <v>3839</v>
      </c>
      <c r="E687" s="72" t="s">
        <v>3838</v>
      </c>
      <c r="F687" s="48" t="s">
        <v>3859</v>
      </c>
      <c r="G687" s="47" t="s">
        <v>3860</v>
      </c>
      <c r="H687" s="47" t="s">
        <v>3860</v>
      </c>
      <c r="I687" s="48" t="s">
        <v>2238</v>
      </c>
      <c r="J687" s="48" t="s">
        <v>2239</v>
      </c>
      <c r="K687" s="49" t="s">
        <v>31</v>
      </c>
      <c r="L687" s="49" t="s">
        <v>1413</v>
      </c>
      <c r="M687" s="49">
        <v>15</v>
      </c>
      <c r="N687" s="80">
        <v>370</v>
      </c>
      <c r="O687" s="51">
        <v>370</v>
      </c>
      <c r="P687" s="81" t="s">
        <v>1017</v>
      </c>
      <c r="Q687" s="142"/>
      <c r="R687" s="76"/>
      <c r="S687" s="81" t="s">
        <v>415</v>
      </c>
      <c r="T687" s="81" t="s">
        <v>415</v>
      </c>
      <c r="U687" s="46">
        <v>44810</v>
      </c>
      <c r="V687" s="50">
        <f t="shared" si="113"/>
        <v>370</v>
      </c>
      <c r="W687" s="53">
        <f t="shared" si="114"/>
        <v>0</v>
      </c>
    </row>
    <row r="688" spans="1:23" ht="25.5" x14ac:dyDescent="0.25">
      <c r="A688" s="35" t="s">
        <v>2804</v>
      </c>
      <c r="B688" s="36">
        <v>44816</v>
      </c>
      <c r="C688" s="35" t="s">
        <v>3861</v>
      </c>
      <c r="D688" s="36" t="s">
        <v>3839</v>
      </c>
      <c r="E688" s="73" t="s">
        <v>3838</v>
      </c>
      <c r="F688" s="38" t="s">
        <v>3862</v>
      </c>
      <c r="G688" s="37" t="s">
        <v>3863</v>
      </c>
      <c r="H688" s="37" t="s">
        <v>3864</v>
      </c>
      <c r="I688" s="38" t="s">
        <v>2238</v>
      </c>
      <c r="J688" s="39" t="s">
        <v>2239</v>
      </c>
      <c r="K688" s="39" t="s">
        <v>31</v>
      </c>
      <c r="L688" s="39" t="s">
        <v>1413</v>
      </c>
      <c r="M688" s="39">
        <v>15</v>
      </c>
      <c r="N688" s="86">
        <v>370</v>
      </c>
      <c r="O688" s="41">
        <v>370</v>
      </c>
      <c r="P688" s="86" t="s">
        <v>1017</v>
      </c>
      <c r="Q688" s="143"/>
      <c r="R688" s="78"/>
      <c r="S688" s="87" t="s">
        <v>415</v>
      </c>
      <c r="T688" s="87" t="s">
        <v>415</v>
      </c>
      <c r="U688" s="36">
        <v>44816</v>
      </c>
      <c r="V688" s="40">
        <f t="shared" si="113"/>
        <v>370</v>
      </c>
      <c r="W688" s="43">
        <f t="shared" si="114"/>
        <v>0</v>
      </c>
    </row>
    <row r="689" spans="1:23" ht="63.75" x14ac:dyDescent="0.25">
      <c r="A689" s="45" t="s">
        <v>2805</v>
      </c>
      <c r="B689" s="46">
        <v>44820</v>
      </c>
      <c r="C689" s="45" t="s">
        <v>3865</v>
      </c>
      <c r="D689" s="46" t="s">
        <v>1079</v>
      </c>
      <c r="E689" s="72" t="s">
        <v>980</v>
      </c>
      <c r="F689" s="48" t="s">
        <v>3866</v>
      </c>
      <c r="G689" s="47" t="s">
        <v>3867</v>
      </c>
      <c r="H689" s="47" t="s">
        <v>3868</v>
      </c>
      <c r="I689" s="48" t="s">
        <v>2238</v>
      </c>
      <c r="J689" s="48" t="s">
        <v>2239</v>
      </c>
      <c r="K689" s="49" t="s">
        <v>31</v>
      </c>
      <c r="L689" s="49" t="s">
        <v>1413</v>
      </c>
      <c r="M689" s="49">
        <v>15</v>
      </c>
      <c r="N689" s="80">
        <v>370</v>
      </c>
      <c r="O689" s="51">
        <v>240</v>
      </c>
      <c r="P689" s="81" t="s">
        <v>1017</v>
      </c>
      <c r="Q689" s="142"/>
      <c r="R689" s="76"/>
      <c r="S689" s="81" t="s">
        <v>415</v>
      </c>
      <c r="T689" s="81" t="s">
        <v>415</v>
      </c>
      <c r="U689" s="46">
        <v>44820</v>
      </c>
      <c r="V689" s="50">
        <f t="shared" si="113"/>
        <v>240</v>
      </c>
      <c r="W689" s="53">
        <f t="shared" si="114"/>
        <v>0</v>
      </c>
    </row>
    <row r="690" spans="1:23" ht="25.5" x14ac:dyDescent="0.25">
      <c r="A690" s="35" t="s">
        <v>2806</v>
      </c>
      <c r="B690" s="36">
        <v>44784</v>
      </c>
      <c r="C690" s="35" t="s">
        <v>3869</v>
      </c>
      <c r="D690" s="36" t="s">
        <v>868</v>
      </c>
      <c r="E690" s="73" t="s">
        <v>1070</v>
      </c>
      <c r="F690" s="38" t="s">
        <v>3870</v>
      </c>
      <c r="G690" s="37" t="s">
        <v>3871</v>
      </c>
      <c r="H690" s="37" t="s">
        <v>3872</v>
      </c>
      <c r="I690" s="38" t="s">
        <v>320</v>
      </c>
      <c r="J690" s="39" t="s">
        <v>317</v>
      </c>
      <c r="K690" s="39" t="s">
        <v>16</v>
      </c>
      <c r="L690" s="39" t="s">
        <v>27</v>
      </c>
      <c r="M690" s="39">
        <v>11</v>
      </c>
      <c r="N690" s="86">
        <v>300</v>
      </c>
      <c r="O690" s="41">
        <v>370</v>
      </c>
      <c r="P690" s="86" t="s">
        <v>1017</v>
      </c>
      <c r="Q690" s="143"/>
      <c r="R690" s="78"/>
      <c r="S690" s="87" t="s">
        <v>415</v>
      </c>
      <c r="T690" s="87" t="s">
        <v>415</v>
      </c>
      <c r="U690" s="36">
        <v>37511</v>
      </c>
      <c r="V690" s="40">
        <f t="shared" si="113"/>
        <v>370</v>
      </c>
      <c r="W690" s="43">
        <f t="shared" si="114"/>
        <v>0</v>
      </c>
    </row>
    <row r="691" spans="1:23" ht="25.5" x14ac:dyDescent="0.25">
      <c r="A691" s="45" t="s">
        <v>2807</v>
      </c>
      <c r="B691" s="46">
        <v>44813</v>
      </c>
      <c r="C691" s="45" t="s">
        <v>3873</v>
      </c>
      <c r="D691" s="46" t="s">
        <v>3874</v>
      </c>
      <c r="E691" s="72" t="s">
        <v>3875</v>
      </c>
      <c r="F691" s="48" t="s">
        <v>3876</v>
      </c>
      <c r="G691" s="47" t="s">
        <v>3877</v>
      </c>
      <c r="H691" s="47" t="s">
        <v>437</v>
      </c>
      <c r="I691" s="48" t="s">
        <v>3878</v>
      </c>
      <c r="J691" s="48" t="s">
        <v>3879</v>
      </c>
      <c r="K691" s="49" t="s">
        <v>31</v>
      </c>
      <c r="L691" s="49" t="s">
        <v>29</v>
      </c>
      <c r="M691" s="49">
        <v>15</v>
      </c>
      <c r="N691" s="80">
        <v>300</v>
      </c>
      <c r="O691" s="51">
        <v>300</v>
      </c>
      <c r="P691" s="81" t="s">
        <v>1017</v>
      </c>
      <c r="Q691" s="142"/>
      <c r="R691" s="76"/>
      <c r="S691" s="81" t="s">
        <v>415</v>
      </c>
      <c r="T691" s="81" t="s">
        <v>415</v>
      </c>
      <c r="U691" s="46">
        <v>37511</v>
      </c>
      <c r="V691" s="50">
        <f t="shared" si="113"/>
        <v>300</v>
      </c>
      <c r="W691" s="53">
        <f t="shared" si="114"/>
        <v>0</v>
      </c>
    </row>
    <row r="692" spans="1:23" ht="63.75" x14ac:dyDescent="0.25">
      <c r="A692" s="35" t="s">
        <v>2808</v>
      </c>
      <c r="B692" s="36">
        <v>44805</v>
      </c>
      <c r="C692" s="35" t="s">
        <v>3880</v>
      </c>
      <c r="D692" s="36" t="s">
        <v>868</v>
      </c>
      <c r="E692" s="73" t="s">
        <v>1070</v>
      </c>
      <c r="F692" s="38" t="s">
        <v>3881</v>
      </c>
      <c r="G692" s="37" t="s">
        <v>3882</v>
      </c>
      <c r="H692" s="37" t="s">
        <v>3883</v>
      </c>
      <c r="I692" s="38" t="s">
        <v>328</v>
      </c>
      <c r="J692" s="39" t="s">
        <v>2972</v>
      </c>
      <c r="K692" s="39" t="s">
        <v>31</v>
      </c>
      <c r="L692" s="39" t="s">
        <v>29</v>
      </c>
      <c r="M692" s="39">
        <v>15</v>
      </c>
      <c r="N692" s="86">
        <v>300</v>
      </c>
      <c r="O692" s="41">
        <v>370</v>
      </c>
      <c r="P692" s="86" t="s">
        <v>1017</v>
      </c>
      <c r="Q692" s="143"/>
      <c r="R692" s="78"/>
      <c r="S692" s="87" t="s">
        <v>415</v>
      </c>
      <c r="T692" s="87" t="s">
        <v>415</v>
      </c>
      <c r="U692" s="36">
        <v>44824</v>
      </c>
      <c r="V692" s="40">
        <f t="shared" si="113"/>
        <v>370</v>
      </c>
      <c r="W692" s="43">
        <f t="shared" si="114"/>
        <v>0</v>
      </c>
    </row>
    <row r="693" spans="1:23" ht="25.5" x14ac:dyDescent="0.25">
      <c r="A693" s="45" t="s">
        <v>2809</v>
      </c>
      <c r="B693" s="46">
        <v>44820</v>
      </c>
      <c r="C693" s="45" t="s">
        <v>3884</v>
      </c>
      <c r="D693" s="46" t="s">
        <v>1000</v>
      </c>
      <c r="E693" s="72" t="s">
        <v>1064</v>
      </c>
      <c r="F693" s="48" t="s">
        <v>3885</v>
      </c>
      <c r="G693" s="47" t="s">
        <v>3899</v>
      </c>
      <c r="H693" s="47" t="s">
        <v>3886</v>
      </c>
      <c r="I693" s="48" t="s">
        <v>2322</v>
      </c>
      <c r="J693" s="48" t="s">
        <v>2323</v>
      </c>
      <c r="K693" s="49" t="s">
        <v>37</v>
      </c>
      <c r="L693" s="49"/>
      <c r="M693" s="49">
        <v>16</v>
      </c>
      <c r="N693" s="80">
        <v>300</v>
      </c>
      <c r="O693" s="51">
        <v>300</v>
      </c>
      <c r="P693" s="81" t="s">
        <v>1017</v>
      </c>
      <c r="Q693" s="142"/>
      <c r="R693" s="76"/>
      <c r="S693" s="81" t="s">
        <v>415</v>
      </c>
      <c r="T693" s="81" t="s">
        <v>415</v>
      </c>
      <c r="U693" s="46">
        <v>44820</v>
      </c>
      <c r="V693" s="50">
        <f t="shared" si="113"/>
        <v>300</v>
      </c>
      <c r="W693" s="53">
        <f t="shared" si="114"/>
        <v>0</v>
      </c>
    </row>
    <row r="694" spans="1:23" ht="38.25" x14ac:dyDescent="0.25">
      <c r="A694" s="35" t="s">
        <v>2810</v>
      </c>
      <c r="B694" s="36" t="s">
        <v>3888</v>
      </c>
      <c r="C694" s="35" t="s">
        <v>3887</v>
      </c>
      <c r="D694" s="36" t="s">
        <v>1002</v>
      </c>
      <c r="E694" s="73" t="s">
        <v>1080</v>
      </c>
      <c r="F694" s="38" t="s">
        <v>3889</v>
      </c>
      <c r="G694" s="37" t="s">
        <v>3890</v>
      </c>
      <c r="H694" s="37" t="s">
        <v>3891</v>
      </c>
      <c r="I694" s="38" t="s">
        <v>3405</v>
      </c>
      <c r="J694" s="39" t="s">
        <v>3406</v>
      </c>
      <c r="K694" s="39" t="s">
        <v>16</v>
      </c>
      <c r="L694" s="39" t="s">
        <v>29</v>
      </c>
      <c r="M694" s="39">
        <v>12</v>
      </c>
      <c r="N694" s="86">
        <v>300</v>
      </c>
      <c r="O694" s="41">
        <v>370</v>
      </c>
      <c r="P694" s="86" t="s">
        <v>1017</v>
      </c>
      <c r="Q694" s="143"/>
      <c r="R694" s="78"/>
      <c r="S694" s="87" t="s">
        <v>415</v>
      </c>
      <c r="T694" s="87" t="s">
        <v>415</v>
      </c>
      <c r="U694" s="36">
        <v>44824</v>
      </c>
      <c r="V694" s="40">
        <f t="shared" si="113"/>
        <v>370</v>
      </c>
      <c r="W694" s="43">
        <f t="shared" si="114"/>
        <v>0</v>
      </c>
    </row>
    <row r="695" spans="1:23" ht="25.5" x14ac:dyDescent="0.25">
      <c r="A695" s="45" t="s">
        <v>2811</v>
      </c>
      <c r="B695" s="46">
        <v>44816</v>
      </c>
      <c r="C695" s="45" t="s">
        <v>3893</v>
      </c>
      <c r="D695" s="46" t="s">
        <v>1173</v>
      </c>
      <c r="E695" s="72" t="s">
        <v>1311</v>
      </c>
      <c r="F695" s="48" t="s">
        <v>3892</v>
      </c>
      <c r="G695" s="47" t="s">
        <v>3894</v>
      </c>
      <c r="H695" s="47" t="s">
        <v>3895</v>
      </c>
      <c r="I695" s="48" t="s">
        <v>1189</v>
      </c>
      <c r="J695" s="48" t="s">
        <v>743</v>
      </c>
      <c r="K695" s="49" t="s">
        <v>31</v>
      </c>
      <c r="L695" s="49" t="s">
        <v>29</v>
      </c>
      <c r="M695" s="49">
        <v>15</v>
      </c>
      <c r="N695" s="80">
        <v>300</v>
      </c>
      <c r="O695" s="51">
        <v>370</v>
      </c>
      <c r="P695" s="81" t="s">
        <v>1017</v>
      </c>
      <c r="Q695" s="142"/>
      <c r="R695" s="76"/>
      <c r="S695" s="81" t="s">
        <v>415</v>
      </c>
      <c r="T695" s="81" t="s">
        <v>415</v>
      </c>
      <c r="U695" s="46">
        <v>44816</v>
      </c>
      <c r="V695" s="50">
        <f t="shared" si="113"/>
        <v>370</v>
      </c>
      <c r="W695" s="53">
        <f t="shared" si="114"/>
        <v>0</v>
      </c>
    </row>
    <row r="696" spans="1:23" ht="25.5" x14ac:dyDescent="0.25">
      <c r="A696" s="35" t="s">
        <v>2812</v>
      </c>
      <c r="B696" s="36">
        <v>44697</v>
      </c>
      <c r="C696" s="35" t="s">
        <v>3896</v>
      </c>
      <c r="D696" s="36" t="s">
        <v>1001</v>
      </c>
      <c r="E696" s="73" t="s">
        <v>1080</v>
      </c>
      <c r="F696" s="38" t="s">
        <v>3897</v>
      </c>
      <c r="G696" s="37" t="s">
        <v>3898</v>
      </c>
      <c r="H696" s="37" t="s">
        <v>3218</v>
      </c>
      <c r="I696" s="38" t="s">
        <v>1425</v>
      </c>
      <c r="J696" s="39" t="s">
        <v>1426</v>
      </c>
      <c r="K696" s="39" t="s">
        <v>432</v>
      </c>
      <c r="L696" s="39" t="s">
        <v>480</v>
      </c>
      <c r="M696" s="39">
        <v>1</v>
      </c>
      <c r="N696" s="86">
        <v>300</v>
      </c>
      <c r="O696" s="41">
        <v>370</v>
      </c>
      <c r="P696" s="86" t="s">
        <v>1017</v>
      </c>
      <c r="Q696" s="143"/>
      <c r="R696" s="78"/>
      <c r="S696" s="87" t="s">
        <v>415</v>
      </c>
      <c r="T696" s="87" t="s">
        <v>415</v>
      </c>
      <c r="U696" s="36">
        <v>44827</v>
      </c>
      <c r="V696" s="40">
        <f t="shared" si="113"/>
        <v>370</v>
      </c>
      <c r="W696" s="43">
        <f t="shared" si="114"/>
        <v>0</v>
      </c>
    </row>
    <row r="697" spans="1:23" ht="38.25" x14ac:dyDescent="0.25">
      <c r="A697" s="45" t="s">
        <v>2813</v>
      </c>
      <c r="B697" s="46">
        <v>44717</v>
      </c>
      <c r="C697" s="45" t="s">
        <v>3900</v>
      </c>
      <c r="D697" s="46" t="s">
        <v>3901</v>
      </c>
      <c r="E697" s="72" t="s">
        <v>3902</v>
      </c>
      <c r="F697" s="48" t="s">
        <v>3903</v>
      </c>
      <c r="G697" s="47" t="s">
        <v>3904</v>
      </c>
      <c r="H697" s="47" t="s">
        <v>3905</v>
      </c>
      <c r="I697" s="48" t="s">
        <v>3906</v>
      </c>
      <c r="J697" s="48" t="s">
        <v>3907</v>
      </c>
      <c r="K697" s="49" t="s">
        <v>16</v>
      </c>
      <c r="L697" s="49" t="s">
        <v>765</v>
      </c>
      <c r="M697" s="49">
        <v>8</v>
      </c>
      <c r="N697" s="80">
        <v>300</v>
      </c>
      <c r="O697" s="51">
        <v>1850</v>
      </c>
      <c r="P697" s="81" t="s">
        <v>1017</v>
      </c>
      <c r="Q697" s="142"/>
      <c r="R697" s="76"/>
      <c r="S697" s="81" t="s">
        <v>415</v>
      </c>
      <c r="T697" s="81" t="s">
        <v>415</v>
      </c>
      <c r="U697" s="46">
        <v>44827</v>
      </c>
      <c r="V697" s="50">
        <f t="shared" si="113"/>
        <v>1850</v>
      </c>
      <c r="W697" s="53">
        <f t="shared" si="114"/>
        <v>0</v>
      </c>
    </row>
    <row r="698" spans="1:23" ht="25.5" x14ac:dyDescent="0.25">
      <c r="A698" s="35" t="s">
        <v>2814</v>
      </c>
      <c r="B698" s="36">
        <v>44720</v>
      </c>
      <c r="C698" s="35" t="s">
        <v>3908</v>
      </c>
      <c r="D698" s="36" t="s">
        <v>652</v>
      </c>
      <c r="E698" s="73" t="s">
        <v>1068</v>
      </c>
      <c r="F698" s="38" t="s">
        <v>3909</v>
      </c>
      <c r="G698" s="37" t="s">
        <v>3910</v>
      </c>
      <c r="H698" s="37" t="s">
        <v>3427</v>
      </c>
      <c r="I698" s="38" t="s">
        <v>1639</v>
      </c>
      <c r="J698" s="38" t="s">
        <v>3911</v>
      </c>
      <c r="K698" s="39" t="s">
        <v>16</v>
      </c>
      <c r="L698" s="39" t="s">
        <v>27</v>
      </c>
      <c r="M698" s="39">
        <v>11</v>
      </c>
      <c r="N698" s="86">
        <v>300</v>
      </c>
      <c r="O698" s="41">
        <v>600</v>
      </c>
      <c r="P698" s="86" t="s">
        <v>1017</v>
      </c>
      <c r="Q698" s="143"/>
      <c r="R698" s="78"/>
      <c r="S698" s="87" t="s">
        <v>415</v>
      </c>
      <c r="T698" s="87" t="s">
        <v>415</v>
      </c>
      <c r="U698" s="36">
        <v>44827</v>
      </c>
      <c r="V698" s="40">
        <f t="shared" si="113"/>
        <v>600</v>
      </c>
      <c r="W698" s="43">
        <f t="shared" si="114"/>
        <v>0</v>
      </c>
    </row>
    <row r="699" spans="1:23" ht="25.5" x14ac:dyDescent="0.25">
      <c r="A699" s="45" t="s">
        <v>2815</v>
      </c>
      <c r="B699" s="46">
        <v>44719</v>
      </c>
      <c r="C699" s="45" t="s">
        <v>3912</v>
      </c>
      <c r="D699" s="46" t="s">
        <v>1785</v>
      </c>
      <c r="E699" s="72" t="s">
        <v>1786</v>
      </c>
      <c r="F699" s="48" t="s">
        <v>3913</v>
      </c>
      <c r="G699" s="47" t="s">
        <v>3914</v>
      </c>
      <c r="H699" s="47" t="s">
        <v>3915</v>
      </c>
      <c r="I699" s="48" t="s">
        <v>320</v>
      </c>
      <c r="J699" s="48" t="s">
        <v>317</v>
      </c>
      <c r="K699" s="49" t="s">
        <v>432</v>
      </c>
      <c r="L699" s="49" t="s">
        <v>480</v>
      </c>
      <c r="M699" s="49">
        <v>1</v>
      </c>
      <c r="N699" s="80">
        <v>300</v>
      </c>
      <c r="O699" s="51">
        <v>370</v>
      </c>
      <c r="P699" s="81" t="s">
        <v>1017</v>
      </c>
      <c r="Q699" s="142"/>
      <c r="R699" s="76"/>
      <c r="S699" s="81" t="s">
        <v>415</v>
      </c>
      <c r="T699" s="81" t="s">
        <v>415</v>
      </c>
      <c r="U699" s="46">
        <v>44827</v>
      </c>
      <c r="V699" s="50">
        <f t="shared" si="113"/>
        <v>370</v>
      </c>
      <c r="W699" s="53">
        <f t="shared" si="114"/>
        <v>0</v>
      </c>
    </row>
    <row r="700" spans="1:23" ht="25.5" x14ac:dyDescent="0.25">
      <c r="A700" s="35" t="s">
        <v>2816</v>
      </c>
      <c r="B700" s="36">
        <v>44832</v>
      </c>
      <c r="C700" s="35" t="s">
        <v>3916</v>
      </c>
      <c r="D700" s="36" t="s">
        <v>466</v>
      </c>
      <c r="E700" s="73" t="s">
        <v>1070</v>
      </c>
      <c r="F700" s="38" t="s">
        <v>3917</v>
      </c>
      <c r="G700" s="37" t="s">
        <v>3918</v>
      </c>
      <c r="H700" s="37" t="s">
        <v>3919</v>
      </c>
      <c r="I700" s="38" t="s">
        <v>320</v>
      </c>
      <c r="J700" s="39" t="s">
        <v>317</v>
      </c>
      <c r="K700" s="39" t="s">
        <v>16</v>
      </c>
      <c r="L700" s="39" t="s">
        <v>27</v>
      </c>
      <c r="M700" s="39">
        <v>11</v>
      </c>
      <c r="N700" s="86">
        <v>300</v>
      </c>
      <c r="O700" s="41">
        <v>370</v>
      </c>
      <c r="P700" s="86" t="s">
        <v>1017</v>
      </c>
      <c r="Q700" s="143"/>
      <c r="R700" s="78"/>
      <c r="S700" s="87" t="s">
        <v>415</v>
      </c>
      <c r="T700" s="87" t="s">
        <v>415</v>
      </c>
      <c r="U700" s="36">
        <v>44833</v>
      </c>
      <c r="V700" s="40">
        <f t="shared" si="113"/>
        <v>370</v>
      </c>
      <c r="W700" s="43">
        <f t="shared" si="114"/>
        <v>0</v>
      </c>
    </row>
    <row r="701" spans="1:23" ht="25.5" x14ac:dyDescent="0.25">
      <c r="A701" s="45" t="s">
        <v>2817</v>
      </c>
      <c r="B701" s="46">
        <v>44831</v>
      </c>
      <c r="C701" s="45" t="s">
        <v>3920</v>
      </c>
      <c r="D701" s="46" t="s">
        <v>466</v>
      </c>
      <c r="E701" s="72" t="s">
        <v>1070</v>
      </c>
      <c r="F701" s="48" t="s">
        <v>3921</v>
      </c>
      <c r="G701" s="47" t="s">
        <v>3922</v>
      </c>
      <c r="H701" s="47" t="s">
        <v>3919</v>
      </c>
      <c r="I701" s="48" t="s">
        <v>320</v>
      </c>
      <c r="J701" s="48" t="s">
        <v>317</v>
      </c>
      <c r="K701" s="49" t="s">
        <v>16</v>
      </c>
      <c r="L701" s="49" t="s">
        <v>27</v>
      </c>
      <c r="M701" s="49">
        <v>11</v>
      </c>
      <c r="N701" s="80">
        <v>300</v>
      </c>
      <c r="O701" s="51">
        <v>370</v>
      </c>
      <c r="P701" s="81" t="s">
        <v>1017</v>
      </c>
      <c r="Q701" s="142"/>
      <c r="R701" s="76"/>
      <c r="S701" s="81" t="s">
        <v>415</v>
      </c>
      <c r="T701" s="81" t="s">
        <v>415</v>
      </c>
      <c r="U701" s="46">
        <v>44833</v>
      </c>
      <c r="V701" s="50">
        <f t="shared" si="113"/>
        <v>370</v>
      </c>
      <c r="W701" s="53">
        <f t="shared" si="114"/>
        <v>0</v>
      </c>
    </row>
    <row r="702" spans="1:23" ht="51" x14ac:dyDescent="0.25">
      <c r="A702" s="35" t="s">
        <v>2818</v>
      </c>
      <c r="B702" s="36">
        <v>44761</v>
      </c>
      <c r="C702" s="35" t="s">
        <v>3923</v>
      </c>
      <c r="D702" s="36" t="s">
        <v>1622</v>
      </c>
      <c r="E702" s="73" t="s">
        <v>1080</v>
      </c>
      <c r="F702" s="38" t="s">
        <v>3924</v>
      </c>
      <c r="G702" s="37" t="s">
        <v>3925</v>
      </c>
      <c r="H702" s="37" t="s">
        <v>3926</v>
      </c>
      <c r="I702" s="38" t="s">
        <v>320</v>
      </c>
      <c r="J702" s="39" t="s">
        <v>317</v>
      </c>
      <c r="K702" s="39" t="s">
        <v>432</v>
      </c>
      <c r="L702" s="39" t="s">
        <v>480</v>
      </c>
      <c r="M702" s="39">
        <v>1</v>
      </c>
      <c r="N702" s="86">
        <v>300</v>
      </c>
      <c r="O702" s="41">
        <v>1500</v>
      </c>
      <c r="P702" s="86" t="s">
        <v>1017</v>
      </c>
      <c r="Q702" s="143"/>
      <c r="R702" s="78"/>
      <c r="S702" s="87" t="s">
        <v>415</v>
      </c>
      <c r="T702" s="87" t="s">
        <v>415</v>
      </c>
      <c r="U702" s="36">
        <v>44827</v>
      </c>
      <c r="V702" s="40">
        <f t="shared" si="113"/>
        <v>1500</v>
      </c>
      <c r="W702" s="43">
        <f t="shared" si="114"/>
        <v>0</v>
      </c>
    </row>
    <row r="703" spans="1:23" ht="25.5" x14ac:dyDescent="0.25">
      <c r="A703" s="45" t="s">
        <v>2819</v>
      </c>
      <c r="B703" s="46">
        <v>44826</v>
      </c>
      <c r="C703" s="45" t="s">
        <v>3927</v>
      </c>
      <c r="D703" s="46" t="s">
        <v>466</v>
      </c>
      <c r="E703" s="72" t="s">
        <v>1070</v>
      </c>
      <c r="F703" s="48" t="s">
        <v>3928</v>
      </c>
      <c r="G703" s="47" t="s">
        <v>3929</v>
      </c>
      <c r="H703" s="47" t="s">
        <v>314</v>
      </c>
      <c r="I703" s="48" t="s">
        <v>320</v>
      </c>
      <c r="J703" s="48" t="s">
        <v>317</v>
      </c>
      <c r="K703" s="49" t="s">
        <v>16</v>
      </c>
      <c r="L703" s="49" t="s">
        <v>27</v>
      </c>
      <c r="M703" s="49">
        <v>11</v>
      </c>
      <c r="N703" s="80">
        <v>300</v>
      </c>
      <c r="O703" s="51">
        <v>370</v>
      </c>
      <c r="P703" s="81" t="s">
        <v>1017</v>
      </c>
      <c r="Q703" s="142"/>
      <c r="R703" s="76"/>
      <c r="S703" s="81" t="s">
        <v>415</v>
      </c>
      <c r="T703" s="81" t="s">
        <v>415</v>
      </c>
      <c r="U703" s="46">
        <v>44830</v>
      </c>
      <c r="V703" s="50">
        <f t="shared" si="113"/>
        <v>370</v>
      </c>
      <c r="W703" s="53">
        <f t="shared" si="114"/>
        <v>0</v>
      </c>
    </row>
    <row r="704" spans="1:23" ht="25.5" x14ac:dyDescent="0.25">
      <c r="A704" s="35" t="s">
        <v>2820</v>
      </c>
      <c r="B704" s="36">
        <v>43584</v>
      </c>
      <c r="C704" s="35" t="s">
        <v>3930</v>
      </c>
      <c r="D704" s="36" t="s">
        <v>466</v>
      </c>
      <c r="E704" s="73" t="s">
        <v>1070</v>
      </c>
      <c r="F704" s="38" t="s">
        <v>3932</v>
      </c>
      <c r="G704" s="37" t="s">
        <v>3931</v>
      </c>
      <c r="H704" s="37" t="s">
        <v>314</v>
      </c>
      <c r="I704" s="38" t="s">
        <v>320</v>
      </c>
      <c r="J704" s="39" t="s">
        <v>317</v>
      </c>
      <c r="K704" s="39" t="s">
        <v>16</v>
      </c>
      <c r="L704" s="39" t="s">
        <v>27</v>
      </c>
      <c r="M704" s="39">
        <v>11</v>
      </c>
      <c r="N704" s="86">
        <v>300</v>
      </c>
      <c r="O704" s="41">
        <v>1866</v>
      </c>
      <c r="P704" s="86" t="s">
        <v>1017</v>
      </c>
      <c r="Q704" s="143"/>
      <c r="R704" s="78"/>
      <c r="S704" s="87" t="s">
        <v>415</v>
      </c>
      <c r="T704" s="87" t="s">
        <v>415</v>
      </c>
      <c r="U704" s="36">
        <v>44827</v>
      </c>
      <c r="V704" s="40">
        <f t="shared" si="113"/>
        <v>1866</v>
      </c>
      <c r="W704" s="43">
        <f t="shared" si="114"/>
        <v>0</v>
      </c>
    </row>
    <row r="705" spans="1:23" ht="25.5" x14ac:dyDescent="0.25">
      <c r="A705" s="45" t="s">
        <v>2821</v>
      </c>
      <c r="B705" s="46">
        <v>43584</v>
      </c>
      <c r="C705" s="45" t="s">
        <v>3930</v>
      </c>
      <c r="D705" s="46" t="s">
        <v>466</v>
      </c>
      <c r="E705" s="72" t="s">
        <v>1070</v>
      </c>
      <c r="F705" s="48" t="s">
        <v>3934</v>
      </c>
      <c r="G705" s="47" t="s">
        <v>3935</v>
      </c>
      <c r="H705" s="47" t="s">
        <v>3933</v>
      </c>
      <c r="I705" s="48" t="s">
        <v>320</v>
      </c>
      <c r="J705" s="48" t="s">
        <v>317</v>
      </c>
      <c r="K705" s="49" t="s">
        <v>16</v>
      </c>
      <c r="L705" s="49" t="s">
        <v>27</v>
      </c>
      <c r="M705" s="49">
        <v>11</v>
      </c>
      <c r="N705" s="80">
        <v>300</v>
      </c>
      <c r="O705" s="51">
        <v>1866</v>
      </c>
      <c r="P705" s="81" t="s">
        <v>1017</v>
      </c>
      <c r="Q705" s="142"/>
      <c r="R705" s="76"/>
      <c r="S705" s="81" t="s">
        <v>415</v>
      </c>
      <c r="T705" s="81" t="s">
        <v>415</v>
      </c>
      <c r="U705" s="46">
        <v>44827</v>
      </c>
      <c r="V705" s="50">
        <f t="shared" si="113"/>
        <v>1866</v>
      </c>
      <c r="W705" s="53">
        <f t="shared" si="114"/>
        <v>0</v>
      </c>
    </row>
    <row r="706" spans="1:23" ht="25.5" x14ac:dyDescent="0.25">
      <c r="A706" s="35" t="s">
        <v>2822</v>
      </c>
      <c r="B706" s="36">
        <v>43584</v>
      </c>
      <c r="C706" s="35" t="s">
        <v>3930</v>
      </c>
      <c r="D706" s="36" t="s">
        <v>466</v>
      </c>
      <c r="E706" s="73" t="s">
        <v>1070</v>
      </c>
      <c r="F706" s="38" t="s">
        <v>3937</v>
      </c>
      <c r="G706" s="37" t="s">
        <v>3936</v>
      </c>
      <c r="H706" s="37" t="s">
        <v>3933</v>
      </c>
      <c r="I706" s="38" t="s">
        <v>320</v>
      </c>
      <c r="J706" s="39" t="s">
        <v>317</v>
      </c>
      <c r="K706" s="39" t="s">
        <v>16</v>
      </c>
      <c r="L706" s="39" t="s">
        <v>27</v>
      </c>
      <c r="M706" s="39">
        <v>11</v>
      </c>
      <c r="N706" s="86">
        <v>300</v>
      </c>
      <c r="O706" s="41">
        <v>1866</v>
      </c>
      <c r="P706" s="86" t="s">
        <v>1017</v>
      </c>
      <c r="Q706" s="143"/>
      <c r="R706" s="78"/>
      <c r="S706" s="87" t="s">
        <v>415</v>
      </c>
      <c r="T706" s="87" t="s">
        <v>415</v>
      </c>
      <c r="U706" s="36">
        <v>44827</v>
      </c>
      <c r="V706" s="40">
        <f t="shared" si="113"/>
        <v>1866</v>
      </c>
      <c r="W706" s="43">
        <f t="shared" si="114"/>
        <v>0</v>
      </c>
    </row>
    <row r="707" spans="1:23" ht="38.25" x14ac:dyDescent="0.25">
      <c r="A707" s="45" t="s">
        <v>2823</v>
      </c>
      <c r="B707" s="46">
        <v>44697</v>
      </c>
      <c r="C707" s="45" t="s">
        <v>3938</v>
      </c>
      <c r="D707" s="46" t="s">
        <v>1785</v>
      </c>
      <c r="E707" s="72" t="s">
        <v>1786</v>
      </c>
      <c r="F707" s="48" t="s">
        <v>3939</v>
      </c>
      <c r="G707" s="47" t="s">
        <v>3940</v>
      </c>
      <c r="H707" s="47" t="s">
        <v>3915</v>
      </c>
      <c r="I707" s="48" t="s">
        <v>320</v>
      </c>
      <c r="J707" s="48" t="s">
        <v>317</v>
      </c>
      <c r="K707" s="49" t="s">
        <v>432</v>
      </c>
      <c r="L707" s="49" t="s">
        <v>480</v>
      </c>
      <c r="M707" s="49">
        <v>1</v>
      </c>
      <c r="N707" s="80">
        <v>300</v>
      </c>
      <c r="O707" s="51">
        <v>370</v>
      </c>
      <c r="P707" s="81" t="s">
        <v>1017</v>
      </c>
      <c r="Q707" s="142"/>
      <c r="R707" s="76"/>
      <c r="S707" s="81" t="s">
        <v>415</v>
      </c>
      <c r="T707" s="81" t="s">
        <v>415</v>
      </c>
      <c r="U707" s="46">
        <v>44827</v>
      </c>
      <c r="V707" s="50">
        <f t="shared" si="113"/>
        <v>370</v>
      </c>
      <c r="W707" s="53">
        <f t="shared" si="114"/>
        <v>0</v>
      </c>
    </row>
    <row r="708" spans="1:23" ht="25.5" x14ac:dyDescent="0.25">
      <c r="A708" s="35" t="s">
        <v>2824</v>
      </c>
      <c r="B708" s="36">
        <v>44789</v>
      </c>
      <c r="C708" s="35" t="s">
        <v>3941</v>
      </c>
      <c r="D708" s="36" t="s">
        <v>466</v>
      </c>
      <c r="E708" s="73" t="s">
        <v>1070</v>
      </c>
      <c r="F708" s="38" t="s">
        <v>3942</v>
      </c>
      <c r="G708" s="37" t="s">
        <v>3943</v>
      </c>
      <c r="H708" s="37" t="s">
        <v>1708</v>
      </c>
      <c r="I708" s="38" t="s">
        <v>320</v>
      </c>
      <c r="J708" s="39" t="s">
        <v>317</v>
      </c>
      <c r="K708" s="39" t="s">
        <v>16</v>
      </c>
      <c r="L708" s="39" t="s">
        <v>765</v>
      </c>
      <c r="M708" s="39">
        <v>8</v>
      </c>
      <c r="N708" s="86">
        <v>300</v>
      </c>
      <c r="O708" s="41">
        <v>2960</v>
      </c>
      <c r="P708" s="86" t="s">
        <v>1017</v>
      </c>
      <c r="Q708" s="143"/>
      <c r="R708" s="78"/>
      <c r="S708" s="87" t="s">
        <v>415</v>
      </c>
      <c r="T708" s="87" t="s">
        <v>415</v>
      </c>
      <c r="U708" s="36">
        <v>44827</v>
      </c>
      <c r="V708" s="40">
        <f t="shared" si="113"/>
        <v>2960</v>
      </c>
      <c r="W708" s="43">
        <f t="shared" si="114"/>
        <v>0</v>
      </c>
    </row>
    <row r="709" spans="1:23" ht="25.5" x14ac:dyDescent="0.25">
      <c r="A709" s="45" t="s">
        <v>2825</v>
      </c>
      <c r="B709" s="46">
        <v>44680</v>
      </c>
      <c r="C709" s="45" t="s">
        <v>3944</v>
      </c>
      <c r="D709" s="46" t="s">
        <v>466</v>
      </c>
      <c r="E709" s="72" t="s">
        <v>1070</v>
      </c>
      <c r="F709" s="48" t="s">
        <v>3946</v>
      </c>
      <c r="G709" s="47" t="s">
        <v>3945</v>
      </c>
      <c r="H709" s="47" t="s">
        <v>3933</v>
      </c>
      <c r="I709" s="48" t="s">
        <v>320</v>
      </c>
      <c r="J709" s="48" t="s">
        <v>317</v>
      </c>
      <c r="K709" s="49" t="s">
        <v>16</v>
      </c>
      <c r="L709" s="49" t="s">
        <v>27</v>
      </c>
      <c r="M709" s="49">
        <v>11</v>
      </c>
      <c r="N709" s="80">
        <v>300</v>
      </c>
      <c r="O709" s="51">
        <v>1866</v>
      </c>
      <c r="P709" s="81" t="s">
        <v>1017</v>
      </c>
      <c r="Q709" s="142"/>
      <c r="R709" s="76"/>
      <c r="S709" s="81" t="s">
        <v>415</v>
      </c>
      <c r="T709" s="81" t="s">
        <v>415</v>
      </c>
      <c r="U709" s="46">
        <v>44827</v>
      </c>
      <c r="V709" s="50">
        <f t="shared" si="113"/>
        <v>1866</v>
      </c>
      <c r="W709" s="53">
        <f t="shared" si="114"/>
        <v>0</v>
      </c>
    </row>
    <row r="710" spans="1:23" ht="25.5" x14ac:dyDescent="0.25">
      <c r="A710" s="35" t="s">
        <v>2826</v>
      </c>
      <c r="B710" s="36">
        <v>44680</v>
      </c>
      <c r="C710" s="35" t="s">
        <v>3944</v>
      </c>
      <c r="D710" s="36" t="s">
        <v>466</v>
      </c>
      <c r="E710" s="73" t="s">
        <v>1070</v>
      </c>
      <c r="F710" s="38" t="s">
        <v>3949</v>
      </c>
      <c r="G710" s="37" t="s">
        <v>3947</v>
      </c>
      <c r="H710" s="37" t="s">
        <v>3933</v>
      </c>
      <c r="I710" s="38" t="s">
        <v>320</v>
      </c>
      <c r="J710" s="39" t="s">
        <v>317</v>
      </c>
      <c r="K710" s="39" t="s">
        <v>16</v>
      </c>
      <c r="L710" s="39" t="s">
        <v>27</v>
      </c>
      <c r="M710" s="39">
        <v>11</v>
      </c>
      <c r="N710" s="86">
        <v>300</v>
      </c>
      <c r="O710" s="41">
        <v>1866</v>
      </c>
      <c r="P710" s="86" t="s">
        <v>1017</v>
      </c>
      <c r="Q710" s="143"/>
      <c r="R710" s="78"/>
      <c r="S710" s="87" t="s">
        <v>415</v>
      </c>
      <c r="T710" s="87" t="s">
        <v>415</v>
      </c>
      <c r="U710" s="36">
        <v>44827</v>
      </c>
      <c r="V710" s="40">
        <f t="shared" si="113"/>
        <v>1866</v>
      </c>
      <c r="W710" s="43">
        <f t="shared" si="114"/>
        <v>0</v>
      </c>
    </row>
    <row r="711" spans="1:23" ht="25.5" x14ac:dyDescent="0.25">
      <c r="A711" s="45" t="s">
        <v>2827</v>
      </c>
      <c r="B711" s="46">
        <v>44680</v>
      </c>
      <c r="C711" s="45" t="s">
        <v>3944</v>
      </c>
      <c r="D711" s="46" t="s">
        <v>466</v>
      </c>
      <c r="E711" s="72" t="s">
        <v>1070</v>
      </c>
      <c r="F711" s="48" t="s">
        <v>3950</v>
      </c>
      <c r="G711" s="47" t="s">
        <v>3948</v>
      </c>
      <c r="H711" s="47" t="s">
        <v>3933</v>
      </c>
      <c r="I711" s="48" t="s">
        <v>320</v>
      </c>
      <c r="J711" s="48" t="s">
        <v>317</v>
      </c>
      <c r="K711" s="49" t="s">
        <v>16</v>
      </c>
      <c r="L711" s="49" t="s">
        <v>27</v>
      </c>
      <c r="M711" s="49">
        <v>11</v>
      </c>
      <c r="N711" s="80">
        <v>300</v>
      </c>
      <c r="O711" s="51">
        <v>1866</v>
      </c>
      <c r="P711" s="81" t="s">
        <v>1017</v>
      </c>
      <c r="Q711" s="142"/>
      <c r="R711" s="76"/>
      <c r="S711" s="81" t="s">
        <v>415</v>
      </c>
      <c r="T711" s="81" t="s">
        <v>415</v>
      </c>
      <c r="U711" s="46">
        <v>44827</v>
      </c>
      <c r="V711" s="50">
        <f t="shared" si="113"/>
        <v>1866</v>
      </c>
      <c r="W711" s="53">
        <f t="shared" si="114"/>
        <v>0</v>
      </c>
    </row>
    <row r="712" spans="1:23" ht="25.5" x14ac:dyDescent="0.25">
      <c r="A712" s="35" t="s">
        <v>2828</v>
      </c>
      <c r="B712" s="36">
        <v>44868</v>
      </c>
      <c r="C712" s="35" t="s">
        <v>3951</v>
      </c>
      <c r="D712" s="36" t="s">
        <v>659</v>
      </c>
      <c r="E712" s="73" t="s">
        <v>1073</v>
      </c>
      <c r="F712" s="38" t="s">
        <v>3952</v>
      </c>
      <c r="G712" s="37" t="s">
        <v>3953</v>
      </c>
      <c r="H712" s="37" t="s">
        <v>3844</v>
      </c>
      <c r="I712" s="38" t="s">
        <v>320</v>
      </c>
      <c r="J712" s="39" t="s">
        <v>317</v>
      </c>
      <c r="K712" s="39" t="s">
        <v>16</v>
      </c>
      <c r="L712" s="39" t="s">
        <v>23</v>
      </c>
      <c r="M712" s="39">
        <v>9</v>
      </c>
      <c r="N712" s="86">
        <f t="shared" ref="N712:N776" si="115">IF(M712="","",IF(M712=1,300,IF(M712=2,370,IF(M712=3,630,IF(M712=4,830,IF(M712=5,370,IF(M712=6,430,IF(M712=7,530,IF(M712=8,370,IF(M712=9,700,IF(M712=10,870,IF(M712=11,370,IF(M712=12,370,IF(M712=13,370,IF(M712=13,370,IF(M712=14,370,IF(M712=15,370,IF(M712=16,300,IF(M712=17,300,IF(M712=18,170,IF(M712=19,330)))))))))))))))))))))</f>
        <v>700</v>
      </c>
      <c r="O712" s="41">
        <v>700</v>
      </c>
      <c r="P712" s="86" t="str">
        <f t="shared" ref="P712:P770" si="116">IF(M712="","",IF(O712&gt;(5*N712),"ACIMA","OK"))</f>
        <v>OK</v>
      </c>
      <c r="Q712" s="143"/>
      <c r="R712" s="78"/>
      <c r="S712" s="87" t="str">
        <f t="shared" ref="S712:S770" si="117">IF(R712="","",R712/O712)</f>
        <v/>
      </c>
      <c r="T712" s="87" t="str">
        <f t="shared" ref="T712:T770" si="118">IF(S712="","",IF(S712&gt;$Z$5,"ACIMA","OK"))</f>
        <v/>
      </c>
      <c r="U712" s="36">
        <v>44869</v>
      </c>
      <c r="V712" s="40">
        <f t="shared" si="113"/>
        <v>700</v>
      </c>
      <c r="W712" s="43">
        <f t="shared" si="114"/>
        <v>0</v>
      </c>
    </row>
    <row r="713" spans="1:23" ht="63.75" x14ac:dyDescent="0.25">
      <c r="A713" s="45" t="s">
        <v>2829</v>
      </c>
      <c r="B713" s="46">
        <v>44868</v>
      </c>
      <c r="C713" s="45" t="s">
        <v>3954</v>
      </c>
      <c r="D713" s="46" t="s">
        <v>3955</v>
      </c>
      <c r="E713" s="72" t="s">
        <v>1072</v>
      </c>
      <c r="F713" s="48" t="s">
        <v>3956</v>
      </c>
      <c r="G713" s="47" t="s">
        <v>3957</v>
      </c>
      <c r="H713" s="47" t="s">
        <v>3958</v>
      </c>
      <c r="I713" s="48" t="s">
        <v>320</v>
      </c>
      <c r="J713" s="48" t="s">
        <v>317</v>
      </c>
      <c r="K713" s="49" t="s">
        <v>16</v>
      </c>
      <c r="L713" s="49" t="s">
        <v>23</v>
      </c>
      <c r="M713" s="49">
        <v>9</v>
      </c>
      <c r="N713" s="80">
        <v>700</v>
      </c>
      <c r="O713" s="51">
        <v>1500</v>
      </c>
      <c r="P713" s="81" t="s">
        <v>1017</v>
      </c>
      <c r="Q713" s="142"/>
      <c r="R713" s="76"/>
      <c r="S713" s="81" t="s">
        <v>415</v>
      </c>
      <c r="T713" s="81" t="s">
        <v>415</v>
      </c>
      <c r="U713" s="46">
        <v>44868</v>
      </c>
      <c r="V713" s="50">
        <v>1500</v>
      </c>
      <c r="W713" s="53">
        <f t="shared" si="114"/>
        <v>0</v>
      </c>
    </row>
    <row r="714" spans="1:23" ht="25.5" x14ac:dyDescent="0.25">
      <c r="A714" s="35" t="s">
        <v>2830</v>
      </c>
      <c r="B714" s="36">
        <v>44866</v>
      </c>
      <c r="C714" s="35" t="s">
        <v>3959</v>
      </c>
      <c r="D714" s="36" t="s">
        <v>3955</v>
      </c>
      <c r="E714" s="73" t="s">
        <v>1072</v>
      </c>
      <c r="F714" s="38" t="s">
        <v>3960</v>
      </c>
      <c r="G714" s="37" t="s">
        <v>3961</v>
      </c>
      <c r="H714" s="37" t="s">
        <v>3962</v>
      </c>
      <c r="I714" s="38" t="s">
        <v>320</v>
      </c>
      <c r="J714" s="39" t="s">
        <v>317</v>
      </c>
      <c r="K714" s="39" t="s">
        <v>432</v>
      </c>
      <c r="L714" s="39" t="s">
        <v>480</v>
      </c>
      <c r="M714" s="39">
        <v>1</v>
      </c>
      <c r="N714" s="86">
        <v>300</v>
      </c>
      <c r="O714" s="41">
        <v>300</v>
      </c>
      <c r="P714" s="86" t="s">
        <v>1017</v>
      </c>
      <c r="Q714" s="143"/>
      <c r="R714" s="78"/>
      <c r="S714" s="87" t="s">
        <v>415</v>
      </c>
      <c r="T714" s="87" t="s">
        <v>415</v>
      </c>
      <c r="U714" s="36">
        <v>44866</v>
      </c>
      <c r="V714" s="40">
        <v>300</v>
      </c>
      <c r="W714" s="43">
        <f t="shared" si="114"/>
        <v>0</v>
      </c>
    </row>
    <row r="715" spans="1:23" ht="76.5" x14ac:dyDescent="0.25">
      <c r="A715" s="45" t="s">
        <v>2831</v>
      </c>
      <c r="B715" s="46">
        <v>44868</v>
      </c>
      <c r="C715" s="45" t="s">
        <v>3963</v>
      </c>
      <c r="D715" s="46" t="s">
        <v>1079</v>
      </c>
      <c r="E715" s="72" t="s">
        <v>980</v>
      </c>
      <c r="F715" s="48" t="s">
        <v>3964</v>
      </c>
      <c r="G715" s="47" t="s">
        <v>3965</v>
      </c>
      <c r="H715" s="47" t="s">
        <v>3966</v>
      </c>
      <c r="I715" s="48" t="s">
        <v>320</v>
      </c>
      <c r="J715" s="48" t="s">
        <v>317</v>
      </c>
      <c r="K715" s="49" t="s">
        <v>16</v>
      </c>
      <c r="L715" s="49" t="s">
        <v>27</v>
      </c>
      <c r="M715" s="49">
        <v>11</v>
      </c>
      <c r="N715" s="80">
        <f t="shared" si="115"/>
        <v>370</v>
      </c>
      <c r="O715" s="51">
        <v>370</v>
      </c>
      <c r="P715" s="81" t="str">
        <f t="shared" si="116"/>
        <v>OK</v>
      </c>
      <c r="Q715" s="142"/>
      <c r="R715" s="76"/>
      <c r="S715" s="81" t="str">
        <f t="shared" si="117"/>
        <v/>
      </c>
      <c r="T715" s="81" t="str">
        <f t="shared" si="118"/>
        <v/>
      </c>
      <c r="U715" s="46">
        <v>44868</v>
      </c>
      <c r="V715" s="50">
        <f t="shared" si="113"/>
        <v>370</v>
      </c>
      <c r="W715" s="53">
        <f t="shared" si="114"/>
        <v>0</v>
      </c>
    </row>
    <row r="716" spans="1:23" ht="25.5" x14ac:dyDescent="0.25">
      <c r="A716" s="35" t="s">
        <v>2832</v>
      </c>
      <c r="B716" s="36">
        <v>44859</v>
      </c>
      <c r="C716" s="35" t="s">
        <v>3967</v>
      </c>
      <c r="D716" s="36" t="s">
        <v>466</v>
      </c>
      <c r="E716" s="73" t="s">
        <v>1070</v>
      </c>
      <c r="F716" s="38" t="s">
        <v>3968</v>
      </c>
      <c r="G716" s="37" t="s">
        <v>3969</v>
      </c>
      <c r="H716" s="37" t="s">
        <v>1024</v>
      </c>
      <c r="I716" s="38" t="s">
        <v>320</v>
      </c>
      <c r="J716" s="39" t="s">
        <v>317</v>
      </c>
      <c r="K716" s="39" t="s">
        <v>16</v>
      </c>
      <c r="L716" s="39" t="s">
        <v>27</v>
      </c>
      <c r="M716" s="39">
        <v>11</v>
      </c>
      <c r="N716" s="86">
        <f t="shared" si="115"/>
        <v>370</v>
      </c>
      <c r="O716" s="41">
        <v>370</v>
      </c>
      <c r="P716" s="86" t="str">
        <f t="shared" si="116"/>
        <v>OK</v>
      </c>
      <c r="Q716" s="143"/>
      <c r="R716" s="78"/>
      <c r="S716" s="87" t="str">
        <f t="shared" si="117"/>
        <v/>
      </c>
      <c r="T716" s="87" t="str">
        <f t="shared" si="118"/>
        <v/>
      </c>
      <c r="U716" s="36">
        <v>44860</v>
      </c>
      <c r="V716" s="40">
        <f t="shared" si="113"/>
        <v>370</v>
      </c>
      <c r="W716" s="43">
        <f t="shared" si="114"/>
        <v>0</v>
      </c>
    </row>
    <row r="717" spans="1:23" ht="25.5" x14ac:dyDescent="0.25">
      <c r="A717" s="45" t="s">
        <v>2833</v>
      </c>
      <c r="B717" s="46">
        <v>44854</v>
      </c>
      <c r="C717" s="45" t="s">
        <v>3970</v>
      </c>
      <c r="D717" s="46" t="s">
        <v>466</v>
      </c>
      <c r="E717" s="72" t="s">
        <v>1070</v>
      </c>
      <c r="F717" s="48" t="s">
        <v>3971</v>
      </c>
      <c r="G717" s="47" t="s">
        <v>3972</v>
      </c>
      <c r="H717" s="47" t="s">
        <v>3760</v>
      </c>
      <c r="I717" s="48" t="s">
        <v>320</v>
      </c>
      <c r="J717" s="48" t="s">
        <v>317</v>
      </c>
      <c r="K717" s="49" t="s">
        <v>16</v>
      </c>
      <c r="L717" s="49" t="s">
        <v>27</v>
      </c>
      <c r="M717" s="49">
        <v>11</v>
      </c>
      <c r="N717" s="80">
        <f t="shared" si="115"/>
        <v>370</v>
      </c>
      <c r="O717" s="51">
        <v>370</v>
      </c>
      <c r="P717" s="81" t="str">
        <f t="shared" si="116"/>
        <v>OK</v>
      </c>
      <c r="Q717" s="142"/>
      <c r="R717" s="76"/>
      <c r="S717" s="81" t="str">
        <f t="shared" si="117"/>
        <v/>
      </c>
      <c r="T717" s="81" t="str">
        <f t="shared" si="118"/>
        <v/>
      </c>
      <c r="U717" s="46">
        <v>44855</v>
      </c>
      <c r="V717" s="50">
        <f t="shared" si="113"/>
        <v>370</v>
      </c>
      <c r="W717" s="53">
        <f t="shared" si="114"/>
        <v>0</v>
      </c>
    </row>
    <row r="718" spans="1:23" ht="25.5" x14ac:dyDescent="0.25">
      <c r="A718" s="35" t="s">
        <v>2834</v>
      </c>
      <c r="B718" s="36">
        <v>44859</v>
      </c>
      <c r="C718" s="35" t="s">
        <v>3973</v>
      </c>
      <c r="D718" s="36" t="s">
        <v>466</v>
      </c>
      <c r="E718" s="73" t="s">
        <v>1070</v>
      </c>
      <c r="F718" s="38" t="s">
        <v>3974</v>
      </c>
      <c r="G718" s="37" t="s">
        <v>3975</v>
      </c>
      <c r="H718" s="37" t="s">
        <v>3760</v>
      </c>
      <c r="I718" s="38" t="s">
        <v>320</v>
      </c>
      <c r="J718" s="39" t="s">
        <v>317</v>
      </c>
      <c r="K718" s="39" t="s">
        <v>16</v>
      </c>
      <c r="L718" s="39" t="s">
        <v>27</v>
      </c>
      <c r="M718" s="39">
        <v>11</v>
      </c>
      <c r="N718" s="86">
        <f t="shared" si="115"/>
        <v>370</v>
      </c>
      <c r="O718" s="41">
        <v>370</v>
      </c>
      <c r="P718" s="86" t="str">
        <f t="shared" si="116"/>
        <v>OK</v>
      </c>
      <c r="Q718" s="143"/>
      <c r="R718" s="78"/>
      <c r="S718" s="87" t="str">
        <f t="shared" si="117"/>
        <v/>
      </c>
      <c r="T718" s="87" t="str">
        <f t="shared" si="118"/>
        <v/>
      </c>
      <c r="U718" s="36">
        <v>44860</v>
      </c>
      <c r="V718" s="40">
        <f t="shared" si="113"/>
        <v>370</v>
      </c>
      <c r="W718" s="43">
        <f t="shared" si="114"/>
        <v>0</v>
      </c>
    </row>
    <row r="719" spans="1:23" ht="51" x14ac:dyDescent="0.25">
      <c r="A719" s="45" t="s">
        <v>2835</v>
      </c>
      <c r="B719" s="46">
        <v>44797</v>
      </c>
      <c r="C719" s="45" t="s">
        <v>3976</v>
      </c>
      <c r="D719" s="46" t="s">
        <v>868</v>
      </c>
      <c r="E719" s="72" t="s">
        <v>1070</v>
      </c>
      <c r="F719" s="48" t="s">
        <v>3977</v>
      </c>
      <c r="G719" s="47" t="s">
        <v>3978</v>
      </c>
      <c r="H719" s="47" t="s">
        <v>3760</v>
      </c>
      <c r="I719" s="48" t="s">
        <v>320</v>
      </c>
      <c r="J719" s="48" t="s">
        <v>317</v>
      </c>
      <c r="K719" s="49" t="s">
        <v>16</v>
      </c>
      <c r="L719" s="49" t="s">
        <v>27</v>
      </c>
      <c r="M719" s="49">
        <v>11</v>
      </c>
      <c r="N719" s="80">
        <f t="shared" si="115"/>
        <v>370</v>
      </c>
      <c r="O719" s="51">
        <v>370</v>
      </c>
      <c r="P719" s="81" t="str">
        <f t="shared" si="116"/>
        <v>OK</v>
      </c>
      <c r="Q719" s="142"/>
      <c r="R719" s="76"/>
      <c r="S719" s="81" t="str">
        <f t="shared" si="117"/>
        <v/>
      </c>
      <c r="T719" s="81" t="str">
        <f t="shared" si="118"/>
        <v/>
      </c>
      <c r="U719" s="46">
        <v>44854</v>
      </c>
      <c r="V719" s="50">
        <f t="shared" si="113"/>
        <v>370</v>
      </c>
      <c r="W719" s="53">
        <f t="shared" si="114"/>
        <v>0</v>
      </c>
    </row>
    <row r="720" spans="1:23" ht="25.5" x14ac:dyDescent="0.25">
      <c r="A720" s="35" t="s">
        <v>2836</v>
      </c>
      <c r="B720" s="36">
        <v>44865</v>
      </c>
      <c r="C720" s="35" t="s">
        <v>3979</v>
      </c>
      <c r="D720" s="36" t="s">
        <v>999</v>
      </c>
      <c r="E720" s="73" t="s">
        <v>1064</v>
      </c>
      <c r="F720" s="38" t="s">
        <v>3980</v>
      </c>
      <c r="G720" s="37" t="s">
        <v>3981</v>
      </c>
      <c r="H720" s="37" t="s">
        <v>3982</v>
      </c>
      <c r="I720" s="38" t="s">
        <v>320</v>
      </c>
      <c r="J720" s="39" t="s">
        <v>317</v>
      </c>
      <c r="K720" s="39" t="s">
        <v>432</v>
      </c>
      <c r="L720" s="39" t="s">
        <v>480</v>
      </c>
      <c r="M720" s="39">
        <v>1</v>
      </c>
      <c r="N720" s="86">
        <f t="shared" si="115"/>
        <v>300</v>
      </c>
      <c r="O720" s="41">
        <v>300</v>
      </c>
      <c r="P720" s="86" t="str">
        <f t="shared" si="116"/>
        <v>OK</v>
      </c>
      <c r="Q720" s="143"/>
      <c r="R720" s="78"/>
      <c r="S720" s="87" t="str">
        <f t="shared" si="117"/>
        <v/>
      </c>
      <c r="T720" s="87" t="str">
        <f t="shared" si="118"/>
        <v/>
      </c>
      <c r="U720" s="36">
        <v>44865</v>
      </c>
      <c r="V720" s="40">
        <f t="shared" si="113"/>
        <v>300</v>
      </c>
      <c r="W720" s="43">
        <f t="shared" si="114"/>
        <v>0</v>
      </c>
    </row>
    <row r="721" spans="1:23" ht="25.5" x14ac:dyDescent="0.25">
      <c r="A721" s="45" t="s">
        <v>2837</v>
      </c>
      <c r="B721" s="46">
        <v>44805</v>
      </c>
      <c r="C721" s="45" t="s">
        <v>3983</v>
      </c>
      <c r="D721" s="46" t="s">
        <v>868</v>
      </c>
      <c r="E721" s="72" t="s">
        <v>1070</v>
      </c>
      <c r="F721" s="48" t="s">
        <v>3984</v>
      </c>
      <c r="G721" s="47" t="s">
        <v>3985</v>
      </c>
      <c r="H721" s="47" t="s">
        <v>3760</v>
      </c>
      <c r="I721" s="48" t="s">
        <v>320</v>
      </c>
      <c r="J721" s="48" t="s">
        <v>317</v>
      </c>
      <c r="K721" s="49" t="s">
        <v>16</v>
      </c>
      <c r="L721" s="49" t="s">
        <v>27</v>
      </c>
      <c r="M721" s="49">
        <v>11</v>
      </c>
      <c r="N721" s="80">
        <f t="shared" si="115"/>
        <v>370</v>
      </c>
      <c r="O721" s="51">
        <v>370</v>
      </c>
      <c r="P721" s="81" t="str">
        <f t="shared" si="116"/>
        <v>OK</v>
      </c>
      <c r="Q721" s="142"/>
      <c r="R721" s="76"/>
      <c r="S721" s="81" t="str">
        <f t="shared" si="117"/>
        <v/>
      </c>
      <c r="T721" s="81" t="str">
        <f t="shared" si="118"/>
        <v/>
      </c>
      <c r="U721" s="46">
        <v>44854</v>
      </c>
      <c r="V721" s="50">
        <f t="shared" si="113"/>
        <v>370</v>
      </c>
      <c r="W721" s="53">
        <f t="shared" si="114"/>
        <v>0</v>
      </c>
    </row>
    <row r="722" spans="1:23" ht="25.5" x14ac:dyDescent="0.25">
      <c r="A722" s="35" t="s">
        <v>2838</v>
      </c>
      <c r="B722" s="36">
        <v>44854</v>
      </c>
      <c r="C722" s="35" t="s">
        <v>3986</v>
      </c>
      <c r="D722" s="36" t="s">
        <v>1079</v>
      </c>
      <c r="E722" s="73" t="s">
        <v>980</v>
      </c>
      <c r="F722" s="38" t="s">
        <v>3987</v>
      </c>
      <c r="G722" s="37" t="s">
        <v>3988</v>
      </c>
      <c r="H722" s="37" t="s">
        <v>3989</v>
      </c>
      <c r="I722" s="38" t="s">
        <v>320</v>
      </c>
      <c r="J722" s="39" t="s">
        <v>317</v>
      </c>
      <c r="K722" s="39" t="s">
        <v>16</v>
      </c>
      <c r="L722" s="39" t="s">
        <v>27</v>
      </c>
      <c r="M722" s="39">
        <v>11</v>
      </c>
      <c r="N722" s="86">
        <f t="shared" si="115"/>
        <v>370</v>
      </c>
      <c r="O722" s="41">
        <v>300</v>
      </c>
      <c r="P722" s="86" t="str">
        <f t="shared" si="116"/>
        <v>OK</v>
      </c>
      <c r="Q722" s="143"/>
      <c r="R722" s="78"/>
      <c r="S722" s="87" t="str">
        <f t="shared" si="117"/>
        <v/>
      </c>
      <c r="T722" s="87" t="str">
        <f t="shared" si="118"/>
        <v/>
      </c>
      <c r="U722" s="36">
        <v>44854</v>
      </c>
      <c r="V722" s="40">
        <f t="shared" si="113"/>
        <v>300</v>
      </c>
      <c r="W722" s="43">
        <f t="shared" si="114"/>
        <v>0</v>
      </c>
    </row>
    <row r="723" spans="1:23" ht="25.5" x14ac:dyDescent="0.25">
      <c r="A723" s="45" t="s">
        <v>2839</v>
      </c>
      <c r="B723" s="46">
        <v>44805</v>
      </c>
      <c r="C723" s="45" t="s">
        <v>3990</v>
      </c>
      <c r="D723" s="46" t="s">
        <v>868</v>
      </c>
      <c r="E723" s="72" t="s">
        <v>1070</v>
      </c>
      <c r="F723" s="48" t="s">
        <v>3991</v>
      </c>
      <c r="G723" s="47" t="s">
        <v>3992</v>
      </c>
      <c r="H723" s="47" t="s">
        <v>3760</v>
      </c>
      <c r="I723" s="48" t="s">
        <v>320</v>
      </c>
      <c r="J723" s="48" t="s">
        <v>317</v>
      </c>
      <c r="K723" s="49" t="s">
        <v>16</v>
      </c>
      <c r="L723" s="49" t="s">
        <v>27</v>
      </c>
      <c r="M723" s="49">
        <v>11</v>
      </c>
      <c r="N723" s="80">
        <f t="shared" si="115"/>
        <v>370</v>
      </c>
      <c r="O723" s="51">
        <v>370</v>
      </c>
      <c r="P723" s="81" t="str">
        <f t="shared" si="116"/>
        <v>OK</v>
      </c>
      <c r="Q723" s="142"/>
      <c r="R723" s="76"/>
      <c r="S723" s="81" t="str">
        <f t="shared" si="117"/>
        <v/>
      </c>
      <c r="T723" s="81" t="str">
        <f t="shared" si="118"/>
        <v/>
      </c>
      <c r="U723" s="46">
        <v>44854</v>
      </c>
      <c r="V723" s="50">
        <f t="shared" si="113"/>
        <v>370</v>
      </c>
      <c r="W723" s="53">
        <f t="shared" si="114"/>
        <v>0</v>
      </c>
    </row>
    <row r="724" spans="1:23" ht="25.5" x14ac:dyDescent="0.25">
      <c r="A724" s="35" t="s">
        <v>2840</v>
      </c>
      <c r="B724" s="36">
        <v>44830</v>
      </c>
      <c r="C724" s="35" t="s">
        <v>3993</v>
      </c>
      <c r="D724" s="36" t="s">
        <v>868</v>
      </c>
      <c r="E724" s="73" t="s">
        <v>1070</v>
      </c>
      <c r="F724" s="38" t="s">
        <v>3994</v>
      </c>
      <c r="G724" s="37" t="s">
        <v>3995</v>
      </c>
      <c r="H724" s="37" t="s">
        <v>3760</v>
      </c>
      <c r="I724" s="38" t="s">
        <v>320</v>
      </c>
      <c r="J724" s="39" t="s">
        <v>317</v>
      </c>
      <c r="K724" s="39" t="s">
        <v>16</v>
      </c>
      <c r="L724" s="39" t="s">
        <v>27</v>
      </c>
      <c r="M724" s="39">
        <v>11</v>
      </c>
      <c r="N724" s="86">
        <f t="shared" si="115"/>
        <v>370</v>
      </c>
      <c r="O724" s="41">
        <v>370</v>
      </c>
      <c r="P724" s="86" t="str">
        <f t="shared" si="116"/>
        <v>OK</v>
      </c>
      <c r="Q724" s="143"/>
      <c r="R724" s="78"/>
      <c r="S724" s="87" t="str">
        <f t="shared" si="117"/>
        <v/>
      </c>
      <c r="T724" s="87" t="str">
        <f t="shared" si="118"/>
        <v/>
      </c>
      <c r="U724" s="36">
        <v>44915</v>
      </c>
      <c r="V724" s="40">
        <f t="shared" si="113"/>
        <v>370</v>
      </c>
      <c r="W724" s="43">
        <f t="shared" si="114"/>
        <v>0</v>
      </c>
    </row>
    <row r="725" spans="1:23" ht="25.5" x14ac:dyDescent="0.25">
      <c r="A725" s="45" t="s">
        <v>2841</v>
      </c>
      <c r="B725" s="46">
        <v>44860</v>
      </c>
      <c r="C725" s="45" t="s">
        <v>3996</v>
      </c>
      <c r="D725" s="46" t="s">
        <v>526</v>
      </c>
      <c r="E725" s="72" t="s">
        <v>1066</v>
      </c>
      <c r="F725" s="48" t="s">
        <v>3997</v>
      </c>
      <c r="G725" s="47" t="s">
        <v>3998</v>
      </c>
      <c r="H725" s="47" t="s">
        <v>3999</v>
      </c>
      <c r="I725" s="48" t="s">
        <v>320</v>
      </c>
      <c r="J725" s="48" t="s">
        <v>317</v>
      </c>
      <c r="K725" s="49" t="s">
        <v>432</v>
      </c>
      <c r="L725" s="49" t="s">
        <v>480</v>
      </c>
      <c r="M725" s="49">
        <v>1</v>
      </c>
      <c r="N725" s="80">
        <f t="shared" si="115"/>
        <v>300</v>
      </c>
      <c r="O725" s="51">
        <v>300</v>
      </c>
      <c r="P725" s="81" t="str">
        <f t="shared" si="116"/>
        <v>OK</v>
      </c>
      <c r="Q725" s="142"/>
      <c r="R725" s="76"/>
      <c r="S725" s="81" t="str">
        <f t="shared" si="117"/>
        <v/>
      </c>
      <c r="T725" s="81" t="str">
        <f t="shared" si="118"/>
        <v/>
      </c>
      <c r="U725" s="46">
        <v>44861</v>
      </c>
      <c r="V725" s="50">
        <f t="shared" si="113"/>
        <v>300</v>
      </c>
      <c r="W725" s="53">
        <f t="shared" si="114"/>
        <v>0</v>
      </c>
    </row>
    <row r="726" spans="1:23" ht="25.5" x14ac:dyDescent="0.25">
      <c r="A726" s="35" t="s">
        <v>2842</v>
      </c>
      <c r="B726" s="36">
        <v>44792</v>
      </c>
      <c r="C726" s="35" t="s">
        <v>4000</v>
      </c>
      <c r="D726" s="36" t="s">
        <v>868</v>
      </c>
      <c r="E726" s="73" t="s">
        <v>1070</v>
      </c>
      <c r="F726" s="38" t="s">
        <v>4002</v>
      </c>
      <c r="G726" s="37" t="s">
        <v>4001</v>
      </c>
      <c r="H726" s="37" t="s">
        <v>3962</v>
      </c>
      <c r="I726" s="38" t="s">
        <v>320</v>
      </c>
      <c r="J726" s="39" t="s">
        <v>317</v>
      </c>
      <c r="K726" s="39" t="s">
        <v>16</v>
      </c>
      <c r="L726" s="39" t="s">
        <v>27</v>
      </c>
      <c r="M726" s="39">
        <v>11</v>
      </c>
      <c r="N726" s="86">
        <f t="shared" si="115"/>
        <v>370</v>
      </c>
      <c r="O726" s="41">
        <v>370</v>
      </c>
      <c r="P726" s="86" t="str">
        <f t="shared" si="116"/>
        <v>OK</v>
      </c>
      <c r="Q726" s="143"/>
      <c r="R726" s="78"/>
      <c r="S726" s="87" t="str">
        <f t="shared" si="117"/>
        <v/>
      </c>
      <c r="T726" s="87" t="str">
        <f t="shared" si="118"/>
        <v/>
      </c>
      <c r="U726" s="36">
        <v>44854</v>
      </c>
      <c r="V726" s="40">
        <f t="shared" si="113"/>
        <v>370</v>
      </c>
      <c r="W726" s="43">
        <f t="shared" si="114"/>
        <v>0</v>
      </c>
    </row>
    <row r="727" spans="1:23" ht="25.5" x14ac:dyDescent="0.25">
      <c r="A727" s="45" t="s">
        <v>2843</v>
      </c>
      <c r="B727" s="46">
        <v>44862</v>
      </c>
      <c r="C727" s="45" t="s">
        <v>4003</v>
      </c>
      <c r="D727" s="46" t="s">
        <v>868</v>
      </c>
      <c r="E727" s="72" t="s">
        <v>1070</v>
      </c>
      <c r="F727" s="48" t="s">
        <v>4004</v>
      </c>
      <c r="G727" s="47" t="s">
        <v>4005</v>
      </c>
      <c r="H727" s="47" t="s">
        <v>3760</v>
      </c>
      <c r="I727" s="48" t="s">
        <v>320</v>
      </c>
      <c r="J727" s="48" t="s">
        <v>317</v>
      </c>
      <c r="K727" s="49" t="s">
        <v>16</v>
      </c>
      <c r="L727" s="49" t="s">
        <v>27</v>
      </c>
      <c r="M727" s="49">
        <v>11</v>
      </c>
      <c r="N727" s="80">
        <f t="shared" si="115"/>
        <v>370</v>
      </c>
      <c r="O727" s="51">
        <v>370</v>
      </c>
      <c r="P727" s="81" t="str">
        <f t="shared" si="116"/>
        <v>OK</v>
      </c>
      <c r="Q727" s="142"/>
      <c r="R727" s="76"/>
      <c r="S727" s="81" t="str">
        <f t="shared" si="117"/>
        <v/>
      </c>
      <c r="T727" s="81" t="str">
        <f t="shared" si="118"/>
        <v/>
      </c>
      <c r="U727" s="46">
        <v>44868</v>
      </c>
      <c r="V727" s="50">
        <f t="shared" si="113"/>
        <v>370</v>
      </c>
      <c r="W727" s="53">
        <f t="shared" si="114"/>
        <v>0</v>
      </c>
    </row>
    <row r="728" spans="1:23" ht="25.5" x14ac:dyDescent="0.25">
      <c r="A728" s="35" t="s">
        <v>2844</v>
      </c>
      <c r="B728" s="36">
        <v>44808</v>
      </c>
      <c r="C728" s="35" t="s">
        <v>4006</v>
      </c>
      <c r="D728" s="36" t="s">
        <v>868</v>
      </c>
      <c r="E728" s="73" t="s">
        <v>1070</v>
      </c>
      <c r="F728" s="38" t="s">
        <v>4007</v>
      </c>
      <c r="G728" s="37" t="s">
        <v>4008</v>
      </c>
      <c r="H728" s="37" t="s">
        <v>3760</v>
      </c>
      <c r="I728" s="38" t="s">
        <v>320</v>
      </c>
      <c r="J728" s="39" t="s">
        <v>317</v>
      </c>
      <c r="K728" s="39" t="s">
        <v>16</v>
      </c>
      <c r="L728" s="39" t="s">
        <v>27</v>
      </c>
      <c r="M728" s="39">
        <v>11</v>
      </c>
      <c r="N728" s="86">
        <f t="shared" si="115"/>
        <v>370</v>
      </c>
      <c r="O728" s="41">
        <v>370</v>
      </c>
      <c r="P728" s="86" t="str">
        <f t="shared" si="116"/>
        <v>OK</v>
      </c>
      <c r="Q728" s="143"/>
      <c r="R728" s="78"/>
      <c r="S728" s="87" t="str">
        <f t="shared" si="117"/>
        <v/>
      </c>
      <c r="T728" s="87" t="str">
        <f t="shared" si="118"/>
        <v/>
      </c>
      <c r="U728" s="36">
        <v>44854</v>
      </c>
      <c r="V728" s="40">
        <f t="shared" si="113"/>
        <v>370</v>
      </c>
      <c r="W728" s="43">
        <f t="shared" si="114"/>
        <v>0</v>
      </c>
    </row>
    <row r="729" spans="1:23" ht="25.5" x14ac:dyDescent="0.25">
      <c r="A729" s="45" t="s">
        <v>2845</v>
      </c>
      <c r="B729" s="46">
        <v>44847</v>
      </c>
      <c r="C729" s="45" t="s">
        <v>4009</v>
      </c>
      <c r="D729" s="46" t="s">
        <v>1173</v>
      </c>
      <c r="E729" s="72" t="s">
        <v>1311</v>
      </c>
      <c r="F729" s="48" t="s">
        <v>4010</v>
      </c>
      <c r="G729" s="47" t="s">
        <v>4011</v>
      </c>
      <c r="H729" s="47" t="s">
        <v>4012</v>
      </c>
      <c r="I729" s="48" t="s">
        <v>1189</v>
      </c>
      <c r="J729" s="48" t="s">
        <v>743</v>
      </c>
      <c r="K729" s="49" t="s">
        <v>31</v>
      </c>
      <c r="L729" s="49" t="s">
        <v>32</v>
      </c>
      <c r="M729" s="49">
        <v>13</v>
      </c>
      <c r="N729" s="80">
        <f t="shared" si="115"/>
        <v>370</v>
      </c>
      <c r="O729" s="51">
        <v>370</v>
      </c>
      <c r="P729" s="81" t="str">
        <f t="shared" si="116"/>
        <v>OK</v>
      </c>
      <c r="Q729" s="142"/>
      <c r="R729" s="76"/>
      <c r="S729" s="81" t="str">
        <f t="shared" si="117"/>
        <v/>
      </c>
      <c r="T729" s="81" t="str">
        <f t="shared" si="118"/>
        <v/>
      </c>
      <c r="U729" s="46">
        <v>44847</v>
      </c>
      <c r="V729" s="50">
        <f t="shared" si="113"/>
        <v>370</v>
      </c>
      <c r="W729" s="53">
        <f t="shared" si="114"/>
        <v>0</v>
      </c>
    </row>
    <row r="730" spans="1:23" ht="25.5" x14ac:dyDescent="0.25">
      <c r="A730" s="35" t="s">
        <v>2846</v>
      </c>
      <c r="B730" s="36">
        <v>44848</v>
      </c>
      <c r="C730" s="35" t="s">
        <v>4013</v>
      </c>
      <c r="D730" s="36" t="s">
        <v>1173</v>
      </c>
      <c r="E730" s="73" t="s">
        <v>1311</v>
      </c>
      <c r="F730" s="38" t="s">
        <v>4016</v>
      </c>
      <c r="G730" s="37" t="s">
        <v>4015</v>
      </c>
      <c r="H730" s="37" t="s">
        <v>4014</v>
      </c>
      <c r="I730" s="38" t="s">
        <v>1189</v>
      </c>
      <c r="J730" s="39" t="s">
        <v>743</v>
      </c>
      <c r="K730" s="39" t="s">
        <v>31</v>
      </c>
      <c r="L730" s="39" t="s">
        <v>32</v>
      </c>
      <c r="M730" s="39">
        <v>13</v>
      </c>
      <c r="N730" s="86">
        <f t="shared" si="115"/>
        <v>370</v>
      </c>
      <c r="O730" s="41">
        <v>370</v>
      </c>
      <c r="P730" s="86" t="str">
        <f t="shared" si="116"/>
        <v>OK</v>
      </c>
      <c r="Q730" s="143"/>
      <c r="R730" s="78"/>
      <c r="S730" s="87" t="str">
        <f t="shared" si="117"/>
        <v/>
      </c>
      <c r="T730" s="87" t="str">
        <f t="shared" si="118"/>
        <v/>
      </c>
      <c r="U730" s="36">
        <v>44848</v>
      </c>
      <c r="V730" s="40">
        <f t="shared" si="113"/>
        <v>370</v>
      </c>
      <c r="W730" s="43">
        <f t="shared" si="114"/>
        <v>0</v>
      </c>
    </row>
    <row r="731" spans="1:23" ht="25.5" x14ac:dyDescent="0.25">
      <c r="A731" s="45" t="s">
        <v>2847</v>
      </c>
      <c r="B731" s="46">
        <v>44869</v>
      </c>
      <c r="C731" s="45" t="s">
        <v>4017</v>
      </c>
      <c r="D731" s="46" t="s">
        <v>1173</v>
      </c>
      <c r="E731" s="72" t="s">
        <v>1311</v>
      </c>
      <c r="F731" s="48" t="s">
        <v>4018</v>
      </c>
      <c r="G731" s="47" t="s">
        <v>4019</v>
      </c>
      <c r="H731" s="47" t="s">
        <v>4020</v>
      </c>
      <c r="I731" s="48" t="s">
        <v>1189</v>
      </c>
      <c r="J731" s="48" t="s">
        <v>743</v>
      </c>
      <c r="K731" s="49" t="s">
        <v>31</v>
      </c>
      <c r="L731" s="49" t="s">
        <v>32</v>
      </c>
      <c r="M731" s="49">
        <v>13</v>
      </c>
      <c r="N731" s="80">
        <f t="shared" si="115"/>
        <v>370</v>
      </c>
      <c r="O731" s="51">
        <v>370</v>
      </c>
      <c r="P731" s="81" t="str">
        <f t="shared" si="116"/>
        <v>OK</v>
      </c>
      <c r="Q731" s="142"/>
      <c r="R731" s="76"/>
      <c r="S731" s="81" t="str">
        <f t="shared" si="117"/>
        <v/>
      </c>
      <c r="T731" s="81" t="str">
        <f t="shared" si="118"/>
        <v/>
      </c>
      <c r="U731" s="46">
        <v>44872</v>
      </c>
      <c r="V731" s="50">
        <f t="shared" si="113"/>
        <v>370</v>
      </c>
      <c r="W731" s="53">
        <f t="shared" si="114"/>
        <v>0</v>
      </c>
    </row>
    <row r="732" spans="1:23" ht="25.5" x14ac:dyDescent="0.25">
      <c r="A732" s="35" t="s">
        <v>2848</v>
      </c>
      <c r="B732" s="36">
        <v>44705</v>
      </c>
      <c r="C732" s="35" t="s">
        <v>4021</v>
      </c>
      <c r="D732" s="36" t="s">
        <v>526</v>
      </c>
      <c r="E732" s="73" t="s">
        <v>1066</v>
      </c>
      <c r="F732" s="38" t="s">
        <v>4022</v>
      </c>
      <c r="G732" s="37" t="s">
        <v>4023</v>
      </c>
      <c r="H732" s="37" t="s">
        <v>4024</v>
      </c>
      <c r="I732" s="38" t="s">
        <v>771</v>
      </c>
      <c r="J732" s="39" t="s">
        <v>772</v>
      </c>
      <c r="K732" s="39" t="s">
        <v>31</v>
      </c>
      <c r="L732" s="39" t="s">
        <v>32</v>
      </c>
      <c r="M732" s="39">
        <v>13</v>
      </c>
      <c r="N732" s="86">
        <f t="shared" si="115"/>
        <v>370</v>
      </c>
      <c r="O732" s="41">
        <v>740</v>
      </c>
      <c r="P732" s="86" t="str">
        <f t="shared" si="116"/>
        <v>OK</v>
      </c>
      <c r="Q732" s="143"/>
      <c r="R732" s="78"/>
      <c r="S732" s="87" t="str">
        <f t="shared" si="117"/>
        <v/>
      </c>
      <c r="T732" s="87" t="str">
        <f t="shared" si="118"/>
        <v/>
      </c>
      <c r="U732" s="36">
        <v>44827</v>
      </c>
      <c r="V732" s="40">
        <f t="shared" si="113"/>
        <v>740</v>
      </c>
      <c r="W732" s="43">
        <f t="shared" si="114"/>
        <v>0</v>
      </c>
    </row>
    <row r="733" spans="1:23" ht="38.25" x14ac:dyDescent="0.25">
      <c r="A733" s="45" t="s">
        <v>2849</v>
      </c>
      <c r="B733" s="46">
        <v>44705</v>
      </c>
      <c r="C733" s="45" t="s">
        <v>4025</v>
      </c>
      <c r="D733" s="46" t="s">
        <v>526</v>
      </c>
      <c r="E733" s="72" t="s">
        <v>1066</v>
      </c>
      <c r="F733" s="48" t="s">
        <v>4026</v>
      </c>
      <c r="G733" s="47" t="s">
        <v>4027</v>
      </c>
      <c r="H733" s="47" t="s">
        <v>4028</v>
      </c>
      <c r="I733" s="48" t="s">
        <v>771</v>
      </c>
      <c r="J733" s="48" t="s">
        <v>772</v>
      </c>
      <c r="K733" s="49" t="s">
        <v>31</v>
      </c>
      <c r="L733" s="49" t="s">
        <v>32</v>
      </c>
      <c r="M733" s="49">
        <v>13</v>
      </c>
      <c r="N733" s="80">
        <f t="shared" si="115"/>
        <v>370</v>
      </c>
      <c r="O733" s="51">
        <v>740</v>
      </c>
      <c r="P733" s="81" t="str">
        <f t="shared" si="116"/>
        <v>OK</v>
      </c>
      <c r="Q733" s="142"/>
      <c r="R733" s="76"/>
      <c r="S733" s="81" t="str">
        <f t="shared" si="117"/>
        <v/>
      </c>
      <c r="T733" s="81" t="str">
        <f t="shared" si="118"/>
        <v/>
      </c>
      <c r="U733" s="46">
        <v>44827</v>
      </c>
      <c r="V733" s="50">
        <f t="shared" si="113"/>
        <v>740</v>
      </c>
      <c r="W733" s="53">
        <f t="shared" si="114"/>
        <v>0</v>
      </c>
    </row>
    <row r="734" spans="1:23" ht="25.5" x14ac:dyDescent="0.25">
      <c r="A734" s="35" t="s">
        <v>2850</v>
      </c>
      <c r="B734" s="36">
        <v>44595</v>
      </c>
      <c r="C734" s="35" t="s">
        <v>4029</v>
      </c>
      <c r="D734" s="36" t="s">
        <v>526</v>
      </c>
      <c r="E734" s="73" t="s">
        <v>1066</v>
      </c>
      <c r="F734" s="38" t="s">
        <v>4030</v>
      </c>
      <c r="G734" s="37" t="s">
        <v>4031</v>
      </c>
      <c r="H734" s="37" t="s">
        <v>4032</v>
      </c>
      <c r="I734" s="38" t="s">
        <v>771</v>
      </c>
      <c r="J734" s="39" t="s">
        <v>772</v>
      </c>
      <c r="K734" s="39" t="s">
        <v>31</v>
      </c>
      <c r="L734" s="39" t="s">
        <v>32</v>
      </c>
      <c r="M734" s="39">
        <v>13</v>
      </c>
      <c r="N734" s="86">
        <f t="shared" si="115"/>
        <v>370</v>
      </c>
      <c r="O734" s="41">
        <v>740</v>
      </c>
      <c r="P734" s="86" t="str">
        <f t="shared" si="116"/>
        <v>OK</v>
      </c>
      <c r="Q734" s="143"/>
      <c r="R734" s="78"/>
      <c r="S734" s="87" t="str">
        <f t="shared" si="117"/>
        <v/>
      </c>
      <c r="T734" s="87" t="str">
        <f t="shared" si="118"/>
        <v/>
      </c>
      <c r="U734" s="36">
        <v>44827</v>
      </c>
      <c r="V734" s="40">
        <f t="shared" si="113"/>
        <v>740</v>
      </c>
      <c r="W734" s="43">
        <f t="shared" si="114"/>
        <v>0</v>
      </c>
    </row>
    <row r="735" spans="1:23" ht="38.25" x14ac:dyDescent="0.25">
      <c r="A735" s="45" t="s">
        <v>2851</v>
      </c>
      <c r="B735" s="46">
        <v>44841</v>
      </c>
      <c r="C735" s="45" t="s">
        <v>4033</v>
      </c>
      <c r="D735" s="46" t="s">
        <v>3455</v>
      </c>
      <c r="E735" s="72" t="s">
        <v>1080</v>
      </c>
      <c r="F735" s="48" t="s">
        <v>4034</v>
      </c>
      <c r="G735" s="47" t="s">
        <v>4035</v>
      </c>
      <c r="H735" s="47" t="s">
        <v>4036</v>
      </c>
      <c r="I735" s="48" t="s">
        <v>1425</v>
      </c>
      <c r="J735" s="48" t="s">
        <v>1426</v>
      </c>
      <c r="K735" s="49" t="s">
        <v>432</v>
      </c>
      <c r="L735" s="49" t="s">
        <v>480</v>
      </c>
      <c r="M735" s="49">
        <v>1</v>
      </c>
      <c r="N735" s="80">
        <f t="shared" si="115"/>
        <v>300</v>
      </c>
      <c r="O735" s="51">
        <v>300</v>
      </c>
      <c r="P735" s="81" t="str">
        <f t="shared" si="116"/>
        <v>OK</v>
      </c>
      <c r="Q735" s="142"/>
      <c r="R735" s="76"/>
      <c r="S735" s="81" t="str">
        <f t="shared" si="117"/>
        <v/>
      </c>
      <c r="T735" s="81" t="str">
        <f t="shared" si="118"/>
        <v/>
      </c>
      <c r="U735" s="46">
        <v>44843</v>
      </c>
      <c r="V735" s="50">
        <f t="shared" si="113"/>
        <v>300</v>
      </c>
      <c r="W735" s="53">
        <f t="shared" si="114"/>
        <v>0</v>
      </c>
    </row>
    <row r="736" spans="1:23" ht="25.5" x14ac:dyDescent="0.25">
      <c r="A736" s="35" t="s">
        <v>2852</v>
      </c>
      <c r="B736" s="36">
        <v>44790</v>
      </c>
      <c r="C736" s="35" t="s">
        <v>4037</v>
      </c>
      <c r="D736" s="36" t="s">
        <v>3455</v>
      </c>
      <c r="E736" s="73" t="s">
        <v>1080</v>
      </c>
      <c r="F736" s="38" t="s">
        <v>4038</v>
      </c>
      <c r="G736" s="37" t="s">
        <v>4039</v>
      </c>
      <c r="H736" s="37" t="s">
        <v>1028</v>
      </c>
      <c r="I736" s="38" t="s">
        <v>1425</v>
      </c>
      <c r="J736" s="39" t="s">
        <v>1426</v>
      </c>
      <c r="K736" s="39" t="s">
        <v>432</v>
      </c>
      <c r="L736" s="39" t="s">
        <v>480</v>
      </c>
      <c r="M736" s="39">
        <v>1</v>
      </c>
      <c r="N736" s="86">
        <f t="shared" si="115"/>
        <v>300</v>
      </c>
      <c r="O736" s="41">
        <v>1212</v>
      </c>
      <c r="P736" s="86" t="str">
        <f t="shared" si="116"/>
        <v>OK</v>
      </c>
      <c r="Q736" s="143"/>
      <c r="R736" s="78"/>
      <c r="S736" s="87" t="str">
        <f t="shared" si="117"/>
        <v/>
      </c>
      <c r="T736" s="87" t="str">
        <f t="shared" si="118"/>
        <v/>
      </c>
      <c r="U736" s="36">
        <v>44827</v>
      </c>
      <c r="V736" s="40">
        <f t="shared" si="113"/>
        <v>1212</v>
      </c>
      <c r="W736" s="43">
        <f t="shared" si="114"/>
        <v>0</v>
      </c>
    </row>
    <row r="737" spans="1:23" ht="25.5" x14ac:dyDescent="0.25">
      <c r="A737" s="45" t="s">
        <v>2853</v>
      </c>
      <c r="B737" s="46">
        <v>44833</v>
      </c>
      <c r="C737" s="45" t="s">
        <v>4040</v>
      </c>
      <c r="D737" s="46" t="s">
        <v>4041</v>
      </c>
      <c r="E737" s="72" t="s">
        <v>3838</v>
      </c>
      <c r="F737" s="48" t="s">
        <v>4042</v>
      </c>
      <c r="G737" s="47" t="s">
        <v>4043</v>
      </c>
      <c r="H737" s="47" t="s">
        <v>4044</v>
      </c>
      <c r="I737" s="48" t="s">
        <v>2238</v>
      </c>
      <c r="J737" s="48" t="s">
        <v>2239</v>
      </c>
      <c r="K737" s="49" t="s">
        <v>31</v>
      </c>
      <c r="L737" s="49" t="s">
        <v>1413</v>
      </c>
      <c r="M737" s="49">
        <v>15</v>
      </c>
      <c r="N737" s="80">
        <f t="shared" si="115"/>
        <v>370</v>
      </c>
      <c r="O737" s="51">
        <v>370</v>
      </c>
      <c r="P737" s="81" t="str">
        <f t="shared" si="116"/>
        <v>OK</v>
      </c>
      <c r="Q737" s="142"/>
      <c r="R737" s="76"/>
      <c r="S737" s="81" t="str">
        <f t="shared" si="117"/>
        <v/>
      </c>
      <c r="T737" s="81" t="str">
        <f t="shared" si="118"/>
        <v/>
      </c>
      <c r="U737" s="46">
        <v>44834</v>
      </c>
      <c r="V737" s="50">
        <f t="shared" si="113"/>
        <v>370</v>
      </c>
      <c r="W737" s="53">
        <f t="shared" si="114"/>
        <v>0</v>
      </c>
    </row>
    <row r="738" spans="1:23" ht="25.5" x14ac:dyDescent="0.25">
      <c r="A738" s="35" t="s">
        <v>2854</v>
      </c>
      <c r="B738" s="36">
        <v>44869</v>
      </c>
      <c r="C738" s="35" t="s">
        <v>4045</v>
      </c>
      <c r="D738" s="36" t="s">
        <v>1420</v>
      </c>
      <c r="E738" s="73" t="s">
        <v>1421</v>
      </c>
      <c r="F738" s="38" t="s">
        <v>4046</v>
      </c>
      <c r="G738" s="37" t="s">
        <v>4047</v>
      </c>
      <c r="H738" s="37" t="s">
        <v>4048</v>
      </c>
      <c r="I738" s="38" t="s">
        <v>1425</v>
      </c>
      <c r="J738" s="39" t="s">
        <v>1426</v>
      </c>
      <c r="K738" s="39" t="s">
        <v>432</v>
      </c>
      <c r="L738" s="39" t="s">
        <v>480</v>
      </c>
      <c r="M738" s="39">
        <v>1</v>
      </c>
      <c r="N738" s="86">
        <f t="shared" si="115"/>
        <v>300</v>
      </c>
      <c r="O738" s="41">
        <v>370</v>
      </c>
      <c r="P738" s="86" t="str">
        <f t="shared" si="116"/>
        <v>OK</v>
      </c>
      <c r="Q738" s="143"/>
      <c r="R738" s="78"/>
      <c r="S738" s="87" t="str">
        <f t="shared" si="117"/>
        <v/>
      </c>
      <c r="T738" s="87" t="str">
        <f t="shared" si="118"/>
        <v/>
      </c>
      <c r="U738" s="36">
        <v>44873</v>
      </c>
      <c r="V738" s="40">
        <f t="shared" si="113"/>
        <v>370</v>
      </c>
      <c r="W738" s="43">
        <f t="shared" si="114"/>
        <v>0</v>
      </c>
    </row>
    <row r="739" spans="1:23" ht="25.5" x14ac:dyDescent="0.25">
      <c r="A739" s="45" t="s">
        <v>2855</v>
      </c>
      <c r="B739" s="46">
        <v>44741</v>
      </c>
      <c r="C739" s="45" t="s">
        <v>4049</v>
      </c>
      <c r="D739" s="46" t="s">
        <v>1000</v>
      </c>
      <c r="E739" s="72" t="s">
        <v>1064</v>
      </c>
      <c r="F739" s="48" t="s">
        <v>4050</v>
      </c>
      <c r="G739" s="47" t="s">
        <v>4051</v>
      </c>
      <c r="H739" s="47" t="s">
        <v>4052</v>
      </c>
      <c r="I739" s="48" t="s">
        <v>2151</v>
      </c>
      <c r="J739" s="48" t="s">
        <v>4053</v>
      </c>
      <c r="K739" s="49" t="s">
        <v>37</v>
      </c>
      <c r="L739" s="49"/>
      <c r="M739" s="49">
        <v>16</v>
      </c>
      <c r="N739" s="80">
        <f t="shared" si="115"/>
        <v>300</v>
      </c>
      <c r="O739" s="51">
        <v>300</v>
      </c>
      <c r="P739" s="81" t="str">
        <f t="shared" si="116"/>
        <v>OK</v>
      </c>
      <c r="Q739" s="142"/>
      <c r="R739" s="76"/>
      <c r="S739" s="81" t="str">
        <f t="shared" si="117"/>
        <v/>
      </c>
      <c r="T739" s="81" t="str">
        <f t="shared" si="118"/>
        <v/>
      </c>
      <c r="U739" s="46">
        <v>44834</v>
      </c>
      <c r="V739" s="50">
        <f t="shared" si="113"/>
        <v>300</v>
      </c>
      <c r="W739" s="53">
        <f t="shared" si="114"/>
        <v>0</v>
      </c>
    </row>
    <row r="740" spans="1:23" ht="25.5" x14ac:dyDescent="0.25">
      <c r="A740" s="35" t="s">
        <v>2856</v>
      </c>
      <c r="B740" s="36">
        <v>44833</v>
      </c>
      <c r="C740" s="35" t="s">
        <v>4054</v>
      </c>
      <c r="D740" s="36" t="s">
        <v>1804</v>
      </c>
      <c r="E740" s="73" t="s">
        <v>1726</v>
      </c>
      <c r="F740" s="38" t="s">
        <v>4055</v>
      </c>
      <c r="G740" s="37" t="s">
        <v>4056</v>
      </c>
      <c r="H740" s="37" t="s">
        <v>4057</v>
      </c>
      <c r="I740" s="38" t="s">
        <v>1808</v>
      </c>
      <c r="J740" s="39" t="s">
        <v>1809</v>
      </c>
      <c r="K740" s="39" t="s">
        <v>31</v>
      </c>
      <c r="L740" s="39" t="s">
        <v>32</v>
      </c>
      <c r="M740" s="39">
        <v>13</v>
      </c>
      <c r="N740" s="86">
        <f t="shared" si="115"/>
        <v>370</v>
      </c>
      <c r="O740" s="41">
        <v>370</v>
      </c>
      <c r="P740" s="86" t="str">
        <f t="shared" si="116"/>
        <v>OK</v>
      </c>
      <c r="Q740" s="143"/>
      <c r="R740" s="78"/>
      <c r="S740" s="87" t="str">
        <f t="shared" si="117"/>
        <v/>
      </c>
      <c r="T740" s="87" t="str">
        <f t="shared" si="118"/>
        <v/>
      </c>
      <c r="U740" s="36">
        <v>44831</v>
      </c>
      <c r="V740" s="40">
        <f t="shared" ref="V740:V835" si="119">IF(M740="","",O740-R740)</f>
        <v>370</v>
      </c>
      <c r="W740" s="43">
        <f t="shared" ref="W740:W803" si="120">IF(M740="","",IF(AND(M740&gt;0,U740=""),V740,O740-(R740+V740)))</f>
        <v>0</v>
      </c>
    </row>
    <row r="741" spans="1:23" ht="38.25" x14ac:dyDescent="0.25">
      <c r="A741" s="45" t="s">
        <v>2857</v>
      </c>
      <c r="B741" s="46">
        <v>44630</v>
      </c>
      <c r="C741" s="45" t="s">
        <v>4058</v>
      </c>
      <c r="D741" s="46" t="s">
        <v>3041</v>
      </c>
      <c r="E741" s="72" t="s">
        <v>1071</v>
      </c>
      <c r="F741" s="48" t="s">
        <v>4059</v>
      </c>
      <c r="G741" s="47" t="s">
        <v>4060</v>
      </c>
      <c r="H741" s="47" t="s">
        <v>4061</v>
      </c>
      <c r="I741" s="48" t="s">
        <v>4062</v>
      </c>
      <c r="J741" s="48" t="s">
        <v>4063</v>
      </c>
      <c r="K741" s="49" t="s">
        <v>16</v>
      </c>
      <c r="L741" s="49" t="s">
        <v>23</v>
      </c>
      <c r="M741" s="49">
        <v>9</v>
      </c>
      <c r="N741" s="80">
        <f t="shared" si="115"/>
        <v>700</v>
      </c>
      <c r="O741" s="51">
        <v>1500</v>
      </c>
      <c r="P741" s="81" t="str">
        <f t="shared" si="116"/>
        <v>OK</v>
      </c>
      <c r="Q741" s="142"/>
      <c r="R741" s="76"/>
      <c r="S741" s="81" t="str">
        <f t="shared" si="117"/>
        <v/>
      </c>
      <c r="T741" s="81" t="str">
        <f t="shared" si="118"/>
        <v/>
      </c>
      <c r="U741" s="46">
        <v>44827</v>
      </c>
      <c r="V741" s="50">
        <f t="shared" si="119"/>
        <v>1500</v>
      </c>
      <c r="W741" s="53">
        <f t="shared" si="120"/>
        <v>0</v>
      </c>
    </row>
    <row r="742" spans="1:23" ht="63.75" x14ac:dyDescent="0.25">
      <c r="A742" s="35" t="s">
        <v>2858</v>
      </c>
      <c r="B742" s="36">
        <v>44707</v>
      </c>
      <c r="C742" s="35" t="s">
        <v>4064</v>
      </c>
      <c r="D742" s="36" t="s">
        <v>501</v>
      </c>
      <c r="E742" s="73" t="s">
        <v>1072</v>
      </c>
      <c r="F742" s="38" t="s">
        <v>4075</v>
      </c>
      <c r="G742" s="37" t="s">
        <v>4065</v>
      </c>
      <c r="H742" s="37" t="s">
        <v>4066</v>
      </c>
      <c r="I742" s="38" t="s">
        <v>4067</v>
      </c>
      <c r="J742" s="39" t="s">
        <v>4068</v>
      </c>
      <c r="K742" s="39" t="s">
        <v>16</v>
      </c>
      <c r="L742" s="39" t="s">
        <v>23</v>
      </c>
      <c r="M742" s="39">
        <v>9</v>
      </c>
      <c r="N742" s="86">
        <f t="shared" si="115"/>
        <v>700</v>
      </c>
      <c r="O742" s="41">
        <v>740</v>
      </c>
      <c r="P742" s="86" t="str">
        <f t="shared" si="116"/>
        <v>OK</v>
      </c>
      <c r="Q742" s="143"/>
      <c r="R742" s="78"/>
      <c r="S742" s="87" t="str">
        <f t="shared" si="117"/>
        <v/>
      </c>
      <c r="T742" s="87" t="str">
        <f t="shared" si="118"/>
        <v/>
      </c>
      <c r="U742" s="36">
        <v>44827</v>
      </c>
      <c r="V742" s="40">
        <f t="shared" si="119"/>
        <v>740</v>
      </c>
      <c r="W742" s="43">
        <f t="shared" si="120"/>
        <v>0</v>
      </c>
    </row>
    <row r="743" spans="1:23" ht="38.25" x14ac:dyDescent="0.25">
      <c r="A743" s="45" t="s">
        <v>2859</v>
      </c>
      <c r="B743" s="46">
        <v>44615</v>
      </c>
      <c r="C743" s="45" t="s">
        <v>4069</v>
      </c>
      <c r="D743" s="46" t="s">
        <v>1785</v>
      </c>
      <c r="E743" s="72" t="s">
        <v>1786</v>
      </c>
      <c r="F743" s="48" t="s">
        <v>4070</v>
      </c>
      <c r="G743" s="47" t="s">
        <v>4071</v>
      </c>
      <c r="H743" s="47" t="s">
        <v>4072</v>
      </c>
      <c r="I743" s="48" t="s">
        <v>545</v>
      </c>
      <c r="J743" s="48" t="s">
        <v>4073</v>
      </c>
      <c r="K743" s="49" t="s">
        <v>16</v>
      </c>
      <c r="L743" s="49" t="s">
        <v>17</v>
      </c>
      <c r="M743" s="49">
        <v>6</v>
      </c>
      <c r="N743" s="80">
        <f t="shared" si="115"/>
        <v>430</v>
      </c>
      <c r="O743" s="51">
        <v>1290</v>
      </c>
      <c r="P743" s="81" t="str">
        <f t="shared" si="116"/>
        <v>OK</v>
      </c>
      <c r="Q743" s="142"/>
      <c r="R743" s="76"/>
      <c r="S743" s="81" t="str">
        <f t="shared" si="117"/>
        <v/>
      </c>
      <c r="T743" s="81" t="str">
        <f t="shared" si="118"/>
        <v/>
      </c>
      <c r="U743" s="46">
        <v>44827</v>
      </c>
      <c r="V743" s="50">
        <f t="shared" si="119"/>
        <v>1290</v>
      </c>
      <c r="W743" s="53">
        <f t="shared" si="120"/>
        <v>0</v>
      </c>
    </row>
    <row r="744" spans="1:23" ht="25.5" x14ac:dyDescent="0.25">
      <c r="A744" s="35" t="s">
        <v>2860</v>
      </c>
      <c r="B744" s="36">
        <v>44708</v>
      </c>
      <c r="C744" s="35" t="s">
        <v>4074</v>
      </c>
      <c r="D744" s="36" t="s">
        <v>3041</v>
      </c>
      <c r="E744" s="73" t="s">
        <v>1071</v>
      </c>
      <c r="F744" s="38" t="s">
        <v>4076</v>
      </c>
      <c r="G744" s="37" t="s">
        <v>4077</v>
      </c>
      <c r="H744" s="37" t="s">
        <v>585</v>
      </c>
      <c r="I744" s="38" t="s">
        <v>4078</v>
      </c>
      <c r="J744" s="39" t="s">
        <v>4079</v>
      </c>
      <c r="K744" s="39" t="s">
        <v>432</v>
      </c>
      <c r="L744" s="39" t="s">
        <v>480</v>
      </c>
      <c r="M744" s="39">
        <v>1</v>
      </c>
      <c r="N744" s="86">
        <f t="shared" si="115"/>
        <v>300</v>
      </c>
      <c r="O744" s="41">
        <v>1500</v>
      </c>
      <c r="P744" s="86" t="str">
        <f t="shared" si="116"/>
        <v>OK</v>
      </c>
      <c r="Q744" s="143"/>
      <c r="R744" s="78"/>
      <c r="S744" s="87" t="str">
        <f t="shared" si="117"/>
        <v/>
      </c>
      <c r="T744" s="87" t="str">
        <f t="shared" si="118"/>
        <v/>
      </c>
      <c r="U744" s="36">
        <v>44827</v>
      </c>
      <c r="V744" s="40">
        <f t="shared" si="119"/>
        <v>1500</v>
      </c>
      <c r="W744" s="43">
        <f t="shared" si="120"/>
        <v>0</v>
      </c>
    </row>
    <row r="745" spans="1:23" ht="25.5" x14ac:dyDescent="0.25">
      <c r="A745" s="45" t="s">
        <v>2861</v>
      </c>
      <c r="B745" s="46">
        <v>44708</v>
      </c>
      <c r="C745" s="45" t="s">
        <v>4080</v>
      </c>
      <c r="D745" s="46" t="s">
        <v>1005</v>
      </c>
      <c r="E745" s="72" t="s">
        <v>1080</v>
      </c>
      <c r="F745" s="48" t="s">
        <v>4081</v>
      </c>
      <c r="G745" s="47" t="s">
        <v>4082</v>
      </c>
      <c r="H745" s="47" t="s">
        <v>4083</v>
      </c>
      <c r="I745" s="48" t="s">
        <v>4084</v>
      </c>
      <c r="J745" s="48" t="s">
        <v>4085</v>
      </c>
      <c r="K745" s="49" t="s">
        <v>16</v>
      </c>
      <c r="L745" s="49" t="s">
        <v>17</v>
      </c>
      <c r="M745" s="49">
        <v>6</v>
      </c>
      <c r="N745" s="80">
        <f t="shared" si="115"/>
        <v>430</v>
      </c>
      <c r="O745" s="51">
        <v>1164.6300000000001</v>
      </c>
      <c r="P745" s="81" t="str">
        <f t="shared" si="116"/>
        <v>OK</v>
      </c>
      <c r="Q745" s="142"/>
      <c r="R745" s="76"/>
      <c r="S745" s="81" t="str">
        <f t="shared" si="117"/>
        <v/>
      </c>
      <c r="T745" s="81" t="str">
        <f t="shared" si="118"/>
        <v/>
      </c>
      <c r="U745" s="46">
        <v>44827</v>
      </c>
      <c r="V745" s="50">
        <f t="shared" si="119"/>
        <v>1164.6300000000001</v>
      </c>
      <c r="W745" s="53">
        <f t="shared" si="120"/>
        <v>0</v>
      </c>
    </row>
    <row r="746" spans="1:23" ht="38.25" x14ac:dyDescent="0.25">
      <c r="A746" s="35" t="s">
        <v>2862</v>
      </c>
      <c r="B746" s="36">
        <v>44600</v>
      </c>
      <c r="C746" s="35" t="s">
        <v>4086</v>
      </c>
      <c r="D746" s="36" t="s">
        <v>1532</v>
      </c>
      <c r="E746" s="73" t="s">
        <v>1064</v>
      </c>
      <c r="F746" s="38" t="s">
        <v>4087</v>
      </c>
      <c r="G746" s="37" t="s">
        <v>4088</v>
      </c>
      <c r="H746" s="37" t="s">
        <v>534</v>
      </c>
      <c r="I746" s="38" t="s">
        <v>3258</v>
      </c>
      <c r="J746" s="39" t="s">
        <v>764</v>
      </c>
      <c r="K746" s="39" t="s">
        <v>16</v>
      </c>
      <c r="L746" s="39" t="s">
        <v>17</v>
      </c>
      <c r="M746" s="39">
        <v>6</v>
      </c>
      <c r="N746" s="86">
        <f t="shared" si="115"/>
        <v>430</v>
      </c>
      <c r="O746" s="41">
        <v>1110</v>
      </c>
      <c r="P746" s="86" t="str">
        <f t="shared" si="116"/>
        <v>OK</v>
      </c>
      <c r="Q746" s="143"/>
      <c r="R746" s="78"/>
      <c r="S746" s="87" t="str">
        <f t="shared" si="117"/>
        <v/>
      </c>
      <c r="T746" s="87" t="str">
        <f t="shared" si="118"/>
        <v/>
      </c>
      <c r="U746" s="36">
        <v>44827</v>
      </c>
      <c r="V746" s="40">
        <f t="shared" si="119"/>
        <v>1110</v>
      </c>
      <c r="W746" s="43">
        <f t="shared" si="120"/>
        <v>0</v>
      </c>
    </row>
    <row r="747" spans="1:23" ht="25.5" x14ac:dyDescent="0.25">
      <c r="A747" s="45" t="s">
        <v>2863</v>
      </c>
      <c r="B747" s="46">
        <v>44588</v>
      </c>
      <c r="C747" s="45" t="s">
        <v>4089</v>
      </c>
      <c r="D747" s="46" t="s">
        <v>2220</v>
      </c>
      <c r="E747" s="72" t="s">
        <v>2221</v>
      </c>
      <c r="F747" s="48" t="s">
        <v>4090</v>
      </c>
      <c r="G747" s="47" t="s">
        <v>4091</v>
      </c>
      <c r="H747" s="47" t="s">
        <v>4092</v>
      </c>
      <c r="I747" s="48" t="s">
        <v>4093</v>
      </c>
      <c r="J747" s="48" t="s">
        <v>4094</v>
      </c>
      <c r="K747" s="49" t="s">
        <v>16</v>
      </c>
      <c r="L747" s="49" t="s">
        <v>19</v>
      </c>
      <c r="M747" s="49">
        <v>7</v>
      </c>
      <c r="N747" s="80">
        <f t="shared" si="115"/>
        <v>530</v>
      </c>
      <c r="O747" s="51">
        <v>870</v>
      </c>
      <c r="P747" s="81" t="str">
        <f t="shared" si="116"/>
        <v>OK</v>
      </c>
      <c r="Q747" s="142"/>
      <c r="R747" s="76"/>
      <c r="S747" s="81" t="str">
        <f t="shared" si="117"/>
        <v/>
      </c>
      <c r="T747" s="81" t="str">
        <f t="shared" si="118"/>
        <v/>
      </c>
      <c r="U747" s="46">
        <v>44827</v>
      </c>
      <c r="V747" s="50">
        <f t="shared" si="119"/>
        <v>870</v>
      </c>
      <c r="W747" s="53">
        <f t="shared" si="120"/>
        <v>0</v>
      </c>
    </row>
    <row r="748" spans="1:23" ht="38.25" x14ac:dyDescent="0.25">
      <c r="A748" s="35" t="s">
        <v>2864</v>
      </c>
      <c r="B748" s="36">
        <v>44706</v>
      </c>
      <c r="C748" s="35" t="s">
        <v>4095</v>
      </c>
      <c r="D748" s="36" t="s">
        <v>802</v>
      </c>
      <c r="E748" s="73" t="s">
        <v>1068</v>
      </c>
      <c r="F748" s="38" t="s">
        <v>4096</v>
      </c>
      <c r="G748" s="37" t="s">
        <v>4097</v>
      </c>
      <c r="H748" s="37" t="s">
        <v>437</v>
      </c>
      <c r="I748" s="38" t="s">
        <v>806</v>
      </c>
      <c r="J748" s="39" t="s">
        <v>807</v>
      </c>
      <c r="K748" s="39" t="s">
        <v>31</v>
      </c>
      <c r="L748" s="39" t="s">
        <v>1413</v>
      </c>
      <c r="M748" s="39">
        <v>15</v>
      </c>
      <c r="N748" s="86">
        <f t="shared" si="115"/>
        <v>370</v>
      </c>
      <c r="O748" s="41">
        <v>600</v>
      </c>
      <c r="P748" s="86" t="str">
        <f t="shared" si="116"/>
        <v>OK</v>
      </c>
      <c r="Q748" s="143"/>
      <c r="R748" s="78"/>
      <c r="S748" s="87" t="str">
        <f t="shared" si="117"/>
        <v/>
      </c>
      <c r="T748" s="87" t="str">
        <f t="shared" si="118"/>
        <v/>
      </c>
      <c r="U748" s="36">
        <v>44827</v>
      </c>
      <c r="V748" s="40">
        <f t="shared" si="119"/>
        <v>600</v>
      </c>
      <c r="W748" s="43">
        <f t="shared" si="120"/>
        <v>0</v>
      </c>
    </row>
    <row r="749" spans="1:23" ht="25.5" x14ac:dyDescent="0.25">
      <c r="A749" s="45" t="s">
        <v>2865</v>
      </c>
      <c r="B749" s="46">
        <v>44651</v>
      </c>
      <c r="C749" s="45" t="s">
        <v>4098</v>
      </c>
      <c r="D749" s="46" t="s">
        <v>1006</v>
      </c>
      <c r="E749" s="72" t="s">
        <v>1064</v>
      </c>
      <c r="F749" s="48" t="s">
        <v>4099</v>
      </c>
      <c r="G749" s="47" t="s">
        <v>4100</v>
      </c>
      <c r="H749" s="47" t="s">
        <v>4101</v>
      </c>
      <c r="I749" s="48" t="s">
        <v>4102</v>
      </c>
      <c r="J749" s="48" t="s">
        <v>4103</v>
      </c>
      <c r="K749" s="49" t="s">
        <v>5</v>
      </c>
      <c r="L749" s="49" t="s">
        <v>10</v>
      </c>
      <c r="M749" s="49">
        <v>3</v>
      </c>
      <c r="N749" s="80">
        <f t="shared" si="115"/>
        <v>630</v>
      </c>
      <c r="O749" s="51">
        <v>1850</v>
      </c>
      <c r="P749" s="81" t="str">
        <f t="shared" si="116"/>
        <v>OK</v>
      </c>
      <c r="Q749" s="142"/>
      <c r="R749" s="76"/>
      <c r="S749" s="81" t="str">
        <f t="shared" si="117"/>
        <v/>
      </c>
      <c r="T749" s="81" t="str">
        <f t="shared" si="118"/>
        <v/>
      </c>
      <c r="U749" s="46">
        <v>44827</v>
      </c>
      <c r="V749" s="50">
        <f t="shared" si="119"/>
        <v>1850</v>
      </c>
      <c r="W749" s="53">
        <f t="shared" si="120"/>
        <v>0</v>
      </c>
    </row>
    <row r="750" spans="1:23" ht="25.5" x14ac:dyDescent="0.25">
      <c r="A750" s="35" t="s">
        <v>2866</v>
      </c>
      <c r="B750" s="36">
        <v>44739</v>
      </c>
      <c r="C750" s="35" t="s">
        <v>4104</v>
      </c>
      <c r="D750" s="36" t="s">
        <v>2220</v>
      </c>
      <c r="E750" s="73" t="s">
        <v>2221</v>
      </c>
      <c r="F750" s="38" t="s">
        <v>4105</v>
      </c>
      <c r="G750" s="37" t="s">
        <v>4106</v>
      </c>
      <c r="H750" s="37" t="s">
        <v>4107</v>
      </c>
      <c r="I750" s="38" t="s">
        <v>4093</v>
      </c>
      <c r="J750" s="39" t="s">
        <v>4094</v>
      </c>
      <c r="K750" s="39" t="s">
        <v>16</v>
      </c>
      <c r="L750" s="39" t="s">
        <v>19</v>
      </c>
      <c r="M750" s="39">
        <v>7</v>
      </c>
      <c r="N750" s="86">
        <f t="shared" si="115"/>
        <v>530</v>
      </c>
      <c r="O750" s="41">
        <v>870</v>
      </c>
      <c r="P750" s="86" t="s">
        <v>1017</v>
      </c>
      <c r="Q750" s="143"/>
      <c r="R750" s="78"/>
      <c r="S750" s="87" t="s">
        <v>415</v>
      </c>
      <c r="T750" s="87" t="s">
        <v>415</v>
      </c>
      <c r="U750" s="36">
        <v>44827</v>
      </c>
      <c r="V750" s="40">
        <f t="shared" si="119"/>
        <v>870</v>
      </c>
      <c r="W750" s="43">
        <f t="shared" si="120"/>
        <v>0</v>
      </c>
    </row>
    <row r="751" spans="1:23" ht="25.5" x14ac:dyDescent="0.25">
      <c r="A751" s="45" t="s">
        <v>2867</v>
      </c>
      <c r="B751" s="46">
        <v>44840</v>
      </c>
      <c r="C751" s="45" t="s">
        <v>4108</v>
      </c>
      <c r="D751" s="46" t="s">
        <v>998</v>
      </c>
      <c r="E751" s="72" t="s">
        <v>1064</v>
      </c>
      <c r="F751" s="48" t="s">
        <v>4109</v>
      </c>
      <c r="G751" s="47" t="s">
        <v>4110</v>
      </c>
      <c r="H751" s="47" t="s">
        <v>4111</v>
      </c>
      <c r="I751" s="48" t="s">
        <v>667</v>
      </c>
      <c r="J751" s="48" t="s">
        <v>552</v>
      </c>
      <c r="K751" s="49" t="s">
        <v>39</v>
      </c>
      <c r="L751" s="49" t="s">
        <v>40</v>
      </c>
      <c r="M751" s="49">
        <v>17</v>
      </c>
      <c r="N751" s="80">
        <f t="shared" si="115"/>
        <v>300</v>
      </c>
      <c r="O751" s="51">
        <v>300</v>
      </c>
      <c r="P751" s="81" t="str">
        <f t="shared" si="116"/>
        <v>OK</v>
      </c>
      <c r="Q751" s="142"/>
      <c r="R751" s="76"/>
      <c r="S751" s="81" t="str">
        <f t="shared" si="117"/>
        <v/>
      </c>
      <c r="T751" s="81" t="str">
        <f t="shared" si="118"/>
        <v/>
      </c>
      <c r="U751" s="46">
        <v>44844</v>
      </c>
      <c r="V751" s="50">
        <f t="shared" si="119"/>
        <v>300</v>
      </c>
      <c r="W751" s="53">
        <f t="shared" si="120"/>
        <v>0</v>
      </c>
    </row>
    <row r="752" spans="1:23" ht="25.5" x14ac:dyDescent="0.25">
      <c r="A752" s="35" t="s">
        <v>2868</v>
      </c>
      <c r="B752" s="36">
        <v>44854</v>
      </c>
      <c r="C752" s="35" t="s">
        <v>4112</v>
      </c>
      <c r="D752" s="36" t="s">
        <v>3874</v>
      </c>
      <c r="E752" s="73" t="s">
        <v>3875</v>
      </c>
      <c r="F752" s="38" t="s">
        <v>4113</v>
      </c>
      <c r="G752" s="37" t="s">
        <v>4114</v>
      </c>
      <c r="H752" s="37" t="s">
        <v>437</v>
      </c>
      <c r="I752" s="38" t="s">
        <v>4115</v>
      </c>
      <c r="J752" s="39" t="s">
        <v>3879</v>
      </c>
      <c r="K752" s="39" t="s">
        <v>31</v>
      </c>
      <c r="L752" s="39" t="s">
        <v>1413</v>
      </c>
      <c r="M752" s="39">
        <v>15</v>
      </c>
      <c r="N752" s="86">
        <f t="shared" si="115"/>
        <v>370</v>
      </c>
      <c r="O752" s="41">
        <v>300</v>
      </c>
      <c r="P752" s="86" t="str">
        <f t="shared" si="116"/>
        <v>OK</v>
      </c>
      <c r="Q752" s="143"/>
      <c r="R752" s="78"/>
      <c r="S752" s="87" t="str">
        <f t="shared" si="117"/>
        <v/>
      </c>
      <c r="T752" s="87" t="str">
        <f t="shared" si="118"/>
        <v/>
      </c>
      <c r="U752" s="36">
        <v>44854</v>
      </c>
      <c r="V752" s="40">
        <f t="shared" si="119"/>
        <v>300</v>
      </c>
      <c r="W752" s="43">
        <f t="shared" si="120"/>
        <v>0</v>
      </c>
    </row>
    <row r="753" spans="1:23" ht="38.25" x14ac:dyDescent="0.25">
      <c r="A753" s="45" t="s">
        <v>2869</v>
      </c>
      <c r="B753" s="46">
        <v>44858</v>
      </c>
      <c r="C753" s="45" t="s">
        <v>4116</v>
      </c>
      <c r="D753" s="46" t="s">
        <v>1079</v>
      </c>
      <c r="E753" s="72" t="s">
        <v>980</v>
      </c>
      <c r="F753" s="48" t="s">
        <v>4117</v>
      </c>
      <c r="G753" s="47" t="s">
        <v>4118</v>
      </c>
      <c r="H753" s="47" t="s">
        <v>4119</v>
      </c>
      <c r="I753" s="48" t="s">
        <v>2238</v>
      </c>
      <c r="J753" s="48" t="s">
        <v>2239</v>
      </c>
      <c r="K753" s="49" t="s">
        <v>31</v>
      </c>
      <c r="L753" s="49" t="s">
        <v>1413</v>
      </c>
      <c r="M753" s="49">
        <v>15</v>
      </c>
      <c r="N753" s="80">
        <f t="shared" si="115"/>
        <v>370</v>
      </c>
      <c r="O753" s="51">
        <v>240</v>
      </c>
      <c r="P753" s="81" t="str">
        <f t="shared" si="116"/>
        <v>OK</v>
      </c>
      <c r="Q753" s="142"/>
      <c r="R753" s="76"/>
      <c r="S753" s="81" t="str">
        <f t="shared" si="117"/>
        <v/>
      </c>
      <c r="T753" s="81" t="str">
        <f t="shared" si="118"/>
        <v/>
      </c>
      <c r="U753" s="46">
        <v>44858</v>
      </c>
      <c r="V753" s="50">
        <f t="shared" si="119"/>
        <v>240</v>
      </c>
      <c r="W753" s="53">
        <f t="shared" si="120"/>
        <v>0</v>
      </c>
    </row>
    <row r="754" spans="1:23" ht="25.5" x14ac:dyDescent="0.25">
      <c r="A754" s="35" t="s">
        <v>2870</v>
      </c>
      <c r="B754" s="36">
        <v>44858</v>
      </c>
      <c r="C754" s="35" t="s">
        <v>4120</v>
      </c>
      <c r="D754" s="36" t="s">
        <v>3455</v>
      </c>
      <c r="E754" s="73" t="s">
        <v>1080</v>
      </c>
      <c r="F754" s="38" t="s">
        <v>4121</v>
      </c>
      <c r="G754" s="37" t="s">
        <v>4122</v>
      </c>
      <c r="H754" s="37" t="s">
        <v>4123</v>
      </c>
      <c r="I754" s="38" t="s">
        <v>3818</v>
      </c>
      <c r="J754" s="39" t="s">
        <v>3819</v>
      </c>
      <c r="K754" s="39" t="s">
        <v>432</v>
      </c>
      <c r="L754" s="39" t="s">
        <v>480</v>
      </c>
      <c r="M754" s="39">
        <v>1</v>
      </c>
      <c r="N754" s="86">
        <f t="shared" si="115"/>
        <v>300</v>
      </c>
      <c r="O754" s="41">
        <v>300</v>
      </c>
      <c r="P754" s="86" t="str">
        <f t="shared" si="116"/>
        <v>OK</v>
      </c>
      <c r="Q754" s="143"/>
      <c r="R754" s="78"/>
      <c r="S754" s="87" t="str">
        <f t="shared" si="117"/>
        <v/>
      </c>
      <c r="T754" s="87" t="str">
        <f t="shared" si="118"/>
        <v/>
      </c>
      <c r="U754" s="36">
        <v>44858</v>
      </c>
      <c r="V754" s="40">
        <f t="shared" si="119"/>
        <v>300</v>
      </c>
      <c r="W754" s="43">
        <f t="shared" si="120"/>
        <v>0</v>
      </c>
    </row>
    <row r="755" spans="1:23" ht="51" x14ac:dyDescent="0.25">
      <c r="A755" s="45" t="s">
        <v>2871</v>
      </c>
      <c r="B755" s="46">
        <v>44865</v>
      </c>
      <c r="C755" s="45" t="s">
        <v>4124</v>
      </c>
      <c r="D755" s="46" t="s">
        <v>992</v>
      </c>
      <c r="E755" s="72" t="s">
        <v>1064</v>
      </c>
      <c r="F755" s="48" t="s">
        <v>4125</v>
      </c>
      <c r="G755" s="47" t="s">
        <v>4126</v>
      </c>
      <c r="H755" s="47" t="s">
        <v>4127</v>
      </c>
      <c r="I755" s="48" t="s">
        <v>352</v>
      </c>
      <c r="J755" s="48" t="s">
        <v>678</v>
      </c>
      <c r="K755" s="49" t="s">
        <v>39</v>
      </c>
      <c r="L755" s="49" t="s">
        <v>40</v>
      </c>
      <c r="M755" s="49">
        <v>17</v>
      </c>
      <c r="N755" s="80">
        <f t="shared" si="115"/>
        <v>300</v>
      </c>
      <c r="O755" s="51">
        <v>300</v>
      </c>
      <c r="P755" s="81" t="str">
        <f t="shared" si="116"/>
        <v>OK</v>
      </c>
      <c r="Q755" s="142"/>
      <c r="R755" s="76"/>
      <c r="S755" s="81" t="str">
        <f t="shared" si="117"/>
        <v/>
      </c>
      <c r="T755" s="81" t="str">
        <f t="shared" si="118"/>
        <v/>
      </c>
      <c r="U755" s="46">
        <v>44865</v>
      </c>
      <c r="V755" s="50">
        <f t="shared" si="119"/>
        <v>300</v>
      </c>
      <c r="W755" s="53">
        <f t="shared" si="120"/>
        <v>0</v>
      </c>
    </row>
    <row r="756" spans="1:23" ht="25.5" x14ac:dyDescent="0.25">
      <c r="A756" s="35" t="s">
        <v>2872</v>
      </c>
      <c r="B756" s="36">
        <v>44867</v>
      </c>
      <c r="C756" s="35" t="s">
        <v>4128</v>
      </c>
      <c r="D756" s="36" t="s">
        <v>1078</v>
      </c>
      <c r="E756" s="73" t="s">
        <v>981</v>
      </c>
      <c r="F756" s="38" t="s">
        <v>4129</v>
      </c>
      <c r="G756" s="37" t="s">
        <v>4130</v>
      </c>
      <c r="H756" s="37" t="s">
        <v>4131</v>
      </c>
      <c r="I756" s="38" t="s">
        <v>753</v>
      </c>
      <c r="J756" s="39" t="s">
        <v>754</v>
      </c>
      <c r="K756" s="39" t="s">
        <v>31</v>
      </c>
      <c r="L756" s="39" t="s">
        <v>1413</v>
      </c>
      <c r="M756" s="39">
        <v>15</v>
      </c>
      <c r="N756" s="86">
        <f t="shared" si="115"/>
        <v>370</v>
      </c>
      <c r="O756" s="41">
        <v>250</v>
      </c>
      <c r="P756" s="86" t="str">
        <f t="shared" si="116"/>
        <v>OK</v>
      </c>
      <c r="Q756" s="143"/>
      <c r="R756" s="78"/>
      <c r="S756" s="87" t="str">
        <f t="shared" si="117"/>
        <v/>
      </c>
      <c r="T756" s="87" t="str">
        <f t="shared" si="118"/>
        <v/>
      </c>
      <c r="U756" s="36">
        <v>44868</v>
      </c>
      <c r="V756" s="40">
        <f t="shared" si="119"/>
        <v>250</v>
      </c>
      <c r="W756" s="43">
        <f t="shared" si="120"/>
        <v>0</v>
      </c>
    </row>
    <row r="757" spans="1:23" ht="25.5" x14ac:dyDescent="0.25">
      <c r="A757" s="45" t="s">
        <v>2873</v>
      </c>
      <c r="B757" s="46">
        <v>44760</v>
      </c>
      <c r="C757" s="45" t="s">
        <v>4132</v>
      </c>
      <c r="D757" s="46" t="s">
        <v>1003</v>
      </c>
      <c r="E757" s="72" t="s">
        <v>1080</v>
      </c>
      <c r="F757" s="48" t="s">
        <v>4133</v>
      </c>
      <c r="G757" s="47" t="s">
        <v>4134</v>
      </c>
      <c r="H757" s="47" t="s">
        <v>4135</v>
      </c>
      <c r="I757" s="48" t="s">
        <v>320</v>
      </c>
      <c r="J757" s="48" t="s">
        <v>317</v>
      </c>
      <c r="K757" s="49" t="s">
        <v>16</v>
      </c>
      <c r="L757" s="49" t="s">
        <v>27</v>
      </c>
      <c r="M757" s="49">
        <v>11</v>
      </c>
      <c r="N757" s="80">
        <f t="shared" si="115"/>
        <v>370</v>
      </c>
      <c r="O757" s="51">
        <v>1100</v>
      </c>
      <c r="P757" s="81" t="str">
        <f t="shared" si="116"/>
        <v>OK</v>
      </c>
      <c r="Q757" s="142"/>
      <c r="R757" s="76"/>
      <c r="S757" s="81" t="str">
        <f t="shared" si="117"/>
        <v/>
      </c>
      <c r="T757" s="81" t="str">
        <f t="shared" si="118"/>
        <v/>
      </c>
      <c r="U757" s="46">
        <v>44879</v>
      </c>
      <c r="V757" s="50">
        <f t="shared" si="119"/>
        <v>1100</v>
      </c>
      <c r="W757" s="53">
        <f t="shared" si="120"/>
        <v>0</v>
      </c>
    </row>
    <row r="758" spans="1:23" ht="38.25" x14ac:dyDescent="0.25">
      <c r="A758" s="35" t="s">
        <v>2874</v>
      </c>
      <c r="B758" s="36">
        <v>44337</v>
      </c>
      <c r="C758" s="35" t="s">
        <v>4136</v>
      </c>
      <c r="D758" s="36" t="s">
        <v>4137</v>
      </c>
      <c r="E758" s="73" t="s">
        <v>1080</v>
      </c>
      <c r="F758" s="38" t="s">
        <v>4138</v>
      </c>
      <c r="G758" s="37" t="s">
        <v>4139</v>
      </c>
      <c r="H758" s="37" t="s">
        <v>4140</v>
      </c>
      <c r="I758" s="38" t="s">
        <v>4141</v>
      </c>
      <c r="J758" s="39" t="s">
        <v>4142</v>
      </c>
      <c r="K758" s="39" t="s">
        <v>16</v>
      </c>
      <c r="L758" s="39" t="s">
        <v>765</v>
      </c>
      <c r="M758" s="39">
        <v>8</v>
      </c>
      <c r="N758" s="86">
        <f t="shared" si="115"/>
        <v>370</v>
      </c>
      <c r="O758" s="41">
        <v>2150</v>
      </c>
      <c r="P758" s="86" t="str">
        <f t="shared" si="116"/>
        <v>ACIMA</v>
      </c>
      <c r="Q758" s="143"/>
      <c r="R758" s="78"/>
      <c r="S758" s="87" t="str">
        <f t="shared" si="117"/>
        <v/>
      </c>
      <c r="T758" s="87" t="str">
        <f t="shared" si="118"/>
        <v/>
      </c>
      <c r="U758" s="36">
        <v>44879</v>
      </c>
      <c r="V758" s="40">
        <f t="shared" si="119"/>
        <v>2150</v>
      </c>
      <c r="W758" s="43">
        <f t="shared" si="120"/>
        <v>0</v>
      </c>
    </row>
    <row r="759" spans="1:23" ht="25.5" x14ac:dyDescent="0.25">
      <c r="A759" s="45" t="s">
        <v>2875</v>
      </c>
      <c r="B759" s="46">
        <v>44627</v>
      </c>
      <c r="C759" s="45" t="s">
        <v>4143</v>
      </c>
      <c r="D759" s="46" t="s">
        <v>1001</v>
      </c>
      <c r="E759" s="72" t="s">
        <v>1080</v>
      </c>
      <c r="F759" s="48" t="s">
        <v>4144</v>
      </c>
      <c r="G759" s="47" t="s">
        <v>4145</v>
      </c>
      <c r="H759" s="47" t="s">
        <v>3193</v>
      </c>
      <c r="I759" s="48" t="s">
        <v>1425</v>
      </c>
      <c r="J759" s="48" t="s">
        <v>1426</v>
      </c>
      <c r="K759" s="49" t="s">
        <v>432</v>
      </c>
      <c r="L759" s="49" t="s">
        <v>480</v>
      </c>
      <c r="M759" s="49">
        <v>1</v>
      </c>
      <c r="N759" s="80">
        <f t="shared" si="115"/>
        <v>300</v>
      </c>
      <c r="O759" s="51">
        <v>370</v>
      </c>
      <c r="P759" s="81" t="str">
        <f t="shared" si="116"/>
        <v>OK</v>
      </c>
      <c r="Q759" s="142"/>
      <c r="R759" s="76"/>
      <c r="S759" s="81" t="str">
        <f t="shared" si="117"/>
        <v/>
      </c>
      <c r="T759" s="81" t="str">
        <f t="shared" si="118"/>
        <v/>
      </c>
      <c r="U759" s="46">
        <v>44879</v>
      </c>
      <c r="V759" s="50">
        <f t="shared" si="119"/>
        <v>370</v>
      </c>
      <c r="W759" s="53">
        <f t="shared" si="120"/>
        <v>0</v>
      </c>
    </row>
    <row r="760" spans="1:23" ht="25.5" x14ac:dyDescent="0.25">
      <c r="A760" s="35" t="s">
        <v>2876</v>
      </c>
      <c r="B760" s="36">
        <v>44727</v>
      </c>
      <c r="C760" s="35" t="s">
        <v>4146</v>
      </c>
      <c r="D760" s="36" t="s">
        <v>994</v>
      </c>
      <c r="E760" s="73" t="s">
        <v>1064</v>
      </c>
      <c r="F760" s="38" t="s">
        <v>4147</v>
      </c>
      <c r="G760" s="37" t="s">
        <v>4148</v>
      </c>
      <c r="H760" s="37" t="s">
        <v>4149</v>
      </c>
      <c r="I760" s="38" t="s">
        <v>4150</v>
      </c>
      <c r="J760" s="39" t="s">
        <v>4151</v>
      </c>
      <c r="K760" s="39" t="s">
        <v>16</v>
      </c>
      <c r="L760" s="39" t="s">
        <v>17</v>
      </c>
      <c r="M760" s="39">
        <v>6</v>
      </c>
      <c r="N760" s="86">
        <f t="shared" si="115"/>
        <v>430</v>
      </c>
      <c r="O760" s="41">
        <v>700</v>
      </c>
      <c r="P760" s="86" t="str">
        <f t="shared" si="116"/>
        <v>OK</v>
      </c>
      <c r="Q760" s="143"/>
      <c r="R760" s="78"/>
      <c r="S760" s="87" t="str">
        <f t="shared" si="117"/>
        <v/>
      </c>
      <c r="T760" s="87" t="str">
        <f t="shared" si="118"/>
        <v/>
      </c>
      <c r="U760" s="36">
        <v>44879</v>
      </c>
      <c r="V760" s="40">
        <f t="shared" si="119"/>
        <v>700</v>
      </c>
      <c r="W760" s="43">
        <f t="shared" si="120"/>
        <v>0</v>
      </c>
    </row>
    <row r="761" spans="1:23" ht="25.5" x14ac:dyDescent="0.25">
      <c r="A761" s="45" t="s">
        <v>2877</v>
      </c>
      <c r="B761" s="46">
        <v>44659</v>
      </c>
      <c r="C761" s="45" t="s">
        <v>4152</v>
      </c>
      <c r="D761" s="46" t="s">
        <v>3018</v>
      </c>
      <c r="E761" s="72" t="s">
        <v>1064</v>
      </c>
      <c r="F761" s="48" t="s">
        <v>4153</v>
      </c>
      <c r="G761" s="47" t="s">
        <v>4154</v>
      </c>
      <c r="H761" s="47" t="s">
        <v>4155</v>
      </c>
      <c r="I761" s="48" t="s">
        <v>4156</v>
      </c>
      <c r="J761" s="48" t="s">
        <v>4157</v>
      </c>
      <c r="K761" s="49" t="s">
        <v>16</v>
      </c>
      <c r="L761" s="49" t="s">
        <v>27</v>
      </c>
      <c r="M761" s="49">
        <v>11</v>
      </c>
      <c r="N761" s="80">
        <f t="shared" si="115"/>
        <v>370</v>
      </c>
      <c r="O761" s="51">
        <v>1600</v>
      </c>
      <c r="P761" s="81" t="str">
        <f t="shared" si="116"/>
        <v>OK</v>
      </c>
      <c r="Q761" s="142"/>
      <c r="R761" s="76"/>
      <c r="S761" s="81" t="str">
        <f t="shared" si="117"/>
        <v/>
      </c>
      <c r="T761" s="81" t="str">
        <f t="shared" si="118"/>
        <v/>
      </c>
      <c r="U761" s="46">
        <v>44879</v>
      </c>
      <c r="V761" s="50">
        <f t="shared" si="119"/>
        <v>1600</v>
      </c>
      <c r="W761" s="53">
        <f t="shared" si="120"/>
        <v>0</v>
      </c>
    </row>
    <row r="762" spans="1:23" ht="25.5" x14ac:dyDescent="0.25">
      <c r="A762" s="35" t="s">
        <v>2878</v>
      </c>
      <c r="B762" s="36">
        <v>44405</v>
      </c>
      <c r="C762" s="35" t="s">
        <v>4158</v>
      </c>
      <c r="D762" s="36" t="s">
        <v>1790</v>
      </c>
      <c r="E762" s="73" t="s">
        <v>1069</v>
      </c>
      <c r="F762" s="38" t="s">
        <v>4159</v>
      </c>
      <c r="G762" s="37" t="s">
        <v>4162</v>
      </c>
      <c r="H762" s="37" t="s">
        <v>4163</v>
      </c>
      <c r="I762" s="38" t="s">
        <v>4160</v>
      </c>
      <c r="J762" s="39" t="s">
        <v>4161</v>
      </c>
      <c r="K762" s="39" t="s">
        <v>16</v>
      </c>
      <c r="L762" s="39" t="s">
        <v>23</v>
      </c>
      <c r="M762" s="39">
        <v>9</v>
      </c>
      <c r="N762" s="86">
        <f t="shared" si="115"/>
        <v>700</v>
      </c>
      <c r="O762" s="41">
        <v>1060</v>
      </c>
      <c r="P762" s="86" t="str">
        <f t="shared" si="116"/>
        <v>OK</v>
      </c>
      <c r="Q762" s="143"/>
      <c r="R762" s="78"/>
      <c r="S762" s="87" t="str">
        <f t="shared" si="117"/>
        <v/>
      </c>
      <c r="T762" s="87" t="str">
        <f t="shared" si="118"/>
        <v/>
      </c>
      <c r="U762" s="36">
        <v>44879</v>
      </c>
      <c r="V762" s="40">
        <f t="shared" si="119"/>
        <v>1060</v>
      </c>
      <c r="W762" s="43">
        <f t="shared" si="120"/>
        <v>0</v>
      </c>
    </row>
    <row r="763" spans="1:23" ht="25.5" x14ac:dyDescent="0.25">
      <c r="A763" s="45" t="s">
        <v>2879</v>
      </c>
      <c r="B763" s="46">
        <v>43659</v>
      </c>
      <c r="C763" s="45" t="s">
        <v>4164</v>
      </c>
      <c r="D763" s="46" t="s">
        <v>868</v>
      </c>
      <c r="E763" s="72" t="s">
        <v>1070</v>
      </c>
      <c r="F763" s="48" t="s">
        <v>4165</v>
      </c>
      <c r="G763" s="47" t="s">
        <v>4166</v>
      </c>
      <c r="H763" s="47" t="s">
        <v>4131</v>
      </c>
      <c r="I763" s="48" t="s">
        <v>4167</v>
      </c>
      <c r="J763" s="48" t="s">
        <v>4168</v>
      </c>
      <c r="K763" s="49" t="s">
        <v>31</v>
      </c>
      <c r="L763" s="49" t="s">
        <v>34</v>
      </c>
      <c r="M763" s="49">
        <v>14</v>
      </c>
      <c r="N763" s="80">
        <f t="shared" si="115"/>
        <v>370</v>
      </c>
      <c r="O763" s="51">
        <v>450</v>
      </c>
      <c r="P763" s="81" t="str">
        <f t="shared" si="116"/>
        <v>OK</v>
      </c>
      <c r="Q763" s="142"/>
      <c r="R763" s="76"/>
      <c r="S763" s="81" t="str">
        <f t="shared" si="117"/>
        <v/>
      </c>
      <c r="T763" s="81" t="str">
        <f t="shared" si="118"/>
        <v/>
      </c>
      <c r="U763" s="46">
        <v>44879</v>
      </c>
      <c r="V763" s="50">
        <f t="shared" si="119"/>
        <v>450</v>
      </c>
      <c r="W763" s="53">
        <f t="shared" si="120"/>
        <v>0</v>
      </c>
    </row>
    <row r="764" spans="1:23" ht="25.5" x14ac:dyDescent="0.25">
      <c r="A764" s="35" t="s">
        <v>2880</v>
      </c>
      <c r="B764" s="36">
        <v>44796</v>
      </c>
      <c r="C764" s="35" t="s">
        <v>4169</v>
      </c>
      <c r="D764" s="36" t="s">
        <v>501</v>
      </c>
      <c r="E764" s="73" t="s">
        <v>1072</v>
      </c>
      <c r="F764" s="38" t="s">
        <v>4170</v>
      </c>
      <c r="G764" s="37" t="s">
        <v>4171</v>
      </c>
      <c r="H764" s="37" t="s">
        <v>4172</v>
      </c>
      <c r="I764" s="38" t="s">
        <v>320</v>
      </c>
      <c r="J764" s="39" t="s">
        <v>317</v>
      </c>
      <c r="K764" s="39" t="s">
        <v>16</v>
      </c>
      <c r="L764" s="39" t="s">
        <v>29</v>
      </c>
      <c r="M764" s="39">
        <v>12</v>
      </c>
      <c r="N764" s="86">
        <f t="shared" si="115"/>
        <v>370</v>
      </c>
      <c r="O764" s="41">
        <v>1850</v>
      </c>
      <c r="P764" s="86" t="str">
        <f t="shared" si="116"/>
        <v>OK</v>
      </c>
      <c r="Q764" s="143"/>
      <c r="R764" s="78"/>
      <c r="S764" s="87" t="str">
        <f t="shared" si="117"/>
        <v/>
      </c>
      <c r="T764" s="87" t="str">
        <f t="shared" si="118"/>
        <v/>
      </c>
      <c r="U764" s="36">
        <v>44879</v>
      </c>
      <c r="V764" s="40">
        <f t="shared" si="119"/>
        <v>1850</v>
      </c>
      <c r="W764" s="43">
        <f t="shared" si="120"/>
        <v>0</v>
      </c>
    </row>
    <row r="765" spans="1:23" ht="25.5" x14ac:dyDescent="0.25">
      <c r="A765" s="45" t="s">
        <v>2881</v>
      </c>
      <c r="B765" s="46">
        <v>44491</v>
      </c>
      <c r="C765" s="45" t="s">
        <v>4173</v>
      </c>
      <c r="D765" s="46" t="s">
        <v>1420</v>
      </c>
      <c r="E765" s="72" t="s">
        <v>1421</v>
      </c>
      <c r="F765" s="48" t="s">
        <v>4175</v>
      </c>
      <c r="G765" s="47" t="s">
        <v>4174</v>
      </c>
      <c r="H765" s="47" t="s">
        <v>4176</v>
      </c>
      <c r="I765" s="48" t="s">
        <v>1425</v>
      </c>
      <c r="J765" s="48" t="s">
        <v>1426</v>
      </c>
      <c r="K765" s="49" t="s">
        <v>432</v>
      </c>
      <c r="L765" s="49" t="s">
        <v>480</v>
      </c>
      <c r="M765" s="49">
        <v>1</v>
      </c>
      <c r="N765" s="80">
        <f t="shared" si="115"/>
        <v>300</v>
      </c>
      <c r="O765" s="51">
        <v>370</v>
      </c>
      <c r="P765" s="81" t="str">
        <f t="shared" si="116"/>
        <v>OK</v>
      </c>
      <c r="Q765" s="142"/>
      <c r="R765" s="76"/>
      <c r="S765" s="81" t="str">
        <f t="shared" si="117"/>
        <v/>
      </c>
      <c r="T765" s="81" t="str">
        <f t="shared" si="118"/>
        <v/>
      </c>
      <c r="U765" s="46">
        <v>44879</v>
      </c>
      <c r="V765" s="50">
        <f t="shared" si="119"/>
        <v>370</v>
      </c>
      <c r="W765" s="53">
        <f t="shared" si="120"/>
        <v>0</v>
      </c>
    </row>
    <row r="766" spans="1:23" ht="25.5" x14ac:dyDescent="0.25">
      <c r="A766" s="35" t="s">
        <v>2882</v>
      </c>
      <c r="B766" s="36">
        <v>44784</v>
      </c>
      <c r="C766" s="35" t="s">
        <v>4177</v>
      </c>
      <c r="D766" s="36" t="s">
        <v>993</v>
      </c>
      <c r="E766" s="73" t="s">
        <v>1080</v>
      </c>
      <c r="F766" s="38" t="s">
        <v>4178</v>
      </c>
      <c r="G766" s="37" t="s">
        <v>4179</v>
      </c>
      <c r="H766" s="37" t="s">
        <v>4180</v>
      </c>
      <c r="I766" s="38" t="s">
        <v>1153</v>
      </c>
      <c r="J766" s="39" t="s">
        <v>1154</v>
      </c>
      <c r="K766" s="39" t="s">
        <v>5</v>
      </c>
      <c r="L766" s="39" t="s">
        <v>8</v>
      </c>
      <c r="M766" s="39">
        <v>2</v>
      </c>
      <c r="N766" s="86">
        <f t="shared" si="115"/>
        <v>370</v>
      </c>
      <c r="O766" s="41">
        <v>400</v>
      </c>
      <c r="P766" s="86" t="str">
        <f t="shared" si="116"/>
        <v>OK</v>
      </c>
      <c r="Q766" s="143"/>
      <c r="R766" s="78"/>
      <c r="S766" s="87" t="str">
        <f t="shared" si="117"/>
        <v/>
      </c>
      <c r="T766" s="87" t="str">
        <f t="shared" si="118"/>
        <v/>
      </c>
      <c r="U766" s="36">
        <v>44879</v>
      </c>
      <c r="V766" s="40">
        <f t="shared" si="119"/>
        <v>400</v>
      </c>
      <c r="W766" s="43">
        <f t="shared" si="120"/>
        <v>0</v>
      </c>
    </row>
    <row r="767" spans="1:23" ht="38.25" x14ac:dyDescent="0.25">
      <c r="A767" s="45" t="s">
        <v>2883</v>
      </c>
      <c r="B767" s="46">
        <v>44364</v>
      </c>
      <c r="C767" s="45" t="s">
        <v>2211</v>
      </c>
      <c r="D767" s="46" t="s">
        <v>802</v>
      </c>
      <c r="E767" s="72" t="s">
        <v>1068</v>
      </c>
      <c r="F767" s="48" t="s">
        <v>2212</v>
      </c>
      <c r="G767" s="47" t="s">
        <v>2213</v>
      </c>
      <c r="H767" s="47" t="s">
        <v>437</v>
      </c>
      <c r="I767" s="48" t="s">
        <v>806</v>
      </c>
      <c r="J767" s="48" t="s">
        <v>807</v>
      </c>
      <c r="K767" s="49" t="s">
        <v>31</v>
      </c>
      <c r="L767" s="49" t="s">
        <v>1413</v>
      </c>
      <c r="M767" s="49">
        <v>15</v>
      </c>
      <c r="N767" s="80">
        <f t="shared" si="115"/>
        <v>370</v>
      </c>
      <c r="O767" s="51">
        <v>622</v>
      </c>
      <c r="P767" s="81" t="str">
        <f t="shared" si="116"/>
        <v>OK</v>
      </c>
      <c r="Q767" s="142"/>
      <c r="R767" s="76"/>
      <c r="S767" s="81" t="str">
        <f t="shared" si="117"/>
        <v/>
      </c>
      <c r="T767" s="81" t="str">
        <f t="shared" si="118"/>
        <v/>
      </c>
      <c r="U767" s="46">
        <v>44879</v>
      </c>
      <c r="V767" s="50">
        <f t="shared" si="119"/>
        <v>622</v>
      </c>
      <c r="W767" s="53">
        <f t="shared" si="120"/>
        <v>0</v>
      </c>
    </row>
    <row r="768" spans="1:23" ht="25.5" x14ac:dyDescent="0.25">
      <c r="A768" s="35" t="s">
        <v>2884</v>
      </c>
      <c r="B768" s="36">
        <v>44784</v>
      </c>
      <c r="C768" s="35" t="s">
        <v>4181</v>
      </c>
      <c r="D768" s="36" t="s">
        <v>1003</v>
      </c>
      <c r="E768" s="73" t="s">
        <v>1080</v>
      </c>
      <c r="F768" s="38" t="s">
        <v>4183</v>
      </c>
      <c r="G768" s="37" t="s">
        <v>4182</v>
      </c>
      <c r="H768" s="37" t="s">
        <v>4184</v>
      </c>
      <c r="I768" s="38" t="s">
        <v>4185</v>
      </c>
      <c r="J768" s="39" t="s">
        <v>4186</v>
      </c>
      <c r="K768" s="39" t="s">
        <v>16</v>
      </c>
      <c r="L768" s="39" t="s">
        <v>29</v>
      </c>
      <c r="M768" s="39">
        <v>12</v>
      </c>
      <c r="N768" s="86">
        <f t="shared" si="115"/>
        <v>370</v>
      </c>
      <c r="O768" s="41">
        <v>1100</v>
      </c>
      <c r="P768" s="86" t="str">
        <f t="shared" si="116"/>
        <v>OK</v>
      </c>
      <c r="Q768" s="143"/>
      <c r="R768" s="78"/>
      <c r="S768" s="87" t="str">
        <f t="shared" si="117"/>
        <v/>
      </c>
      <c r="T768" s="87" t="str">
        <f t="shared" si="118"/>
        <v/>
      </c>
      <c r="U768" s="36">
        <v>44879</v>
      </c>
      <c r="V768" s="40">
        <f t="shared" si="119"/>
        <v>1100</v>
      </c>
      <c r="W768" s="43">
        <f t="shared" si="120"/>
        <v>0</v>
      </c>
    </row>
    <row r="769" spans="1:23" ht="25.5" x14ac:dyDescent="0.25">
      <c r="A769" s="45" t="s">
        <v>2885</v>
      </c>
      <c r="B769" s="46">
        <v>44743</v>
      </c>
      <c r="C769" s="45" t="s">
        <v>4187</v>
      </c>
      <c r="D769" s="46" t="s">
        <v>3455</v>
      </c>
      <c r="E769" s="72" t="s">
        <v>1080</v>
      </c>
      <c r="F769" s="48" t="s">
        <v>4188</v>
      </c>
      <c r="G769" s="47" t="s">
        <v>4189</v>
      </c>
      <c r="H769" s="47" t="s">
        <v>4190</v>
      </c>
      <c r="I769" s="48" t="s">
        <v>4191</v>
      </c>
      <c r="J769" s="48" t="s">
        <v>4192</v>
      </c>
      <c r="K769" s="49" t="s">
        <v>16</v>
      </c>
      <c r="L769" s="49" t="s">
        <v>29</v>
      </c>
      <c r="M769" s="49">
        <v>12</v>
      </c>
      <c r="N769" s="80">
        <f t="shared" si="115"/>
        <v>370</v>
      </c>
      <c r="O769" s="51">
        <v>1850</v>
      </c>
      <c r="P769" s="81" t="str">
        <f t="shared" si="116"/>
        <v>OK</v>
      </c>
      <c r="Q769" s="142"/>
      <c r="R769" s="76"/>
      <c r="S769" s="81" t="str">
        <f t="shared" si="117"/>
        <v/>
      </c>
      <c r="T769" s="81" t="str">
        <f t="shared" si="118"/>
        <v/>
      </c>
      <c r="U769" s="46">
        <v>44879</v>
      </c>
      <c r="V769" s="50">
        <f t="shared" si="119"/>
        <v>1850</v>
      </c>
      <c r="W769" s="53">
        <f t="shared" si="120"/>
        <v>0</v>
      </c>
    </row>
    <row r="770" spans="1:23" ht="38.25" x14ac:dyDescent="0.25">
      <c r="A770" s="35" t="s">
        <v>2886</v>
      </c>
      <c r="B770" s="36">
        <v>44791</v>
      </c>
      <c r="C770" s="35" t="s">
        <v>4193</v>
      </c>
      <c r="D770" s="36" t="s">
        <v>1003</v>
      </c>
      <c r="E770" s="73" t="s">
        <v>1080</v>
      </c>
      <c r="F770" s="38" t="s">
        <v>4194</v>
      </c>
      <c r="G770" s="37" t="s">
        <v>4195</v>
      </c>
      <c r="H770" s="37" t="s">
        <v>4196</v>
      </c>
      <c r="I770" s="38" t="s">
        <v>1425</v>
      </c>
      <c r="J770" s="39" t="s">
        <v>1426</v>
      </c>
      <c r="K770" s="39" t="s">
        <v>432</v>
      </c>
      <c r="L770" s="39" t="s">
        <v>480</v>
      </c>
      <c r="M770" s="39">
        <v>1</v>
      </c>
      <c r="N770" s="86">
        <f t="shared" si="115"/>
        <v>300</v>
      </c>
      <c r="O770" s="41">
        <v>1100</v>
      </c>
      <c r="P770" s="86" t="str">
        <f t="shared" si="116"/>
        <v>OK</v>
      </c>
      <c r="Q770" s="143"/>
      <c r="R770" s="78"/>
      <c r="S770" s="87" t="str">
        <f t="shared" si="117"/>
        <v/>
      </c>
      <c r="T770" s="87" t="str">
        <f t="shared" si="118"/>
        <v/>
      </c>
      <c r="U770" s="36">
        <v>44879</v>
      </c>
      <c r="V770" s="40">
        <f t="shared" si="119"/>
        <v>1100</v>
      </c>
      <c r="W770" s="43">
        <f t="shared" si="120"/>
        <v>0</v>
      </c>
    </row>
    <row r="771" spans="1:23" ht="25.5" x14ac:dyDescent="0.25">
      <c r="A771" s="45" t="s">
        <v>2887</v>
      </c>
      <c r="B771" s="46">
        <v>44497</v>
      </c>
      <c r="C771" s="45" t="s">
        <v>4197</v>
      </c>
      <c r="D771" s="46" t="s">
        <v>466</v>
      </c>
      <c r="E771" s="72" t="s">
        <v>1070</v>
      </c>
      <c r="F771" s="48" t="s">
        <v>4198</v>
      </c>
      <c r="G771" s="47" t="s">
        <v>4199</v>
      </c>
      <c r="H771" s="47" t="s">
        <v>314</v>
      </c>
      <c r="I771" s="48" t="s">
        <v>320</v>
      </c>
      <c r="J771" s="48" t="s">
        <v>317</v>
      </c>
      <c r="K771" s="49" t="s">
        <v>16</v>
      </c>
      <c r="L771" s="49" t="s">
        <v>27</v>
      </c>
      <c r="M771" s="49">
        <v>11</v>
      </c>
      <c r="N771" s="80">
        <f t="shared" si="115"/>
        <v>370</v>
      </c>
      <c r="O771" s="51">
        <v>622</v>
      </c>
      <c r="P771" s="81" t="str">
        <f t="shared" ref="P771:P834" si="121">IF(M771="","",IF(O771&gt;(5*N771),"ACIMA","OK"))</f>
        <v>OK</v>
      </c>
      <c r="Q771" s="142"/>
      <c r="R771" s="76"/>
      <c r="S771" s="81" t="str">
        <f t="shared" ref="S771:S874" si="122">IF(R771="","",R771/O771)</f>
        <v/>
      </c>
      <c r="T771" s="81" t="str">
        <f t="shared" ref="T771:T874" si="123">IF(S771="","",IF(S771&gt;$Z$5,"ACIMA","OK"))</f>
        <v/>
      </c>
      <c r="U771" s="46">
        <v>44879</v>
      </c>
      <c r="V771" s="50">
        <f t="shared" si="119"/>
        <v>622</v>
      </c>
      <c r="W771" s="53">
        <f t="shared" si="120"/>
        <v>0</v>
      </c>
    </row>
    <row r="772" spans="1:23" ht="25.5" x14ac:dyDescent="0.25">
      <c r="A772" s="35" t="s">
        <v>2888</v>
      </c>
      <c r="B772" s="36">
        <v>44713</v>
      </c>
      <c r="C772" s="35" t="s">
        <v>4200</v>
      </c>
      <c r="D772" s="36" t="s">
        <v>466</v>
      </c>
      <c r="E772" s="73" t="s">
        <v>1070</v>
      </c>
      <c r="F772" s="38" t="s">
        <v>4201</v>
      </c>
      <c r="G772" s="37" t="s">
        <v>4202</v>
      </c>
      <c r="H772" s="37" t="s">
        <v>4203</v>
      </c>
      <c r="I772" s="38" t="s">
        <v>320</v>
      </c>
      <c r="J772" s="39" t="s">
        <v>317</v>
      </c>
      <c r="K772" s="39" t="s">
        <v>432</v>
      </c>
      <c r="L772" s="39" t="s">
        <v>480</v>
      </c>
      <c r="M772" s="39">
        <v>1</v>
      </c>
      <c r="N772" s="86">
        <f t="shared" si="115"/>
        <v>300</v>
      </c>
      <c r="O772" s="41">
        <v>1000</v>
      </c>
      <c r="P772" s="86" t="str">
        <f t="shared" si="121"/>
        <v>OK</v>
      </c>
      <c r="Q772" s="143"/>
      <c r="R772" s="78"/>
      <c r="S772" s="87" t="str">
        <f t="shared" si="122"/>
        <v/>
      </c>
      <c r="T772" s="87" t="str">
        <f t="shared" si="123"/>
        <v/>
      </c>
      <c r="U772" s="36">
        <v>44879</v>
      </c>
      <c r="V772" s="40">
        <f t="shared" si="119"/>
        <v>1000</v>
      </c>
      <c r="W772" s="43">
        <f t="shared" si="120"/>
        <v>0</v>
      </c>
    </row>
    <row r="773" spans="1:23" ht="38.25" x14ac:dyDescent="0.25">
      <c r="A773" s="45" t="s">
        <v>2889</v>
      </c>
      <c r="B773" s="46">
        <v>44809</v>
      </c>
      <c r="C773" s="45" t="s">
        <v>4204</v>
      </c>
      <c r="D773" s="46" t="s">
        <v>659</v>
      </c>
      <c r="E773" s="72" t="s">
        <v>1073</v>
      </c>
      <c r="F773" s="48" t="s">
        <v>4205</v>
      </c>
      <c r="G773" s="47" t="s">
        <v>4206</v>
      </c>
      <c r="H773" s="47" t="s">
        <v>4207</v>
      </c>
      <c r="I773" s="48" t="s">
        <v>320</v>
      </c>
      <c r="J773" s="48" t="s">
        <v>317</v>
      </c>
      <c r="K773" s="49" t="s">
        <v>16</v>
      </c>
      <c r="L773" s="49" t="s">
        <v>17</v>
      </c>
      <c r="M773" s="49">
        <v>6</v>
      </c>
      <c r="N773" s="80">
        <f t="shared" si="115"/>
        <v>430</v>
      </c>
      <c r="O773" s="51">
        <v>430</v>
      </c>
      <c r="P773" s="81" t="str">
        <f t="shared" si="121"/>
        <v>OK</v>
      </c>
      <c r="Q773" s="142"/>
      <c r="R773" s="76"/>
      <c r="S773" s="81" t="str">
        <f t="shared" si="122"/>
        <v/>
      </c>
      <c r="T773" s="81" t="str">
        <f t="shared" si="123"/>
        <v/>
      </c>
      <c r="U773" s="46">
        <v>44879</v>
      </c>
      <c r="V773" s="50">
        <f t="shared" si="119"/>
        <v>430</v>
      </c>
      <c r="W773" s="53">
        <f t="shared" si="120"/>
        <v>0</v>
      </c>
    </row>
    <row r="774" spans="1:23" ht="25.5" x14ac:dyDescent="0.25">
      <c r="A774" s="35" t="s">
        <v>2890</v>
      </c>
      <c r="B774" s="36">
        <v>44760</v>
      </c>
      <c r="C774" s="35" t="s">
        <v>4208</v>
      </c>
      <c r="D774" s="36" t="s">
        <v>696</v>
      </c>
      <c r="E774" s="73" t="s">
        <v>1072</v>
      </c>
      <c r="F774" s="38" t="s">
        <v>4209</v>
      </c>
      <c r="G774" s="37" t="s">
        <v>4210</v>
      </c>
      <c r="H774" s="37" t="s">
        <v>4211</v>
      </c>
      <c r="I774" s="38" t="s">
        <v>4212</v>
      </c>
      <c r="J774" s="39" t="s">
        <v>4213</v>
      </c>
      <c r="K774" s="39" t="s">
        <v>16</v>
      </c>
      <c r="L774" s="39" t="s">
        <v>765</v>
      </c>
      <c r="M774" s="39">
        <v>8</v>
      </c>
      <c r="N774" s="86">
        <f t="shared" si="115"/>
        <v>370</v>
      </c>
      <c r="O774" s="41">
        <v>925</v>
      </c>
      <c r="P774" s="86" t="str">
        <f t="shared" si="121"/>
        <v>OK</v>
      </c>
      <c r="Q774" s="143"/>
      <c r="R774" s="78"/>
      <c r="S774" s="87" t="str">
        <f t="shared" si="122"/>
        <v/>
      </c>
      <c r="T774" s="87" t="str">
        <f t="shared" si="123"/>
        <v/>
      </c>
      <c r="U774" s="36">
        <v>44879</v>
      </c>
      <c r="V774" s="40">
        <f t="shared" si="119"/>
        <v>925</v>
      </c>
      <c r="W774" s="43">
        <f t="shared" si="120"/>
        <v>0</v>
      </c>
    </row>
    <row r="775" spans="1:23" ht="25.5" x14ac:dyDescent="0.25">
      <c r="A775" s="45" t="s">
        <v>2891</v>
      </c>
      <c r="B775" s="46">
        <v>44830</v>
      </c>
      <c r="C775" s="45" t="s">
        <v>4214</v>
      </c>
      <c r="D775" s="46" t="s">
        <v>1211</v>
      </c>
      <c r="E775" s="72" t="s">
        <v>1071</v>
      </c>
      <c r="F775" s="48" t="s">
        <v>4215</v>
      </c>
      <c r="G775" s="47" t="s">
        <v>4216</v>
      </c>
      <c r="H775" s="47" t="s">
        <v>4217</v>
      </c>
      <c r="I775" s="48" t="s">
        <v>4218</v>
      </c>
      <c r="J775" s="48" t="s">
        <v>4219</v>
      </c>
      <c r="K775" s="49" t="s">
        <v>16</v>
      </c>
      <c r="L775" s="49" t="s">
        <v>765</v>
      </c>
      <c r="M775" s="49">
        <v>8</v>
      </c>
      <c r="N775" s="80">
        <f t="shared" si="115"/>
        <v>370</v>
      </c>
      <c r="O775" s="51">
        <v>430</v>
      </c>
      <c r="P775" s="81" t="str">
        <f t="shared" si="121"/>
        <v>OK</v>
      </c>
      <c r="Q775" s="142"/>
      <c r="R775" s="76"/>
      <c r="S775" s="81" t="str">
        <f t="shared" si="122"/>
        <v/>
      </c>
      <c r="T775" s="81" t="str">
        <f t="shared" si="123"/>
        <v/>
      </c>
      <c r="U775" s="46">
        <v>44879</v>
      </c>
      <c r="V775" s="50">
        <f t="shared" si="119"/>
        <v>430</v>
      </c>
      <c r="W775" s="53">
        <f t="shared" si="120"/>
        <v>0</v>
      </c>
    </row>
    <row r="776" spans="1:23" ht="38.25" x14ac:dyDescent="0.25">
      <c r="A776" s="35" t="s">
        <v>2892</v>
      </c>
      <c r="B776" s="36">
        <v>44798</v>
      </c>
      <c r="C776" s="35" t="s">
        <v>4220</v>
      </c>
      <c r="D776" s="36" t="s">
        <v>3455</v>
      </c>
      <c r="E776" s="73" t="s">
        <v>1080</v>
      </c>
      <c r="F776" s="38" t="s">
        <v>4221</v>
      </c>
      <c r="G776" s="37" t="s">
        <v>4222</v>
      </c>
      <c r="H776" s="37" t="s">
        <v>4223</v>
      </c>
      <c r="I776" s="38" t="s">
        <v>941</v>
      </c>
      <c r="J776" s="39" t="s">
        <v>912</v>
      </c>
      <c r="K776" s="39" t="s">
        <v>16</v>
      </c>
      <c r="L776" s="39" t="s">
        <v>29</v>
      </c>
      <c r="M776" s="39">
        <v>12</v>
      </c>
      <c r="N776" s="86">
        <f t="shared" si="115"/>
        <v>370</v>
      </c>
      <c r="O776" s="41">
        <v>1850</v>
      </c>
      <c r="P776" s="86" t="str">
        <f t="shared" si="121"/>
        <v>OK</v>
      </c>
      <c r="Q776" s="143"/>
      <c r="R776" s="78"/>
      <c r="S776" s="87" t="str">
        <f t="shared" si="122"/>
        <v/>
      </c>
      <c r="T776" s="87" t="str">
        <f t="shared" si="123"/>
        <v/>
      </c>
      <c r="U776" s="36">
        <v>44879</v>
      </c>
      <c r="V776" s="40">
        <f t="shared" si="119"/>
        <v>1850</v>
      </c>
      <c r="W776" s="43">
        <f t="shared" si="120"/>
        <v>0</v>
      </c>
    </row>
    <row r="777" spans="1:23" ht="25.5" x14ac:dyDescent="0.25">
      <c r="A777" s="45" t="s">
        <v>2893</v>
      </c>
      <c r="B777" s="46">
        <v>44878</v>
      </c>
      <c r="C777" s="45" t="s">
        <v>4224</v>
      </c>
      <c r="D777" s="46" t="s">
        <v>1001</v>
      </c>
      <c r="E777" s="72" t="s">
        <v>1080</v>
      </c>
      <c r="F777" s="48" t="s">
        <v>4225</v>
      </c>
      <c r="G777" s="47" t="s">
        <v>4226</v>
      </c>
      <c r="H777" s="47" t="s">
        <v>4227</v>
      </c>
      <c r="I777" s="48" t="s">
        <v>4228</v>
      </c>
      <c r="J777" s="48" t="s">
        <v>4229</v>
      </c>
      <c r="K777" s="49" t="s">
        <v>432</v>
      </c>
      <c r="L777" s="49" t="s">
        <v>480</v>
      </c>
      <c r="M777" s="49">
        <v>1</v>
      </c>
      <c r="N777" s="80">
        <f t="shared" ref="N777:N781" si="124">IF(M777="","",IF(M777=1,300,IF(M777=2,370,IF(M777=3,630,IF(M777=4,830,IF(M777=5,370,IF(M777=6,430,IF(M777=7,530,IF(M777=8,370,IF(M777=9,700,IF(M777=10,870,IF(M777=11,370,IF(M777=12,370,IF(M777=13,370,IF(M777=13,370,IF(M777=14,370,IF(M777=15,370,IF(M777=16,300,IF(M777=17,300,IF(M777=18,170,IF(M777=19,330)))))))))))))))))))))</f>
        <v>300</v>
      </c>
      <c r="O777" s="51">
        <v>300</v>
      </c>
      <c r="P777" s="81" t="str">
        <f t="shared" si="121"/>
        <v>OK</v>
      </c>
      <c r="Q777" s="142"/>
      <c r="R777" s="76"/>
      <c r="S777" s="81" t="str">
        <f t="shared" si="122"/>
        <v/>
      </c>
      <c r="T777" s="81" t="str">
        <f t="shared" si="123"/>
        <v/>
      </c>
      <c r="U777" s="46">
        <v>44879</v>
      </c>
      <c r="V777" s="50">
        <f t="shared" si="119"/>
        <v>300</v>
      </c>
      <c r="W777" s="53">
        <f t="shared" si="120"/>
        <v>0</v>
      </c>
    </row>
    <row r="778" spans="1:23" ht="25.5" x14ac:dyDescent="0.25">
      <c r="A778" s="35" t="s">
        <v>2894</v>
      </c>
      <c r="B778" s="36">
        <v>44817</v>
      </c>
      <c r="C778" s="35" t="s">
        <v>4230</v>
      </c>
      <c r="D778" s="36" t="s">
        <v>501</v>
      </c>
      <c r="E778" s="73" t="s">
        <v>1072</v>
      </c>
      <c r="F778" s="38" t="s">
        <v>4231</v>
      </c>
      <c r="G778" s="37" t="s">
        <v>4232</v>
      </c>
      <c r="H778" s="37" t="s">
        <v>4233</v>
      </c>
      <c r="I778" s="38" t="s">
        <v>4234</v>
      </c>
      <c r="J778" s="39" t="s">
        <v>4235</v>
      </c>
      <c r="K778" s="39" t="s">
        <v>5</v>
      </c>
      <c r="L778" s="39" t="s">
        <v>12</v>
      </c>
      <c r="M778" s="39">
        <v>4</v>
      </c>
      <c r="N778" s="86">
        <f t="shared" si="124"/>
        <v>830</v>
      </c>
      <c r="O778" s="41">
        <v>4150</v>
      </c>
      <c r="P778" s="86" t="str">
        <f t="shared" si="121"/>
        <v>OK</v>
      </c>
      <c r="Q778" s="143"/>
      <c r="R778" s="78"/>
      <c r="S778" s="87" t="str">
        <f t="shared" si="122"/>
        <v/>
      </c>
      <c r="T778" s="87" t="str">
        <f t="shared" si="123"/>
        <v/>
      </c>
      <c r="U778" s="36">
        <v>44879</v>
      </c>
      <c r="V778" s="40">
        <f t="shared" si="119"/>
        <v>4150</v>
      </c>
      <c r="W778" s="43">
        <f t="shared" si="120"/>
        <v>0</v>
      </c>
    </row>
    <row r="779" spans="1:23" ht="38.25" x14ac:dyDescent="0.25">
      <c r="A779" s="45" t="s">
        <v>2895</v>
      </c>
      <c r="B779" s="46">
        <v>44817</v>
      </c>
      <c r="C779" s="45" t="s">
        <v>4236</v>
      </c>
      <c r="D779" s="46" t="s">
        <v>1003</v>
      </c>
      <c r="E779" s="72" t="s">
        <v>1080</v>
      </c>
      <c r="F779" s="48" t="s">
        <v>4237</v>
      </c>
      <c r="G779" s="47" t="s">
        <v>4238</v>
      </c>
      <c r="H779" s="47" t="s">
        <v>4239</v>
      </c>
      <c r="I779" s="48" t="s">
        <v>4240</v>
      </c>
      <c r="J779" s="48" t="s">
        <v>4241</v>
      </c>
      <c r="K779" s="49" t="s">
        <v>16</v>
      </c>
      <c r="L779" s="49" t="s">
        <v>765</v>
      </c>
      <c r="M779" s="49">
        <v>8</v>
      </c>
      <c r="N779" s="80">
        <f t="shared" si="124"/>
        <v>370</v>
      </c>
      <c r="O779" s="51">
        <v>2150</v>
      </c>
      <c r="P779" s="81" t="str">
        <f t="shared" si="121"/>
        <v>ACIMA</v>
      </c>
      <c r="Q779" s="142"/>
      <c r="R779" s="76"/>
      <c r="S779" s="81" t="str">
        <f t="shared" si="122"/>
        <v/>
      </c>
      <c r="T779" s="81" t="str">
        <f t="shared" si="123"/>
        <v/>
      </c>
      <c r="U779" s="46">
        <v>44879</v>
      </c>
      <c r="V779" s="50">
        <f t="shared" si="119"/>
        <v>2150</v>
      </c>
      <c r="W779" s="53">
        <f t="shared" si="120"/>
        <v>0</v>
      </c>
    </row>
    <row r="780" spans="1:23" ht="25.5" x14ac:dyDescent="0.25">
      <c r="A780" s="35" t="s">
        <v>2896</v>
      </c>
      <c r="B780" s="36">
        <v>44839</v>
      </c>
      <c r="C780" s="35" t="s">
        <v>4242</v>
      </c>
      <c r="D780" s="36" t="s">
        <v>4243</v>
      </c>
      <c r="E780" s="73" t="s">
        <v>1080</v>
      </c>
      <c r="F780" s="38" t="s">
        <v>4244</v>
      </c>
      <c r="G780" s="37" t="s">
        <v>4245</v>
      </c>
      <c r="H780" s="37" t="s">
        <v>437</v>
      </c>
      <c r="I780" s="38" t="s">
        <v>328</v>
      </c>
      <c r="J780" s="39" t="s">
        <v>2972</v>
      </c>
      <c r="K780" s="39" t="s">
        <v>31</v>
      </c>
      <c r="L780" s="39" t="s">
        <v>1413</v>
      </c>
      <c r="M780" s="39">
        <v>15</v>
      </c>
      <c r="N780" s="86">
        <f t="shared" si="124"/>
        <v>370</v>
      </c>
      <c r="O780" s="41">
        <v>622</v>
      </c>
      <c r="P780" s="86" t="str">
        <f t="shared" si="121"/>
        <v>OK</v>
      </c>
      <c r="Q780" s="143"/>
      <c r="R780" s="78"/>
      <c r="S780" s="87" t="str">
        <f t="shared" si="122"/>
        <v/>
      </c>
      <c r="T780" s="87" t="str">
        <f t="shared" si="123"/>
        <v/>
      </c>
      <c r="U780" s="36">
        <v>44879</v>
      </c>
      <c r="V780" s="40">
        <f t="shared" si="119"/>
        <v>622</v>
      </c>
      <c r="W780" s="43">
        <f t="shared" si="120"/>
        <v>0</v>
      </c>
    </row>
    <row r="781" spans="1:23" ht="25.5" x14ac:dyDescent="0.25">
      <c r="A781" s="45" t="s">
        <v>2897</v>
      </c>
      <c r="B781" s="46">
        <v>44802</v>
      </c>
      <c r="C781" s="45" t="s">
        <v>4246</v>
      </c>
      <c r="D781" s="46" t="s">
        <v>1211</v>
      </c>
      <c r="E781" s="72" t="s">
        <v>1071</v>
      </c>
      <c r="F781" s="48" t="s">
        <v>4247</v>
      </c>
      <c r="G781" s="47" t="s">
        <v>4248</v>
      </c>
      <c r="H781" s="47" t="s">
        <v>4249</v>
      </c>
      <c r="I781" s="48" t="s">
        <v>3064</v>
      </c>
      <c r="J781" s="48" t="s">
        <v>3065</v>
      </c>
      <c r="K781" s="49" t="s">
        <v>16</v>
      </c>
      <c r="L781" s="49" t="s">
        <v>29</v>
      </c>
      <c r="M781" s="49">
        <v>12</v>
      </c>
      <c r="N781" s="80">
        <f t="shared" si="124"/>
        <v>370</v>
      </c>
      <c r="O781" s="51">
        <v>1850</v>
      </c>
      <c r="P781" s="81" t="str">
        <f t="shared" si="121"/>
        <v>OK</v>
      </c>
      <c r="Q781" s="142"/>
      <c r="R781" s="76"/>
      <c r="S781" s="81" t="str">
        <f t="shared" si="122"/>
        <v/>
      </c>
      <c r="T781" s="81" t="str">
        <f t="shared" si="123"/>
        <v/>
      </c>
      <c r="U781" s="46">
        <v>44879</v>
      </c>
      <c r="V781" s="50">
        <f t="shared" si="119"/>
        <v>1850</v>
      </c>
      <c r="W781" s="53">
        <f t="shared" si="120"/>
        <v>0</v>
      </c>
    </row>
    <row r="782" spans="1:23" ht="25.5" x14ac:dyDescent="0.25">
      <c r="A782" s="35" t="s">
        <v>2898</v>
      </c>
      <c r="B782" s="36">
        <v>44805</v>
      </c>
      <c r="C782" s="35" t="s">
        <v>4250</v>
      </c>
      <c r="D782" s="36" t="s">
        <v>1000</v>
      </c>
      <c r="E782" s="73" t="s">
        <v>1064</v>
      </c>
      <c r="F782" s="38" t="s">
        <v>4251</v>
      </c>
      <c r="G782" s="37" t="s">
        <v>4252</v>
      </c>
      <c r="H782" s="37" t="s">
        <v>4253</v>
      </c>
      <c r="I782" s="38" t="s">
        <v>2322</v>
      </c>
      <c r="J782" s="39" t="s">
        <v>2323</v>
      </c>
      <c r="K782" s="39" t="s">
        <v>37</v>
      </c>
      <c r="L782" s="39"/>
      <c r="M782" s="39">
        <v>16</v>
      </c>
      <c r="N782" s="86">
        <f t="shared" ref="N782:N835" si="125">IF(M782="","",IF(M782=1,300,IF(M782=2,370,IF(M782=3,630,IF(M782=4,830,IF(M782=5,370,IF(M782=6,430,IF(M782=7,530,IF(M782=8,370,IF(M782=9,700,IF(M782=10,870,IF(M782=11,370,IF(M782=12,370,IF(M782=13,370,IF(M782=13,370,IF(M782=14,370,IF(M782=15,370,IF(M782=16,300,IF(M782=17,300,IF(M782=18,170,IF(M782=19,330)))))))))))))))))))))</f>
        <v>300</v>
      </c>
      <c r="O782" s="41">
        <v>900</v>
      </c>
      <c r="P782" s="86" t="str">
        <f t="shared" si="121"/>
        <v>OK</v>
      </c>
      <c r="Q782" s="143"/>
      <c r="R782" s="78"/>
      <c r="S782" s="87" t="str">
        <f t="shared" si="122"/>
        <v/>
      </c>
      <c r="T782" s="87" t="str">
        <f t="shared" si="123"/>
        <v/>
      </c>
      <c r="U782" s="36">
        <v>44879</v>
      </c>
      <c r="V782" s="40">
        <f t="shared" si="119"/>
        <v>900</v>
      </c>
      <c r="W782" s="43">
        <f t="shared" si="120"/>
        <v>0</v>
      </c>
    </row>
    <row r="783" spans="1:23" ht="25.5" x14ac:dyDescent="0.25">
      <c r="A783" s="45" t="s">
        <v>2899</v>
      </c>
      <c r="B783" s="46">
        <v>44882</v>
      </c>
      <c r="C783" s="45" t="s">
        <v>4254</v>
      </c>
      <c r="D783" s="46" t="s">
        <v>1804</v>
      </c>
      <c r="E783" s="72" t="s">
        <v>1726</v>
      </c>
      <c r="F783" s="48" t="s">
        <v>4255</v>
      </c>
      <c r="G783" s="47" t="s">
        <v>4256</v>
      </c>
      <c r="H783" s="47" t="s">
        <v>4257</v>
      </c>
      <c r="I783" s="48" t="s">
        <v>1808</v>
      </c>
      <c r="J783" s="48" t="s">
        <v>1809</v>
      </c>
      <c r="K783" s="49" t="s">
        <v>31</v>
      </c>
      <c r="L783" s="49" t="s">
        <v>32</v>
      </c>
      <c r="M783" s="49">
        <v>13</v>
      </c>
      <c r="N783" s="80">
        <f t="shared" si="125"/>
        <v>370</v>
      </c>
      <c r="O783" s="51">
        <v>370</v>
      </c>
      <c r="P783" s="81" t="str">
        <f t="shared" si="121"/>
        <v>OK</v>
      </c>
      <c r="Q783" s="142"/>
      <c r="R783" s="76"/>
      <c r="S783" s="81" t="str">
        <f t="shared" si="122"/>
        <v/>
      </c>
      <c r="T783" s="81" t="str">
        <f t="shared" si="123"/>
        <v/>
      </c>
      <c r="U783" s="46">
        <v>44882</v>
      </c>
      <c r="V783" s="50">
        <f t="shared" si="119"/>
        <v>370</v>
      </c>
      <c r="W783" s="53">
        <f t="shared" si="120"/>
        <v>0</v>
      </c>
    </row>
    <row r="784" spans="1:23" ht="25.5" x14ac:dyDescent="0.25">
      <c r="A784" s="35" t="s">
        <v>2900</v>
      </c>
      <c r="B784" s="36">
        <v>44882</v>
      </c>
      <c r="C784" s="35" t="s">
        <v>4258</v>
      </c>
      <c r="D784" s="36" t="s">
        <v>1804</v>
      </c>
      <c r="E784" s="73" t="s">
        <v>1726</v>
      </c>
      <c r="F784" s="38" t="s">
        <v>4259</v>
      </c>
      <c r="G784" s="37" t="s">
        <v>4260</v>
      </c>
      <c r="H784" s="37" t="s">
        <v>4261</v>
      </c>
      <c r="I784" s="38" t="s">
        <v>1808</v>
      </c>
      <c r="J784" s="39" t="s">
        <v>1809</v>
      </c>
      <c r="K784" s="39" t="s">
        <v>31</v>
      </c>
      <c r="L784" s="39" t="s">
        <v>32</v>
      </c>
      <c r="M784" s="39">
        <v>13</v>
      </c>
      <c r="N784" s="86">
        <f t="shared" si="125"/>
        <v>370</v>
      </c>
      <c r="O784" s="41">
        <v>370</v>
      </c>
      <c r="P784" s="86" t="str">
        <f t="shared" si="121"/>
        <v>OK</v>
      </c>
      <c r="Q784" s="143"/>
      <c r="R784" s="78"/>
      <c r="S784" s="87" t="str">
        <f t="shared" si="122"/>
        <v/>
      </c>
      <c r="T784" s="87" t="str">
        <f t="shared" si="123"/>
        <v/>
      </c>
      <c r="U784" s="36">
        <v>44882</v>
      </c>
      <c r="V784" s="40">
        <f t="shared" si="119"/>
        <v>370</v>
      </c>
      <c r="W784" s="43">
        <f t="shared" si="120"/>
        <v>0</v>
      </c>
    </row>
    <row r="785" spans="1:23" ht="25.5" x14ac:dyDescent="0.25">
      <c r="A785" s="45" t="s">
        <v>2901</v>
      </c>
      <c r="B785" s="46">
        <v>44868</v>
      </c>
      <c r="C785" s="45" t="s">
        <v>4262</v>
      </c>
      <c r="D785" s="46" t="s">
        <v>868</v>
      </c>
      <c r="E785" s="72" t="s">
        <v>1070</v>
      </c>
      <c r="F785" s="48" t="s">
        <v>4263</v>
      </c>
      <c r="G785" s="47" t="s">
        <v>4264</v>
      </c>
      <c r="H785" s="47" t="s">
        <v>314</v>
      </c>
      <c r="I785" s="48" t="s">
        <v>320</v>
      </c>
      <c r="J785" s="48" t="s">
        <v>317</v>
      </c>
      <c r="K785" s="49" t="s">
        <v>16</v>
      </c>
      <c r="L785" s="49" t="s">
        <v>27</v>
      </c>
      <c r="M785" s="49">
        <v>11</v>
      </c>
      <c r="N785" s="80">
        <f t="shared" si="125"/>
        <v>370</v>
      </c>
      <c r="O785" s="51">
        <v>370</v>
      </c>
      <c r="P785" s="81" t="str">
        <f t="shared" si="121"/>
        <v>OK</v>
      </c>
      <c r="Q785" s="142"/>
      <c r="R785" s="76"/>
      <c r="S785" s="81" t="str">
        <f t="shared" si="122"/>
        <v/>
      </c>
      <c r="T785" s="81" t="str">
        <f t="shared" si="123"/>
        <v/>
      </c>
      <c r="U785" s="46">
        <v>44883</v>
      </c>
      <c r="V785" s="50">
        <f t="shared" si="119"/>
        <v>370</v>
      </c>
      <c r="W785" s="53">
        <f t="shared" si="120"/>
        <v>0</v>
      </c>
    </row>
    <row r="786" spans="1:23" ht="25.5" x14ac:dyDescent="0.25">
      <c r="A786" s="35" t="s">
        <v>2902</v>
      </c>
      <c r="B786" s="36">
        <v>44832</v>
      </c>
      <c r="C786" s="35" t="s">
        <v>4265</v>
      </c>
      <c r="D786" s="36" t="s">
        <v>3955</v>
      </c>
      <c r="E786" s="73" t="s">
        <v>1072</v>
      </c>
      <c r="F786" s="38" t="s">
        <v>4266</v>
      </c>
      <c r="G786" s="37" t="s">
        <v>4267</v>
      </c>
      <c r="H786" s="37" t="s">
        <v>3248</v>
      </c>
      <c r="I786" s="38" t="s">
        <v>320</v>
      </c>
      <c r="J786" s="39" t="s">
        <v>317</v>
      </c>
      <c r="K786" s="39" t="s">
        <v>432</v>
      </c>
      <c r="L786" s="39" t="s">
        <v>480</v>
      </c>
      <c r="M786" s="39">
        <v>1</v>
      </c>
      <c r="N786" s="86">
        <f t="shared" si="125"/>
        <v>300</v>
      </c>
      <c r="O786" s="41">
        <v>300</v>
      </c>
      <c r="P786" s="86" t="str">
        <f t="shared" si="121"/>
        <v>OK</v>
      </c>
      <c r="Q786" s="143"/>
      <c r="R786" s="78"/>
      <c r="S786" s="87" t="str">
        <f t="shared" si="122"/>
        <v/>
      </c>
      <c r="T786" s="87" t="str">
        <f t="shared" si="123"/>
        <v/>
      </c>
      <c r="U786" s="36">
        <v>44883</v>
      </c>
      <c r="V786" s="40">
        <f t="shared" si="119"/>
        <v>300</v>
      </c>
      <c r="W786" s="43">
        <f t="shared" si="120"/>
        <v>0</v>
      </c>
    </row>
    <row r="787" spans="1:23" ht="51" x14ac:dyDescent="0.25">
      <c r="A787" s="45" t="s">
        <v>2903</v>
      </c>
      <c r="B787" s="46">
        <v>44851</v>
      </c>
      <c r="C787" s="45" t="s">
        <v>4268</v>
      </c>
      <c r="D787" s="46" t="s">
        <v>868</v>
      </c>
      <c r="E787" s="72" t="s">
        <v>1070</v>
      </c>
      <c r="F787" s="48" t="s">
        <v>4269</v>
      </c>
      <c r="G787" s="47" t="s">
        <v>4270</v>
      </c>
      <c r="H787" s="47" t="s">
        <v>4271</v>
      </c>
      <c r="I787" s="48" t="s">
        <v>320</v>
      </c>
      <c r="J787" s="48" t="s">
        <v>317</v>
      </c>
      <c r="K787" s="49" t="s">
        <v>16</v>
      </c>
      <c r="L787" s="49" t="s">
        <v>17</v>
      </c>
      <c r="M787" s="49">
        <v>6</v>
      </c>
      <c r="N787" s="80">
        <f t="shared" si="125"/>
        <v>430</v>
      </c>
      <c r="O787" s="51">
        <v>704.56</v>
      </c>
      <c r="P787" s="81" t="str">
        <f t="shared" si="121"/>
        <v>OK</v>
      </c>
      <c r="Q787" s="142"/>
      <c r="R787" s="76"/>
      <c r="S787" s="81" t="str">
        <f t="shared" si="122"/>
        <v/>
      </c>
      <c r="T787" s="81" t="str">
        <f t="shared" si="123"/>
        <v/>
      </c>
      <c r="U787" s="46">
        <v>44894</v>
      </c>
      <c r="V787" s="50">
        <f t="shared" si="119"/>
        <v>704.56</v>
      </c>
      <c r="W787" s="53">
        <f t="shared" si="120"/>
        <v>0</v>
      </c>
    </row>
    <row r="788" spans="1:23" ht="25.5" x14ac:dyDescent="0.25">
      <c r="A788" s="35" t="s">
        <v>2904</v>
      </c>
      <c r="B788" s="36">
        <v>44894</v>
      </c>
      <c r="C788" s="35" t="s">
        <v>4272</v>
      </c>
      <c r="D788" s="36" t="s">
        <v>1079</v>
      </c>
      <c r="E788" s="73" t="s">
        <v>980</v>
      </c>
      <c r="F788" s="38" t="s">
        <v>4273</v>
      </c>
      <c r="G788" s="37" t="s">
        <v>4274</v>
      </c>
      <c r="H788" s="37" t="s">
        <v>4275</v>
      </c>
      <c r="I788" s="38" t="s">
        <v>2238</v>
      </c>
      <c r="J788" s="39" t="s">
        <v>2239</v>
      </c>
      <c r="K788" s="39" t="s">
        <v>31</v>
      </c>
      <c r="L788" s="39" t="s">
        <v>32</v>
      </c>
      <c r="M788" s="39">
        <v>13</v>
      </c>
      <c r="N788" s="86">
        <f t="shared" si="125"/>
        <v>370</v>
      </c>
      <c r="O788" s="41">
        <v>370</v>
      </c>
      <c r="P788" s="86" t="str">
        <f t="shared" si="121"/>
        <v>OK</v>
      </c>
      <c r="Q788" s="143"/>
      <c r="R788" s="78"/>
      <c r="S788" s="87" t="str">
        <f t="shared" si="122"/>
        <v/>
      </c>
      <c r="T788" s="87" t="str">
        <f t="shared" si="123"/>
        <v/>
      </c>
      <c r="U788" s="36">
        <v>44894</v>
      </c>
      <c r="V788" s="40">
        <f t="shared" si="119"/>
        <v>370</v>
      </c>
      <c r="W788" s="43">
        <f t="shared" si="120"/>
        <v>0</v>
      </c>
    </row>
    <row r="789" spans="1:23" ht="25.5" x14ac:dyDescent="0.25">
      <c r="A789" s="45" t="s">
        <v>2905</v>
      </c>
      <c r="B789" s="46">
        <v>44900</v>
      </c>
      <c r="C789" s="45" t="s">
        <v>4276</v>
      </c>
      <c r="D789" s="46" t="s">
        <v>1811</v>
      </c>
      <c r="E789" s="72" t="s">
        <v>1812</v>
      </c>
      <c r="F789" s="48" t="s">
        <v>4277</v>
      </c>
      <c r="G789" s="47" t="s">
        <v>4278</v>
      </c>
      <c r="H789" s="47" t="s">
        <v>585</v>
      </c>
      <c r="I789" s="48" t="s">
        <v>320</v>
      </c>
      <c r="J789" s="48" t="s">
        <v>317</v>
      </c>
      <c r="K789" s="49" t="s">
        <v>4374</v>
      </c>
      <c r="L789" s="49" t="s">
        <v>4375</v>
      </c>
      <c r="M789" s="49">
        <v>1</v>
      </c>
      <c r="N789" s="80">
        <f t="shared" si="125"/>
        <v>300</v>
      </c>
      <c r="O789" s="51">
        <v>398.91</v>
      </c>
      <c r="P789" s="81" t="str">
        <f t="shared" si="121"/>
        <v>OK</v>
      </c>
      <c r="Q789" s="142"/>
      <c r="R789" s="76"/>
      <c r="S789" s="81" t="str">
        <f t="shared" si="122"/>
        <v/>
      </c>
      <c r="T789" s="81" t="str">
        <f t="shared" si="123"/>
        <v/>
      </c>
      <c r="U789" s="46">
        <v>44900</v>
      </c>
      <c r="V789" s="50">
        <f t="shared" si="119"/>
        <v>398.91</v>
      </c>
      <c r="W789" s="53">
        <f t="shared" si="120"/>
        <v>0</v>
      </c>
    </row>
    <row r="790" spans="1:23" ht="25.5" x14ac:dyDescent="0.25">
      <c r="A790" s="35" t="s">
        <v>2906</v>
      </c>
      <c r="B790" s="36">
        <v>44895</v>
      </c>
      <c r="C790" s="35" t="s">
        <v>4279</v>
      </c>
      <c r="D790" s="36" t="s">
        <v>466</v>
      </c>
      <c r="E790" s="73" t="s">
        <v>1070</v>
      </c>
      <c r="F790" s="38" t="s">
        <v>4280</v>
      </c>
      <c r="G790" s="37" t="s">
        <v>4281</v>
      </c>
      <c r="H790" s="37" t="s">
        <v>469</v>
      </c>
      <c r="I790" s="38" t="s">
        <v>320</v>
      </c>
      <c r="J790" s="39" t="s">
        <v>317</v>
      </c>
      <c r="K790" s="39" t="s">
        <v>16</v>
      </c>
      <c r="L790" s="39" t="s">
        <v>27</v>
      </c>
      <c r="M790" s="39">
        <v>11</v>
      </c>
      <c r="N790" s="86">
        <f t="shared" si="125"/>
        <v>370</v>
      </c>
      <c r="O790" s="41">
        <v>370</v>
      </c>
      <c r="P790" s="86" t="str">
        <f t="shared" si="121"/>
        <v>OK</v>
      </c>
      <c r="Q790" s="143"/>
      <c r="R790" s="78"/>
      <c r="S790" s="87" t="str">
        <f t="shared" si="122"/>
        <v/>
      </c>
      <c r="T790" s="87" t="str">
        <f t="shared" si="123"/>
        <v/>
      </c>
      <c r="U790" s="36">
        <v>44896</v>
      </c>
      <c r="V790" s="40">
        <f t="shared" si="119"/>
        <v>370</v>
      </c>
      <c r="W790" s="43">
        <f t="shared" si="120"/>
        <v>0</v>
      </c>
    </row>
    <row r="791" spans="1:23" ht="38.25" x14ac:dyDescent="0.25">
      <c r="A791" s="45" t="s">
        <v>2907</v>
      </c>
      <c r="B791" s="46">
        <v>44895</v>
      </c>
      <c r="C791" s="45" t="s">
        <v>4282</v>
      </c>
      <c r="D791" s="46" t="s">
        <v>999</v>
      </c>
      <c r="E791" s="72" t="s">
        <v>1064</v>
      </c>
      <c r="F791" s="48" t="s">
        <v>4283</v>
      </c>
      <c r="G791" s="47" t="s">
        <v>4284</v>
      </c>
      <c r="H791" s="47" t="s">
        <v>4285</v>
      </c>
      <c r="I791" s="48" t="s">
        <v>320</v>
      </c>
      <c r="J791" s="48" t="s">
        <v>317</v>
      </c>
      <c r="K791" s="49" t="s">
        <v>432</v>
      </c>
      <c r="L791" s="49" t="s">
        <v>480</v>
      </c>
      <c r="M791" s="49">
        <v>1</v>
      </c>
      <c r="N791" s="80">
        <f t="shared" si="125"/>
        <v>300</v>
      </c>
      <c r="O791" s="51">
        <v>300</v>
      </c>
      <c r="P791" s="81" t="str">
        <f t="shared" si="121"/>
        <v>OK</v>
      </c>
      <c r="Q791" s="142"/>
      <c r="R791" s="76"/>
      <c r="S791" s="81" t="str">
        <f t="shared" si="122"/>
        <v/>
      </c>
      <c r="T791" s="81" t="str">
        <f t="shared" si="123"/>
        <v/>
      </c>
      <c r="U791" s="46">
        <v>44895</v>
      </c>
      <c r="V791" s="50">
        <f t="shared" si="119"/>
        <v>300</v>
      </c>
      <c r="W791" s="53">
        <f t="shared" si="120"/>
        <v>0</v>
      </c>
    </row>
    <row r="792" spans="1:23" ht="25.5" x14ac:dyDescent="0.25">
      <c r="A792" s="35" t="s">
        <v>2908</v>
      </c>
      <c r="B792" s="36">
        <v>44901</v>
      </c>
      <c r="C792" s="35" t="s">
        <v>4286</v>
      </c>
      <c r="D792" s="36" t="s">
        <v>3874</v>
      </c>
      <c r="E792" s="73" t="s">
        <v>3875</v>
      </c>
      <c r="F792" s="38" t="s">
        <v>4287</v>
      </c>
      <c r="G792" s="37" t="s">
        <v>4288</v>
      </c>
      <c r="H792" s="37" t="s">
        <v>4289</v>
      </c>
      <c r="I792" s="38" t="s">
        <v>4115</v>
      </c>
      <c r="J792" s="39" t="s">
        <v>3879</v>
      </c>
      <c r="K792" s="39" t="s">
        <v>31</v>
      </c>
      <c r="L792" s="39" t="s">
        <v>1413</v>
      </c>
      <c r="M792" s="39">
        <v>15</v>
      </c>
      <c r="N792" s="86">
        <f t="shared" si="125"/>
        <v>370</v>
      </c>
      <c r="O792" s="41">
        <v>150</v>
      </c>
      <c r="P792" s="86" t="str">
        <f t="shared" si="121"/>
        <v>OK</v>
      </c>
      <c r="Q792" s="143"/>
      <c r="R792" s="78"/>
      <c r="S792" s="87" t="str">
        <f t="shared" si="122"/>
        <v/>
      </c>
      <c r="T792" s="87" t="str">
        <f t="shared" si="123"/>
        <v/>
      </c>
      <c r="U792" s="36">
        <v>44904</v>
      </c>
      <c r="V792" s="40">
        <f t="shared" si="119"/>
        <v>150</v>
      </c>
      <c r="W792" s="43">
        <f t="shared" si="120"/>
        <v>0</v>
      </c>
    </row>
    <row r="793" spans="1:23" ht="38.25" x14ac:dyDescent="0.25">
      <c r="A793" s="45" t="s">
        <v>2909</v>
      </c>
      <c r="B793" s="46">
        <v>44907</v>
      </c>
      <c r="C793" s="45" t="s">
        <v>4290</v>
      </c>
      <c r="D793" s="46" t="s">
        <v>991</v>
      </c>
      <c r="E793" s="72" t="s">
        <v>1064</v>
      </c>
      <c r="F793" s="48" t="s">
        <v>4291</v>
      </c>
      <c r="G793" s="47" t="s">
        <v>4292</v>
      </c>
      <c r="H793" s="47" t="s">
        <v>4293</v>
      </c>
      <c r="I793" s="48" t="s">
        <v>4294</v>
      </c>
      <c r="J793" s="48" t="s">
        <v>4295</v>
      </c>
      <c r="K793" s="49" t="s">
        <v>16</v>
      </c>
      <c r="L793" s="49" t="s">
        <v>765</v>
      </c>
      <c r="M793" s="49">
        <v>8</v>
      </c>
      <c r="N793" s="80">
        <f t="shared" si="125"/>
        <v>370</v>
      </c>
      <c r="O793" s="51">
        <v>370</v>
      </c>
      <c r="P793" s="81" t="str">
        <f t="shared" si="121"/>
        <v>OK</v>
      </c>
      <c r="Q793" s="142"/>
      <c r="R793" s="76"/>
      <c r="S793" s="81" t="str">
        <f t="shared" si="122"/>
        <v/>
      </c>
      <c r="T793" s="81" t="str">
        <f t="shared" si="123"/>
        <v/>
      </c>
      <c r="U793" s="46">
        <v>44908</v>
      </c>
      <c r="V793" s="50">
        <f t="shared" si="119"/>
        <v>370</v>
      </c>
      <c r="W793" s="53">
        <f t="shared" si="120"/>
        <v>0</v>
      </c>
    </row>
    <row r="794" spans="1:23" ht="25.5" x14ac:dyDescent="0.25">
      <c r="A794" s="35" t="s">
        <v>2910</v>
      </c>
      <c r="B794" s="36">
        <v>44907</v>
      </c>
      <c r="C794" s="35" t="s">
        <v>4296</v>
      </c>
      <c r="D794" s="36" t="s">
        <v>526</v>
      </c>
      <c r="E794" s="73" t="s">
        <v>1066</v>
      </c>
      <c r="F794" s="38" t="s">
        <v>4297</v>
      </c>
      <c r="G794" s="37" t="s">
        <v>4298</v>
      </c>
      <c r="H794" s="37" t="s">
        <v>4299</v>
      </c>
      <c r="I794" s="38" t="s">
        <v>4300</v>
      </c>
      <c r="J794" s="39" t="s">
        <v>4301</v>
      </c>
      <c r="K794" s="39" t="s">
        <v>31</v>
      </c>
      <c r="L794" s="39" t="s">
        <v>32</v>
      </c>
      <c r="M794" s="39">
        <v>13</v>
      </c>
      <c r="N794" s="86">
        <f t="shared" si="125"/>
        <v>370</v>
      </c>
      <c r="O794" s="41">
        <v>370</v>
      </c>
      <c r="P794" s="86" t="str">
        <f t="shared" si="121"/>
        <v>OK</v>
      </c>
      <c r="Q794" s="143"/>
      <c r="R794" s="78"/>
      <c r="S794" s="87" t="str">
        <f t="shared" si="122"/>
        <v/>
      </c>
      <c r="T794" s="87" t="str">
        <f t="shared" si="123"/>
        <v/>
      </c>
      <c r="U794" s="36">
        <v>44908</v>
      </c>
      <c r="V794" s="40">
        <f t="shared" si="119"/>
        <v>370</v>
      </c>
      <c r="W794" s="43">
        <f t="shared" si="120"/>
        <v>0</v>
      </c>
    </row>
    <row r="795" spans="1:23" ht="38.25" x14ac:dyDescent="0.25">
      <c r="A795" s="45" t="s">
        <v>2911</v>
      </c>
      <c r="B795" s="46">
        <v>44907</v>
      </c>
      <c r="C795" s="45" t="s">
        <v>4302</v>
      </c>
      <c r="D795" s="46" t="s">
        <v>526</v>
      </c>
      <c r="E795" s="72" t="s">
        <v>1066</v>
      </c>
      <c r="F795" s="48" t="s">
        <v>4303</v>
      </c>
      <c r="G795" s="47" t="s">
        <v>4304</v>
      </c>
      <c r="H795" s="47" t="s">
        <v>4305</v>
      </c>
      <c r="I795" s="48" t="s">
        <v>4300</v>
      </c>
      <c r="J795" s="48" t="s">
        <v>4301</v>
      </c>
      <c r="K795" s="49" t="s">
        <v>31</v>
      </c>
      <c r="L795" s="49" t="s">
        <v>32</v>
      </c>
      <c r="M795" s="49">
        <v>13</v>
      </c>
      <c r="N795" s="80">
        <f t="shared" si="125"/>
        <v>370</v>
      </c>
      <c r="O795" s="51">
        <v>370</v>
      </c>
      <c r="P795" s="81" t="str">
        <f t="shared" si="121"/>
        <v>OK</v>
      </c>
      <c r="Q795" s="142"/>
      <c r="R795" s="76"/>
      <c r="S795" s="81" t="str">
        <f t="shared" si="122"/>
        <v/>
      </c>
      <c r="T795" s="81" t="str">
        <f t="shared" si="123"/>
        <v/>
      </c>
      <c r="U795" s="46">
        <v>44908</v>
      </c>
      <c r="V795" s="50">
        <f t="shared" si="119"/>
        <v>370</v>
      </c>
      <c r="W795" s="53">
        <f t="shared" si="120"/>
        <v>0</v>
      </c>
    </row>
    <row r="796" spans="1:23" ht="38.25" x14ac:dyDescent="0.25">
      <c r="A796" s="35" t="s">
        <v>2912</v>
      </c>
      <c r="B796" s="36">
        <v>44907</v>
      </c>
      <c r="C796" s="35" t="s">
        <v>4306</v>
      </c>
      <c r="D796" s="36" t="s">
        <v>526</v>
      </c>
      <c r="E796" s="73" t="s">
        <v>1066</v>
      </c>
      <c r="F796" s="38" t="s">
        <v>4307</v>
      </c>
      <c r="G796" s="37" t="s">
        <v>4308</v>
      </c>
      <c r="H796" s="37" t="s">
        <v>4309</v>
      </c>
      <c r="I796" s="38" t="s">
        <v>4300</v>
      </c>
      <c r="J796" s="39" t="s">
        <v>4301</v>
      </c>
      <c r="K796" s="39" t="s">
        <v>31</v>
      </c>
      <c r="L796" s="39" t="s">
        <v>32</v>
      </c>
      <c r="M796" s="39">
        <v>13</v>
      </c>
      <c r="N796" s="86">
        <f t="shared" si="125"/>
        <v>370</v>
      </c>
      <c r="O796" s="41">
        <v>370</v>
      </c>
      <c r="P796" s="86" t="str">
        <f t="shared" si="121"/>
        <v>OK</v>
      </c>
      <c r="Q796" s="143"/>
      <c r="R796" s="78"/>
      <c r="S796" s="87" t="str">
        <f t="shared" si="122"/>
        <v/>
      </c>
      <c r="T796" s="87" t="str">
        <f t="shared" si="123"/>
        <v/>
      </c>
      <c r="U796" s="36">
        <v>44908</v>
      </c>
      <c r="V796" s="40">
        <f t="shared" si="119"/>
        <v>370</v>
      </c>
      <c r="W796" s="43">
        <f t="shared" si="120"/>
        <v>0</v>
      </c>
    </row>
    <row r="797" spans="1:23" ht="38.25" x14ac:dyDescent="0.25">
      <c r="A797" s="45" t="s">
        <v>2913</v>
      </c>
      <c r="B797" s="46">
        <v>44907</v>
      </c>
      <c r="C797" s="45" t="s">
        <v>4310</v>
      </c>
      <c r="D797" s="46" t="s">
        <v>526</v>
      </c>
      <c r="E797" s="72" t="s">
        <v>1066</v>
      </c>
      <c r="F797" s="48" t="s">
        <v>4311</v>
      </c>
      <c r="G797" s="47" t="s">
        <v>4312</v>
      </c>
      <c r="H797" s="47" t="s">
        <v>4313</v>
      </c>
      <c r="I797" s="48" t="s">
        <v>4300</v>
      </c>
      <c r="J797" s="48" t="s">
        <v>4301</v>
      </c>
      <c r="K797" s="49" t="s">
        <v>31</v>
      </c>
      <c r="L797" s="49" t="s">
        <v>32</v>
      </c>
      <c r="M797" s="49">
        <v>13</v>
      </c>
      <c r="N797" s="80">
        <f t="shared" si="125"/>
        <v>370</v>
      </c>
      <c r="O797" s="51">
        <v>370</v>
      </c>
      <c r="P797" s="81" t="str">
        <f t="shared" si="121"/>
        <v>OK</v>
      </c>
      <c r="Q797" s="142"/>
      <c r="R797" s="76"/>
      <c r="S797" s="81" t="str">
        <f t="shared" si="122"/>
        <v/>
      </c>
      <c r="T797" s="81" t="str">
        <f t="shared" si="123"/>
        <v/>
      </c>
      <c r="U797" s="46">
        <v>44908</v>
      </c>
      <c r="V797" s="50">
        <f t="shared" si="119"/>
        <v>370</v>
      </c>
      <c r="W797" s="53">
        <f t="shared" si="120"/>
        <v>0</v>
      </c>
    </row>
    <row r="798" spans="1:23" ht="38.25" x14ac:dyDescent="0.25">
      <c r="A798" s="35" t="s">
        <v>2914</v>
      </c>
      <c r="B798" s="36">
        <v>44907</v>
      </c>
      <c r="C798" s="35" t="s">
        <v>4314</v>
      </c>
      <c r="D798" s="36" t="s">
        <v>991</v>
      </c>
      <c r="E798" s="73" t="s">
        <v>1064</v>
      </c>
      <c r="F798" s="38" t="s">
        <v>4315</v>
      </c>
      <c r="G798" s="37" t="s">
        <v>4316</v>
      </c>
      <c r="H798" s="37" t="s">
        <v>4317</v>
      </c>
      <c r="I798" s="38" t="s">
        <v>1729</v>
      </c>
      <c r="J798" s="39" t="s">
        <v>2167</v>
      </c>
      <c r="K798" s="39" t="s">
        <v>31</v>
      </c>
      <c r="L798" s="39" t="s">
        <v>1413</v>
      </c>
      <c r="M798" s="39">
        <v>15</v>
      </c>
      <c r="N798" s="86">
        <f t="shared" si="125"/>
        <v>370</v>
      </c>
      <c r="O798" s="41">
        <v>370</v>
      </c>
      <c r="P798" s="86" t="str">
        <f t="shared" si="121"/>
        <v>OK</v>
      </c>
      <c r="Q798" s="143"/>
      <c r="R798" s="78"/>
      <c r="S798" s="87" t="str">
        <f t="shared" si="122"/>
        <v/>
      </c>
      <c r="T798" s="87" t="str">
        <f t="shared" si="123"/>
        <v/>
      </c>
      <c r="U798" s="36">
        <v>44908</v>
      </c>
      <c r="V798" s="40">
        <f t="shared" si="119"/>
        <v>370</v>
      </c>
      <c r="W798" s="43">
        <f t="shared" si="120"/>
        <v>0</v>
      </c>
    </row>
    <row r="799" spans="1:23" ht="25.5" x14ac:dyDescent="0.25">
      <c r="A799" s="45" t="s">
        <v>2915</v>
      </c>
      <c r="B799" s="46">
        <v>44907</v>
      </c>
      <c r="C799" s="45" t="s">
        <v>4318</v>
      </c>
      <c r="D799" s="46" t="s">
        <v>526</v>
      </c>
      <c r="E799" s="72" t="s">
        <v>1066</v>
      </c>
      <c r="F799" s="48" t="s">
        <v>4319</v>
      </c>
      <c r="G799" s="47" t="s">
        <v>4320</v>
      </c>
      <c r="H799" s="47" t="s">
        <v>4321</v>
      </c>
      <c r="I799" s="48" t="s">
        <v>4300</v>
      </c>
      <c r="J799" s="48" t="s">
        <v>4301</v>
      </c>
      <c r="K799" s="49" t="s">
        <v>4322</v>
      </c>
      <c r="L799" s="49" t="s">
        <v>32</v>
      </c>
      <c r="M799" s="49">
        <v>13</v>
      </c>
      <c r="N799" s="80">
        <f t="shared" si="125"/>
        <v>370</v>
      </c>
      <c r="O799" s="51">
        <v>370</v>
      </c>
      <c r="P799" s="81" t="str">
        <f t="shared" si="121"/>
        <v>OK</v>
      </c>
      <c r="Q799" s="142"/>
      <c r="R799" s="76"/>
      <c r="S799" s="81" t="str">
        <f t="shared" si="122"/>
        <v/>
      </c>
      <c r="T799" s="81" t="str">
        <f t="shared" si="123"/>
        <v/>
      </c>
      <c r="U799" s="46">
        <v>44908</v>
      </c>
      <c r="V799" s="50">
        <f t="shared" si="119"/>
        <v>370</v>
      </c>
      <c r="W799" s="53">
        <f t="shared" si="120"/>
        <v>0</v>
      </c>
    </row>
    <row r="800" spans="1:23" ht="25.5" x14ac:dyDescent="0.25">
      <c r="A800" s="35" t="s">
        <v>2916</v>
      </c>
      <c r="B800" s="36">
        <v>44907</v>
      </c>
      <c r="C800" s="35" t="s">
        <v>4323</v>
      </c>
      <c r="D800" s="36" t="s">
        <v>526</v>
      </c>
      <c r="E800" s="73" t="s">
        <v>1066</v>
      </c>
      <c r="F800" s="38" t="s">
        <v>4324</v>
      </c>
      <c r="G800" s="37" t="s">
        <v>4325</v>
      </c>
      <c r="H800" s="37" t="s">
        <v>4326</v>
      </c>
      <c r="I800" s="38" t="s">
        <v>4300</v>
      </c>
      <c r="J800" s="39" t="s">
        <v>4301</v>
      </c>
      <c r="K800" s="39" t="s">
        <v>31</v>
      </c>
      <c r="L800" s="39" t="s">
        <v>32</v>
      </c>
      <c r="M800" s="39">
        <v>13</v>
      </c>
      <c r="N800" s="86">
        <f t="shared" si="125"/>
        <v>370</v>
      </c>
      <c r="O800" s="41">
        <v>370</v>
      </c>
      <c r="P800" s="86" t="str">
        <f t="shared" si="121"/>
        <v>OK</v>
      </c>
      <c r="Q800" s="143"/>
      <c r="R800" s="78"/>
      <c r="S800" s="87" t="str">
        <f t="shared" si="122"/>
        <v/>
      </c>
      <c r="T800" s="87" t="str">
        <f t="shared" si="123"/>
        <v/>
      </c>
      <c r="U800" s="36">
        <v>44908</v>
      </c>
      <c r="V800" s="40">
        <f t="shared" si="119"/>
        <v>370</v>
      </c>
      <c r="W800" s="43">
        <f t="shared" si="120"/>
        <v>0</v>
      </c>
    </row>
    <row r="801" spans="1:23" ht="25.5" x14ac:dyDescent="0.25">
      <c r="A801" s="45" t="s">
        <v>2917</v>
      </c>
      <c r="B801" s="46">
        <v>44907</v>
      </c>
      <c r="C801" s="45" t="s">
        <v>4327</v>
      </c>
      <c r="D801" s="46" t="s">
        <v>526</v>
      </c>
      <c r="E801" s="72" t="s">
        <v>1066</v>
      </c>
      <c r="F801" s="48" t="s">
        <v>4328</v>
      </c>
      <c r="G801" s="47" t="s">
        <v>4329</v>
      </c>
      <c r="H801" s="47" t="s">
        <v>4330</v>
      </c>
      <c r="I801" s="48" t="s">
        <v>4300</v>
      </c>
      <c r="J801" s="48" t="s">
        <v>4301</v>
      </c>
      <c r="K801" s="49" t="s">
        <v>31</v>
      </c>
      <c r="L801" s="49" t="s">
        <v>32</v>
      </c>
      <c r="M801" s="49">
        <v>13</v>
      </c>
      <c r="N801" s="80">
        <f t="shared" si="125"/>
        <v>370</v>
      </c>
      <c r="O801" s="51">
        <v>370</v>
      </c>
      <c r="P801" s="81" t="str">
        <f t="shared" si="121"/>
        <v>OK</v>
      </c>
      <c r="Q801" s="142"/>
      <c r="R801" s="76"/>
      <c r="S801" s="81" t="str">
        <f t="shared" si="122"/>
        <v/>
      </c>
      <c r="T801" s="81" t="str">
        <f t="shared" si="123"/>
        <v/>
      </c>
      <c r="U801" s="46">
        <v>44908</v>
      </c>
      <c r="V801" s="50">
        <f t="shared" si="119"/>
        <v>370</v>
      </c>
      <c r="W801" s="53">
        <f t="shared" si="120"/>
        <v>0</v>
      </c>
    </row>
    <row r="802" spans="1:23" ht="25.5" x14ac:dyDescent="0.25">
      <c r="A802" s="35" t="s">
        <v>2918</v>
      </c>
      <c r="B802" s="36">
        <v>44907</v>
      </c>
      <c r="C802" s="35" t="s">
        <v>4331</v>
      </c>
      <c r="D802" s="36" t="s">
        <v>526</v>
      </c>
      <c r="E802" s="73" t="s">
        <v>1066</v>
      </c>
      <c r="F802" s="38" t="s">
        <v>4332</v>
      </c>
      <c r="G802" s="37" t="s">
        <v>4333</v>
      </c>
      <c r="H802" s="37" t="s">
        <v>4334</v>
      </c>
      <c r="I802" s="38" t="s">
        <v>4300</v>
      </c>
      <c r="J802" s="39" t="s">
        <v>4301</v>
      </c>
      <c r="K802" s="39" t="s">
        <v>31</v>
      </c>
      <c r="L802" s="39" t="s">
        <v>32</v>
      </c>
      <c r="M802" s="39">
        <v>13</v>
      </c>
      <c r="N802" s="86">
        <f t="shared" si="125"/>
        <v>370</v>
      </c>
      <c r="O802" s="41">
        <v>370</v>
      </c>
      <c r="P802" s="86" t="str">
        <f t="shared" si="121"/>
        <v>OK</v>
      </c>
      <c r="Q802" s="143"/>
      <c r="R802" s="78"/>
      <c r="S802" s="87" t="str">
        <f t="shared" si="122"/>
        <v/>
      </c>
      <c r="T802" s="87" t="str">
        <f t="shared" si="123"/>
        <v/>
      </c>
      <c r="U802" s="36">
        <v>44908</v>
      </c>
      <c r="V802" s="40">
        <f t="shared" si="119"/>
        <v>370</v>
      </c>
      <c r="W802" s="43">
        <f t="shared" si="120"/>
        <v>0</v>
      </c>
    </row>
    <row r="803" spans="1:23" ht="38.25" x14ac:dyDescent="0.25">
      <c r="A803" s="45" t="s">
        <v>2919</v>
      </c>
      <c r="B803" s="46">
        <v>44907</v>
      </c>
      <c r="C803" s="45" t="s">
        <v>4335</v>
      </c>
      <c r="D803" s="46" t="s">
        <v>526</v>
      </c>
      <c r="E803" s="72" t="s">
        <v>1066</v>
      </c>
      <c r="F803" s="48" t="s">
        <v>4336</v>
      </c>
      <c r="G803" s="47" t="s">
        <v>4337</v>
      </c>
      <c r="H803" s="47" t="s">
        <v>4338</v>
      </c>
      <c r="I803" s="48" t="s">
        <v>4300</v>
      </c>
      <c r="J803" s="48" t="s">
        <v>4301</v>
      </c>
      <c r="K803" s="49" t="s">
        <v>31</v>
      </c>
      <c r="L803" s="49" t="s">
        <v>32</v>
      </c>
      <c r="M803" s="49">
        <v>13</v>
      </c>
      <c r="N803" s="80">
        <f t="shared" si="125"/>
        <v>370</v>
      </c>
      <c r="O803" s="51">
        <v>370</v>
      </c>
      <c r="P803" s="81" t="str">
        <f t="shared" si="121"/>
        <v>OK</v>
      </c>
      <c r="Q803" s="142"/>
      <c r="R803" s="76"/>
      <c r="S803" s="81" t="str">
        <f t="shared" si="122"/>
        <v/>
      </c>
      <c r="T803" s="81" t="str">
        <f t="shared" si="123"/>
        <v/>
      </c>
      <c r="U803" s="46">
        <v>44908</v>
      </c>
      <c r="V803" s="50">
        <f t="shared" si="119"/>
        <v>370</v>
      </c>
      <c r="W803" s="53">
        <f t="shared" si="120"/>
        <v>0</v>
      </c>
    </row>
    <row r="804" spans="1:23" ht="25.5" x14ac:dyDescent="0.25">
      <c r="A804" s="35" t="s">
        <v>2920</v>
      </c>
      <c r="B804" s="36">
        <v>44907</v>
      </c>
      <c r="C804" s="35" t="s">
        <v>4339</v>
      </c>
      <c r="D804" s="36" t="s">
        <v>526</v>
      </c>
      <c r="E804" s="73" t="s">
        <v>1066</v>
      </c>
      <c r="F804" s="38" t="s">
        <v>4340</v>
      </c>
      <c r="G804" s="37" t="s">
        <v>4341</v>
      </c>
      <c r="H804" s="37" t="s">
        <v>4342</v>
      </c>
      <c r="I804" s="38" t="s">
        <v>4300</v>
      </c>
      <c r="J804" s="39" t="s">
        <v>4301</v>
      </c>
      <c r="K804" s="39" t="s">
        <v>31</v>
      </c>
      <c r="L804" s="39" t="s">
        <v>32</v>
      </c>
      <c r="M804" s="39">
        <v>13</v>
      </c>
      <c r="N804" s="86">
        <f t="shared" si="125"/>
        <v>370</v>
      </c>
      <c r="O804" s="41">
        <v>370</v>
      </c>
      <c r="P804" s="86" t="str">
        <f t="shared" si="121"/>
        <v>OK</v>
      </c>
      <c r="Q804" s="143"/>
      <c r="R804" s="78"/>
      <c r="S804" s="87" t="str">
        <f t="shared" si="122"/>
        <v/>
      </c>
      <c r="T804" s="87" t="str">
        <f t="shared" si="123"/>
        <v/>
      </c>
      <c r="U804" s="36">
        <v>44908</v>
      </c>
      <c r="V804" s="40">
        <f t="shared" si="119"/>
        <v>370</v>
      </c>
      <c r="W804" s="43">
        <f t="shared" ref="W804:W867" si="126">IF(M804="","",IF(AND(M804&gt;0,U804=""),V804,O804-(R804+V804)))</f>
        <v>0</v>
      </c>
    </row>
    <row r="805" spans="1:23" ht="25.5" x14ac:dyDescent="0.25">
      <c r="A805" s="45" t="s">
        <v>2921</v>
      </c>
      <c r="B805" s="46">
        <v>44907</v>
      </c>
      <c r="C805" s="45" t="s">
        <v>4343</v>
      </c>
      <c r="D805" s="46" t="s">
        <v>526</v>
      </c>
      <c r="E805" s="72" t="s">
        <v>1066</v>
      </c>
      <c r="F805" s="48" t="s">
        <v>4344</v>
      </c>
      <c r="G805" s="47" t="s">
        <v>4345</v>
      </c>
      <c r="H805" s="47" t="s">
        <v>4346</v>
      </c>
      <c r="I805" s="48" t="s">
        <v>4300</v>
      </c>
      <c r="J805" s="48" t="s">
        <v>4301</v>
      </c>
      <c r="K805" s="49" t="s">
        <v>31</v>
      </c>
      <c r="L805" s="49" t="s">
        <v>32</v>
      </c>
      <c r="M805" s="49">
        <v>13</v>
      </c>
      <c r="N805" s="80">
        <f t="shared" si="125"/>
        <v>370</v>
      </c>
      <c r="O805" s="51">
        <v>370</v>
      </c>
      <c r="P805" s="81" t="str">
        <f t="shared" si="121"/>
        <v>OK</v>
      </c>
      <c r="Q805" s="142"/>
      <c r="R805" s="76"/>
      <c r="S805" s="81" t="str">
        <f t="shared" si="122"/>
        <v/>
      </c>
      <c r="T805" s="81" t="str">
        <f t="shared" si="123"/>
        <v/>
      </c>
      <c r="U805" s="46">
        <v>44908</v>
      </c>
      <c r="V805" s="50">
        <f t="shared" si="119"/>
        <v>370</v>
      </c>
      <c r="W805" s="53">
        <f t="shared" si="126"/>
        <v>0</v>
      </c>
    </row>
    <row r="806" spans="1:23" ht="25.5" x14ac:dyDescent="0.25">
      <c r="A806" s="35" t="s">
        <v>2922</v>
      </c>
      <c r="B806" s="36">
        <v>44907</v>
      </c>
      <c r="C806" s="35" t="s">
        <v>4347</v>
      </c>
      <c r="D806" s="36" t="s">
        <v>526</v>
      </c>
      <c r="E806" s="73" t="s">
        <v>1066</v>
      </c>
      <c r="F806" s="38" t="s">
        <v>4348</v>
      </c>
      <c r="G806" s="37" t="s">
        <v>4349</v>
      </c>
      <c r="H806" s="37" t="s">
        <v>4350</v>
      </c>
      <c r="I806" s="38" t="s">
        <v>4300</v>
      </c>
      <c r="J806" s="39" t="s">
        <v>4301</v>
      </c>
      <c r="K806" s="39" t="s">
        <v>31</v>
      </c>
      <c r="L806" s="39" t="s">
        <v>32</v>
      </c>
      <c r="M806" s="39">
        <v>13</v>
      </c>
      <c r="N806" s="86">
        <f t="shared" si="125"/>
        <v>370</v>
      </c>
      <c r="O806" s="41">
        <v>370</v>
      </c>
      <c r="P806" s="86" t="str">
        <f t="shared" si="121"/>
        <v>OK</v>
      </c>
      <c r="Q806" s="143"/>
      <c r="R806" s="78"/>
      <c r="S806" s="87" t="str">
        <f t="shared" si="122"/>
        <v/>
      </c>
      <c r="T806" s="87" t="str">
        <f t="shared" si="123"/>
        <v/>
      </c>
      <c r="U806" s="36">
        <v>44908</v>
      </c>
      <c r="V806" s="40">
        <f t="shared" si="119"/>
        <v>370</v>
      </c>
      <c r="W806" s="43">
        <f t="shared" si="126"/>
        <v>0</v>
      </c>
    </row>
    <row r="807" spans="1:23" ht="25.5" x14ac:dyDescent="0.25">
      <c r="A807" s="45" t="s">
        <v>2923</v>
      </c>
      <c r="B807" s="46">
        <v>44907</v>
      </c>
      <c r="C807" s="45" t="s">
        <v>4351</v>
      </c>
      <c r="D807" s="46" t="s">
        <v>526</v>
      </c>
      <c r="E807" s="72" t="s">
        <v>1066</v>
      </c>
      <c r="F807" s="48" t="s">
        <v>4352</v>
      </c>
      <c r="G807" s="47" t="s">
        <v>4353</v>
      </c>
      <c r="H807" s="47" t="s">
        <v>4354</v>
      </c>
      <c r="I807" s="48" t="s">
        <v>4300</v>
      </c>
      <c r="J807" s="48" t="s">
        <v>4301</v>
      </c>
      <c r="K807" s="49" t="s">
        <v>31</v>
      </c>
      <c r="L807" s="49" t="s">
        <v>32</v>
      </c>
      <c r="M807" s="49">
        <v>13</v>
      </c>
      <c r="N807" s="80">
        <f t="shared" si="125"/>
        <v>370</v>
      </c>
      <c r="O807" s="51">
        <v>370</v>
      </c>
      <c r="P807" s="81" t="str">
        <f t="shared" si="121"/>
        <v>OK</v>
      </c>
      <c r="Q807" s="142"/>
      <c r="R807" s="76"/>
      <c r="S807" s="81" t="str">
        <f t="shared" si="122"/>
        <v/>
      </c>
      <c r="T807" s="81" t="str">
        <f t="shared" si="123"/>
        <v/>
      </c>
      <c r="U807" s="46">
        <v>44908</v>
      </c>
      <c r="V807" s="50">
        <f t="shared" si="119"/>
        <v>370</v>
      </c>
      <c r="W807" s="53">
        <f t="shared" si="126"/>
        <v>0</v>
      </c>
    </row>
    <row r="808" spans="1:23" ht="25.5" x14ac:dyDescent="0.25">
      <c r="A808" s="35" t="s">
        <v>4355</v>
      </c>
      <c r="B808" s="36">
        <v>44909</v>
      </c>
      <c r="C808" s="35" t="s">
        <v>4371</v>
      </c>
      <c r="D808" s="36" t="s">
        <v>466</v>
      </c>
      <c r="E808" s="73" t="s">
        <v>1070</v>
      </c>
      <c r="F808" s="38" t="s">
        <v>4372</v>
      </c>
      <c r="G808" s="37" t="s">
        <v>4373</v>
      </c>
      <c r="H808" s="37" t="s">
        <v>1316</v>
      </c>
      <c r="I808" s="38" t="s">
        <v>320</v>
      </c>
      <c r="J808" s="39" t="s">
        <v>317</v>
      </c>
      <c r="K808" s="39" t="s">
        <v>16</v>
      </c>
      <c r="L808" s="39" t="s">
        <v>27</v>
      </c>
      <c r="M808" s="39">
        <v>11</v>
      </c>
      <c r="N808" s="86">
        <f t="shared" si="125"/>
        <v>370</v>
      </c>
      <c r="O808" s="41">
        <v>370</v>
      </c>
      <c r="P808" s="86" t="str">
        <f t="shared" si="121"/>
        <v>OK</v>
      </c>
      <c r="Q808" s="143"/>
      <c r="R808" s="78"/>
      <c r="S808" s="87" t="str">
        <f t="shared" si="122"/>
        <v/>
      </c>
      <c r="T808" s="87" t="str">
        <f t="shared" si="123"/>
        <v/>
      </c>
      <c r="U808" s="36">
        <v>44909</v>
      </c>
      <c r="V808" s="40">
        <f t="shared" si="119"/>
        <v>370</v>
      </c>
      <c r="W808" s="43">
        <f t="shared" si="126"/>
        <v>0</v>
      </c>
    </row>
    <row r="809" spans="1:23" ht="25.5" x14ac:dyDescent="0.25">
      <c r="A809" s="45" t="s">
        <v>4356</v>
      </c>
      <c r="B809" s="46">
        <v>44909</v>
      </c>
      <c r="C809" s="45" t="s">
        <v>4376</v>
      </c>
      <c r="D809" s="46" t="s">
        <v>466</v>
      </c>
      <c r="E809" s="72" t="s">
        <v>1070</v>
      </c>
      <c r="F809" s="48" t="s">
        <v>4377</v>
      </c>
      <c r="G809" s="47" t="s">
        <v>4378</v>
      </c>
      <c r="H809" s="47" t="s">
        <v>3652</v>
      </c>
      <c r="I809" s="48" t="s">
        <v>320</v>
      </c>
      <c r="J809" s="48" t="s">
        <v>317</v>
      </c>
      <c r="K809" s="49" t="s">
        <v>16</v>
      </c>
      <c r="L809" s="49" t="s">
        <v>27</v>
      </c>
      <c r="M809" s="49">
        <v>11</v>
      </c>
      <c r="N809" s="80">
        <f t="shared" si="125"/>
        <v>370</v>
      </c>
      <c r="O809" s="51">
        <v>370</v>
      </c>
      <c r="P809" s="81" t="str">
        <f t="shared" si="121"/>
        <v>OK</v>
      </c>
      <c r="Q809" s="142"/>
      <c r="R809" s="76"/>
      <c r="S809" s="81" t="str">
        <f t="shared" si="122"/>
        <v/>
      </c>
      <c r="T809" s="81" t="str">
        <f t="shared" si="123"/>
        <v/>
      </c>
      <c r="U809" s="46">
        <v>44909</v>
      </c>
      <c r="V809" s="50">
        <f t="shared" si="119"/>
        <v>370</v>
      </c>
      <c r="W809" s="53">
        <f t="shared" si="126"/>
        <v>0</v>
      </c>
    </row>
    <row r="810" spans="1:23" ht="25.5" x14ac:dyDescent="0.25">
      <c r="A810" s="35" t="s">
        <v>4357</v>
      </c>
      <c r="B810" s="36">
        <v>44909</v>
      </c>
      <c r="C810" s="35" t="s">
        <v>4379</v>
      </c>
      <c r="D810" s="36" t="s">
        <v>466</v>
      </c>
      <c r="E810" s="73" t="s">
        <v>1070</v>
      </c>
      <c r="F810" s="38" t="s">
        <v>4380</v>
      </c>
      <c r="G810" s="37" t="s">
        <v>4381</v>
      </c>
      <c r="H810" s="37" t="s">
        <v>1316</v>
      </c>
      <c r="I810" s="38" t="s">
        <v>320</v>
      </c>
      <c r="J810" s="39" t="s">
        <v>317</v>
      </c>
      <c r="K810" s="39" t="s">
        <v>16</v>
      </c>
      <c r="L810" s="39" t="s">
        <v>27</v>
      </c>
      <c r="M810" s="39">
        <v>11</v>
      </c>
      <c r="N810" s="86">
        <f t="shared" si="125"/>
        <v>370</v>
      </c>
      <c r="O810" s="41">
        <v>370</v>
      </c>
      <c r="P810" s="86" t="str">
        <f t="shared" si="121"/>
        <v>OK</v>
      </c>
      <c r="Q810" s="143"/>
      <c r="R810" s="78"/>
      <c r="S810" s="87" t="str">
        <f t="shared" si="122"/>
        <v/>
      </c>
      <c r="T810" s="87" t="str">
        <f t="shared" si="123"/>
        <v/>
      </c>
      <c r="U810" s="36">
        <v>44909</v>
      </c>
      <c r="V810" s="40">
        <f t="shared" si="119"/>
        <v>370</v>
      </c>
      <c r="W810" s="43">
        <f t="shared" si="126"/>
        <v>0</v>
      </c>
    </row>
    <row r="811" spans="1:23" ht="25.5" x14ac:dyDescent="0.25">
      <c r="A811" s="45" t="s">
        <v>4358</v>
      </c>
      <c r="B811" s="46">
        <v>44887</v>
      </c>
      <c r="C811" s="45" t="s">
        <v>4382</v>
      </c>
      <c r="D811" s="46" t="s">
        <v>4383</v>
      </c>
      <c r="E811" s="72" t="s">
        <v>1812</v>
      </c>
      <c r="F811" s="48" t="s">
        <v>4384</v>
      </c>
      <c r="G811" s="47" t="s">
        <v>4385</v>
      </c>
      <c r="H811" s="47" t="s">
        <v>437</v>
      </c>
      <c r="I811" s="48" t="s">
        <v>328</v>
      </c>
      <c r="J811" s="48" t="s">
        <v>2972</v>
      </c>
      <c r="K811" s="49" t="s">
        <v>4386</v>
      </c>
      <c r="L811" s="49" t="s">
        <v>1413</v>
      </c>
      <c r="M811" s="49">
        <v>15</v>
      </c>
      <c r="N811" s="80">
        <f t="shared" si="125"/>
        <v>370</v>
      </c>
      <c r="O811" s="51">
        <v>370</v>
      </c>
      <c r="P811" s="81" t="str">
        <f t="shared" si="121"/>
        <v>OK</v>
      </c>
      <c r="Q811" s="142"/>
      <c r="R811" s="76"/>
      <c r="S811" s="81" t="str">
        <f t="shared" si="122"/>
        <v/>
      </c>
      <c r="T811" s="81" t="str">
        <f t="shared" si="123"/>
        <v/>
      </c>
      <c r="U811" s="46">
        <v>44910</v>
      </c>
      <c r="V811" s="50">
        <f t="shared" si="119"/>
        <v>370</v>
      </c>
      <c r="W811" s="53">
        <f t="shared" si="126"/>
        <v>0</v>
      </c>
    </row>
    <row r="812" spans="1:23" ht="25.5" x14ac:dyDescent="0.25">
      <c r="A812" s="35" t="s">
        <v>4359</v>
      </c>
      <c r="B812" s="36">
        <v>44883</v>
      </c>
      <c r="C812" s="35" t="s">
        <v>4387</v>
      </c>
      <c r="D812" s="36" t="s">
        <v>1811</v>
      </c>
      <c r="E812" s="73" t="s">
        <v>1812</v>
      </c>
      <c r="F812" s="38" t="s">
        <v>4388</v>
      </c>
      <c r="G812" s="37" t="s">
        <v>4389</v>
      </c>
      <c r="H812" s="37" t="s">
        <v>437</v>
      </c>
      <c r="I812" s="38" t="s">
        <v>328</v>
      </c>
      <c r="J812" s="39" t="s">
        <v>2972</v>
      </c>
      <c r="K812" s="39" t="s">
        <v>31</v>
      </c>
      <c r="L812" s="39" t="s">
        <v>1413</v>
      </c>
      <c r="M812" s="39">
        <v>15</v>
      </c>
      <c r="N812" s="86">
        <f t="shared" si="125"/>
        <v>370</v>
      </c>
      <c r="O812" s="41">
        <v>370</v>
      </c>
      <c r="P812" s="86" t="str">
        <f t="shared" si="121"/>
        <v>OK</v>
      </c>
      <c r="Q812" s="143"/>
      <c r="R812" s="78"/>
      <c r="S812" s="87" t="str">
        <f t="shared" si="122"/>
        <v/>
      </c>
      <c r="T812" s="87" t="str">
        <f t="shared" si="123"/>
        <v/>
      </c>
      <c r="U812" s="36">
        <v>44910</v>
      </c>
      <c r="V812" s="40">
        <f t="shared" si="119"/>
        <v>370</v>
      </c>
      <c r="W812" s="43">
        <f t="shared" si="126"/>
        <v>0</v>
      </c>
    </row>
    <row r="813" spans="1:23" ht="25.5" x14ac:dyDescent="0.25">
      <c r="A813" s="45" t="s">
        <v>4360</v>
      </c>
      <c r="B813" s="46">
        <v>44907</v>
      </c>
      <c r="C813" s="45" t="s">
        <v>4390</v>
      </c>
      <c r="D813" s="46" t="s">
        <v>652</v>
      </c>
      <c r="E813" s="72" t="s">
        <v>1068</v>
      </c>
      <c r="F813" s="48" t="s">
        <v>4391</v>
      </c>
      <c r="G813" s="47" t="s">
        <v>4392</v>
      </c>
      <c r="H813" s="47" t="s">
        <v>4393</v>
      </c>
      <c r="I813" s="48" t="s">
        <v>4394</v>
      </c>
      <c r="J813" s="48" t="s">
        <v>4395</v>
      </c>
      <c r="K813" s="49" t="s">
        <v>5</v>
      </c>
      <c r="L813" s="49" t="s">
        <v>6</v>
      </c>
      <c r="M813" s="49">
        <v>2</v>
      </c>
      <c r="N813" s="80">
        <f t="shared" si="125"/>
        <v>370</v>
      </c>
      <c r="O813" s="51">
        <v>300</v>
      </c>
      <c r="P813" s="81" t="str">
        <f t="shared" si="121"/>
        <v>OK</v>
      </c>
      <c r="Q813" s="142"/>
      <c r="R813" s="76"/>
      <c r="S813" s="81" t="str">
        <f t="shared" si="122"/>
        <v/>
      </c>
      <c r="T813" s="81" t="str">
        <f t="shared" si="123"/>
        <v/>
      </c>
      <c r="U813" s="46">
        <v>44911</v>
      </c>
      <c r="V813" s="50">
        <f t="shared" si="119"/>
        <v>300</v>
      </c>
      <c r="W813" s="53">
        <f t="shared" si="126"/>
        <v>0</v>
      </c>
    </row>
    <row r="814" spans="1:23" ht="25.5" x14ac:dyDescent="0.25">
      <c r="A814" s="35" t="s">
        <v>4361</v>
      </c>
      <c r="B814" s="36">
        <v>44684</v>
      </c>
      <c r="C814" s="35" t="s">
        <v>3329</v>
      </c>
      <c r="D814" s="36" t="s">
        <v>767</v>
      </c>
      <c r="E814" s="73" t="s">
        <v>1067</v>
      </c>
      <c r="F814" s="38" t="s">
        <v>3330</v>
      </c>
      <c r="G814" s="37" t="s">
        <v>3331</v>
      </c>
      <c r="H814" s="37" t="s">
        <v>437</v>
      </c>
      <c r="I814" s="38" t="s">
        <v>4396</v>
      </c>
      <c r="J814" s="39" t="s">
        <v>3333</v>
      </c>
      <c r="K814" s="39" t="s">
        <v>31</v>
      </c>
      <c r="L814" s="39" t="s">
        <v>1413</v>
      </c>
      <c r="M814" s="39">
        <v>15</v>
      </c>
      <c r="N814" s="86">
        <f t="shared" si="125"/>
        <v>370</v>
      </c>
      <c r="O814" s="41">
        <v>400</v>
      </c>
      <c r="P814" s="86" t="str">
        <f t="shared" si="121"/>
        <v>OK</v>
      </c>
      <c r="Q814" s="143"/>
      <c r="R814" s="78"/>
      <c r="S814" s="87" t="str">
        <f t="shared" si="122"/>
        <v/>
      </c>
      <c r="T814" s="87" t="str">
        <f t="shared" si="123"/>
        <v/>
      </c>
      <c r="U814" s="36">
        <v>44914</v>
      </c>
      <c r="V814" s="40">
        <f t="shared" si="119"/>
        <v>400</v>
      </c>
      <c r="W814" s="43">
        <f t="shared" si="126"/>
        <v>0</v>
      </c>
    </row>
    <row r="815" spans="1:23" ht="25.5" x14ac:dyDescent="0.25">
      <c r="A815" s="45" t="s">
        <v>4362</v>
      </c>
      <c r="B815" s="46">
        <v>44630</v>
      </c>
      <c r="C815" s="45" t="s">
        <v>4397</v>
      </c>
      <c r="D815" s="46" t="s">
        <v>466</v>
      </c>
      <c r="E815" s="72" t="s">
        <v>1070</v>
      </c>
      <c r="F815" s="48" t="s">
        <v>4398</v>
      </c>
      <c r="G815" s="47" t="s">
        <v>4399</v>
      </c>
      <c r="H815" s="47" t="s">
        <v>4400</v>
      </c>
      <c r="I815" s="48" t="s">
        <v>2486</v>
      </c>
      <c r="J815" s="48" t="s">
        <v>2487</v>
      </c>
      <c r="K815" s="49" t="s">
        <v>16</v>
      </c>
      <c r="L815" s="49" t="s">
        <v>765</v>
      </c>
      <c r="M815" s="49">
        <v>8</v>
      </c>
      <c r="N815" s="80">
        <f t="shared" si="125"/>
        <v>370</v>
      </c>
      <c r="O815" s="51">
        <v>2100</v>
      </c>
      <c r="P815" s="81" t="str">
        <f t="shared" si="121"/>
        <v>ACIMA</v>
      </c>
      <c r="Q815" s="142"/>
      <c r="R815" s="76"/>
      <c r="S815" s="81" t="str">
        <f t="shared" si="122"/>
        <v/>
      </c>
      <c r="T815" s="81" t="str">
        <f t="shared" si="123"/>
        <v/>
      </c>
      <c r="U815" s="46">
        <v>44914</v>
      </c>
      <c r="V815" s="50">
        <f t="shared" si="119"/>
        <v>2100</v>
      </c>
      <c r="W815" s="53">
        <f t="shared" si="126"/>
        <v>0</v>
      </c>
    </row>
    <row r="816" spans="1:23" ht="25.5" x14ac:dyDescent="0.25">
      <c r="A816" s="35" t="s">
        <v>4363</v>
      </c>
      <c r="B816" s="36">
        <v>44420</v>
      </c>
      <c r="C816" s="35" t="s">
        <v>4401</v>
      </c>
      <c r="D816" s="36" t="s">
        <v>1134</v>
      </c>
      <c r="E816" s="73" t="s">
        <v>1073</v>
      </c>
      <c r="F816" s="38" t="s">
        <v>4402</v>
      </c>
      <c r="G816" s="37" t="s">
        <v>1102</v>
      </c>
      <c r="H816" s="37" t="s">
        <v>4403</v>
      </c>
      <c r="I816" s="38" t="s">
        <v>320</v>
      </c>
      <c r="J816" s="39" t="s">
        <v>317</v>
      </c>
      <c r="K816" s="39" t="s">
        <v>432</v>
      </c>
      <c r="L816" s="39" t="s">
        <v>480</v>
      </c>
      <c r="M816" s="39">
        <v>1</v>
      </c>
      <c r="N816" s="86">
        <f t="shared" si="125"/>
        <v>300</v>
      </c>
      <c r="O816" s="41">
        <v>370</v>
      </c>
      <c r="P816" s="86" t="str">
        <f t="shared" si="121"/>
        <v>OK</v>
      </c>
      <c r="Q816" s="143"/>
      <c r="R816" s="78"/>
      <c r="S816" s="87" t="str">
        <f t="shared" si="122"/>
        <v/>
      </c>
      <c r="T816" s="87" t="str">
        <f t="shared" si="123"/>
        <v/>
      </c>
      <c r="U816" s="36">
        <v>44914</v>
      </c>
      <c r="V816" s="40">
        <f t="shared" si="119"/>
        <v>370</v>
      </c>
      <c r="W816" s="43">
        <f t="shared" si="126"/>
        <v>0</v>
      </c>
    </row>
    <row r="817" spans="1:23" ht="63.75" x14ac:dyDescent="0.25">
      <c r="A817" s="45" t="s">
        <v>4364</v>
      </c>
      <c r="B817" s="46">
        <v>44335</v>
      </c>
      <c r="C817" s="45" t="s">
        <v>4404</v>
      </c>
      <c r="D817" s="46" t="s">
        <v>501</v>
      </c>
      <c r="E817" s="72" t="s">
        <v>1072</v>
      </c>
      <c r="F817" s="48" t="s">
        <v>4405</v>
      </c>
      <c r="G817" s="47" t="s">
        <v>4406</v>
      </c>
      <c r="H817" s="47" t="s">
        <v>4407</v>
      </c>
      <c r="I817" s="48" t="s">
        <v>320</v>
      </c>
      <c r="J817" s="48" t="s">
        <v>317</v>
      </c>
      <c r="K817" s="49" t="s">
        <v>432</v>
      </c>
      <c r="L817" s="49" t="s">
        <v>480</v>
      </c>
      <c r="M817" s="49">
        <v>1</v>
      </c>
      <c r="N817" s="80">
        <f t="shared" si="125"/>
        <v>300</v>
      </c>
      <c r="O817" s="51">
        <v>1000</v>
      </c>
      <c r="P817" s="81" t="str">
        <f t="shared" si="121"/>
        <v>OK</v>
      </c>
      <c r="Q817" s="142"/>
      <c r="R817" s="76"/>
      <c r="S817" s="81" t="str">
        <f t="shared" si="122"/>
        <v/>
      </c>
      <c r="T817" s="81" t="str">
        <f t="shared" si="123"/>
        <v/>
      </c>
      <c r="U817" s="46">
        <v>44914</v>
      </c>
      <c r="V817" s="50">
        <f t="shared" si="119"/>
        <v>1000</v>
      </c>
      <c r="W817" s="53">
        <f t="shared" si="126"/>
        <v>0</v>
      </c>
    </row>
    <row r="818" spans="1:23" ht="25.5" x14ac:dyDescent="0.25">
      <c r="A818" s="35" t="s">
        <v>4365</v>
      </c>
      <c r="B818" s="36">
        <v>43759</v>
      </c>
      <c r="C818" s="35" t="s">
        <v>4408</v>
      </c>
      <c r="D818" s="36" t="s">
        <v>1055</v>
      </c>
      <c r="E818" s="73" t="s">
        <v>1080</v>
      </c>
      <c r="F818" s="38" t="s">
        <v>4409</v>
      </c>
      <c r="G818" s="37" t="s">
        <v>4410</v>
      </c>
      <c r="H818" s="37" t="s">
        <v>4411</v>
      </c>
      <c r="I818" s="38" t="s">
        <v>320</v>
      </c>
      <c r="J818" s="39" t="s">
        <v>317</v>
      </c>
      <c r="K818" s="39" t="s">
        <v>432</v>
      </c>
      <c r="L818" s="39" t="s">
        <v>480</v>
      </c>
      <c r="M818" s="39">
        <v>1</v>
      </c>
      <c r="N818" s="86">
        <f t="shared" si="125"/>
        <v>300</v>
      </c>
      <c r="O818" s="41">
        <v>600</v>
      </c>
      <c r="P818" s="86" t="str">
        <f t="shared" si="121"/>
        <v>OK</v>
      </c>
      <c r="Q818" s="143"/>
      <c r="R818" s="78"/>
      <c r="S818" s="87" t="str">
        <f t="shared" si="122"/>
        <v/>
      </c>
      <c r="T818" s="87" t="str">
        <f t="shared" si="123"/>
        <v/>
      </c>
      <c r="U818" s="36">
        <v>44914</v>
      </c>
      <c r="V818" s="40">
        <f t="shared" si="119"/>
        <v>600</v>
      </c>
      <c r="W818" s="43">
        <f t="shared" si="126"/>
        <v>0</v>
      </c>
    </row>
    <row r="819" spans="1:23" ht="25.5" x14ac:dyDescent="0.25">
      <c r="A819" s="45" t="s">
        <v>4366</v>
      </c>
      <c r="B819" s="46">
        <v>42989</v>
      </c>
      <c r="C819" s="45" t="s">
        <v>4412</v>
      </c>
      <c r="D819" s="46" t="s">
        <v>3075</v>
      </c>
      <c r="E819" s="72" t="s">
        <v>1071</v>
      </c>
      <c r="F819" s="48" t="s">
        <v>4413</v>
      </c>
      <c r="G819" s="47" t="s">
        <v>4414</v>
      </c>
      <c r="H819" s="47" t="s">
        <v>4415</v>
      </c>
      <c r="I819" s="48" t="s">
        <v>4416</v>
      </c>
      <c r="J819" s="48" t="s">
        <v>4417</v>
      </c>
      <c r="K819" s="49" t="s">
        <v>432</v>
      </c>
      <c r="L819" s="49" t="s">
        <v>480</v>
      </c>
      <c r="M819" s="49">
        <v>1</v>
      </c>
      <c r="N819" s="80">
        <f t="shared" si="125"/>
        <v>300</v>
      </c>
      <c r="O819" s="51">
        <v>2000</v>
      </c>
      <c r="P819" s="81" t="str">
        <f t="shared" si="121"/>
        <v>ACIMA</v>
      </c>
      <c r="Q819" s="142"/>
      <c r="R819" s="76"/>
      <c r="S819" s="81" t="str">
        <f t="shared" si="122"/>
        <v/>
      </c>
      <c r="T819" s="81" t="str">
        <f t="shared" si="123"/>
        <v/>
      </c>
      <c r="U819" s="46">
        <v>44914</v>
      </c>
      <c r="V819" s="50">
        <f t="shared" si="119"/>
        <v>2000</v>
      </c>
      <c r="W819" s="53">
        <f t="shared" si="126"/>
        <v>0</v>
      </c>
    </row>
    <row r="820" spans="1:23" ht="38.25" x14ac:dyDescent="0.25">
      <c r="A820" s="35" t="s">
        <v>4367</v>
      </c>
      <c r="B820" s="36">
        <v>43748</v>
      </c>
      <c r="C820" s="35" t="s">
        <v>4418</v>
      </c>
      <c r="D820" s="36" t="s">
        <v>990</v>
      </c>
      <c r="E820" s="73" t="s">
        <v>1064</v>
      </c>
      <c r="F820" s="38" t="s">
        <v>4419</v>
      </c>
      <c r="G820" s="37" t="s">
        <v>4420</v>
      </c>
      <c r="H820" s="37" t="s">
        <v>4421</v>
      </c>
      <c r="I820" s="38" t="s">
        <v>736</v>
      </c>
      <c r="J820" s="39" t="s">
        <v>735</v>
      </c>
      <c r="K820" s="39" t="s">
        <v>39</v>
      </c>
      <c r="L820" s="39" t="s">
        <v>40</v>
      </c>
      <c r="M820" s="39">
        <v>17</v>
      </c>
      <c r="N820" s="86">
        <f t="shared" si="125"/>
        <v>300</v>
      </c>
      <c r="O820" s="41">
        <v>450</v>
      </c>
      <c r="P820" s="86" t="str">
        <f t="shared" si="121"/>
        <v>OK</v>
      </c>
      <c r="Q820" s="143"/>
      <c r="R820" s="78"/>
      <c r="S820" s="87" t="str">
        <f t="shared" si="122"/>
        <v/>
      </c>
      <c r="T820" s="87" t="str">
        <f t="shared" si="123"/>
        <v/>
      </c>
      <c r="U820" s="36">
        <v>44914</v>
      </c>
      <c r="V820" s="40">
        <f t="shared" si="119"/>
        <v>450</v>
      </c>
      <c r="W820" s="43">
        <f t="shared" si="126"/>
        <v>0</v>
      </c>
    </row>
    <row r="821" spans="1:23" ht="25.5" x14ac:dyDescent="0.25">
      <c r="A821" s="45" t="s">
        <v>4368</v>
      </c>
      <c r="B821" s="46">
        <v>44711</v>
      </c>
      <c r="C821" s="45" t="s">
        <v>4422</v>
      </c>
      <c r="D821" s="46" t="s">
        <v>1003</v>
      </c>
      <c r="E821" s="72" t="s">
        <v>1080</v>
      </c>
      <c r="F821" s="48" t="s">
        <v>4423</v>
      </c>
      <c r="G821" s="47" t="s">
        <v>4424</v>
      </c>
      <c r="H821" s="47" t="s">
        <v>4425</v>
      </c>
      <c r="I821" s="48" t="s">
        <v>4426</v>
      </c>
      <c r="J821" s="48" t="s">
        <v>4427</v>
      </c>
      <c r="K821" s="49" t="s">
        <v>432</v>
      </c>
      <c r="L821" s="49" t="s">
        <v>480</v>
      </c>
      <c r="M821" s="49">
        <v>1</v>
      </c>
      <c r="N821" s="80">
        <f t="shared" si="125"/>
        <v>300</v>
      </c>
      <c r="O821" s="51">
        <v>388.21</v>
      </c>
      <c r="P821" s="81" t="str">
        <f t="shared" si="121"/>
        <v>OK</v>
      </c>
      <c r="Q821" s="142"/>
      <c r="R821" s="76"/>
      <c r="S821" s="81" t="str">
        <f t="shared" si="122"/>
        <v/>
      </c>
      <c r="T821" s="81" t="str">
        <f t="shared" si="123"/>
        <v/>
      </c>
      <c r="U821" s="46">
        <v>44914</v>
      </c>
      <c r="V821" s="50">
        <f t="shared" si="119"/>
        <v>388.21</v>
      </c>
      <c r="W821" s="53">
        <f t="shared" si="126"/>
        <v>0</v>
      </c>
    </row>
    <row r="822" spans="1:23" ht="38.25" x14ac:dyDescent="0.25">
      <c r="A822" s="35" t="s">
        <v>4369</v>
      </c>
      <c r="B822" s="36">
        <v>44690</v>
      </c>
      <c r="C822" s="35" t="s">
        <v>4428</v>
      </c>
      <c r="D822" s="36" t="s">
        <v>1003</v>
      </c>
      <c r="E822" s="73" t="s">
        <v>1080</v>
      </c>
      <c r="F822" s="38" t="s">
        <v>4429</v>
      </c>
      <c r="G822" s="37" t="s">
        <v>4430</v>
      </c>
      <c r="H822" s="37" t="s">
        <v>4431</v>
      </c>
      <c r="I822" s="38" t="s">
        <v>1425</v>
      </c>
      <c r="J822" s="39" t="s">
        <v>1426</v>
      </c>
      <c r="K822" s="39" t="s">
        <v>432</v>
      </c>
      <c r="L822" s="39" t="s">
        <v>480</v>
      </c>
      <c r="M822" s="39">
        <v>1</v>
      </c>
      <c r="N822" s="86">
        <f t="shared" si="125"/>
        <v>300</v>
      </c>
      <c r="O822" s="41">
        <v>860</v>
      </c>
      <c r="P822" s="86" t="str">
        <f t="shared" si="121"/>
        <v>OK</v>
      </c>
      <c r="Q822" s="143"/>
      <c r="R822" s="78"/>
      <c r="S822" s="87" t="str">
        <f t="shared" si="122"/>
        <v/>
      </c>
      <c r="T822" s="87" t="str">
        <f t="shared" si="123"/>
        <v/>
      </c>
      <c r="U822" s="36">
        <v>44914</v>
      </c>
      <c r="V822" s="40">
        <f t="shared" si="119"/>
        <v>860</v>
      </c>
      <c r="W822" s="43">
        <f t="shared" si="126"/>
        <v>0</v>
      </c>
    </row>
    <row r="823" spans="1:23" ht="25.5" x14ac:dyDescent="0.25">
      <c r="A823" s="45" t="s">
        <v>4370</v>
      </c>
      <c r="B823" s="46">
        <v>44610</v>
      </c>
      <c r="C823" s="45" t="s">
        <v>4432</v>
      </c>
      <c r="D823" s="46" t="s">
        <v>1077</v>
      </c>
      <c r="E823" s="72" t="s">
        <v>979</v>
      </c>
      <c r="F823" s="48" t="s">
        <v>4433</v>
      </c>
      <c r="G823" s="47" t="s">
        <v>4434</v>
      </c>
      <c r="H823" s="47" t="s">
        <v>428</v>
      </c>
      <c r="I823" s="48" t="s">
        <v>320</v>
      </c>
      <c r="J823" s="48" t="s">
        <v>317</v>
      </c>
      <c r="K823" s="49" t="s">
        <v>4374</v>
      </c>
      <c r="L823" s="49" t="s">
        <v>4375</v>
      </c>
      <c r="M823" s="49">
        <v>1</v>
      </c>
      <c r="N823" s="80">
        <f t="shared" si="125"/>
        <v>300</v>
      </c>
      <c r="O823" s="51">
        <v>350</v>
      </c>
      <c r="P823" s="81" t="str">
        <f t="shared" si="121"/>
        <v>OK</v>
      </c>
      <c r="Q823" s="142"/>
      <c r="R823" s="76"/>
      <c r="S823" s="81" t="str">
        <f t="shared" si="122"/>
        <v/>
      </c>
      <c r="T823" s="81" t="str">
        <f t="shared" si="123"/>
        <v/>
      </c>
      <c r="U823" s="46">
        <v>44914</v>
      </c>
      <c r="V823" s="50">
        <f t="shared" si="119"/>
        <v>350</v>
      </c>
      <c r="W823" s="53">
        <f t="shared" si="126"/>
        <v>0</v>
      </c>
    </row>
    <row r="824" spans="1:23" ht="25.5" x14ac:dyDescent="0.25">
      <c r="A824" s="35" t="s">
        <v>4435</v>
      </c>
      <c r="B824" s="36">
        <v>44699</v>
      </c>
      <c r="C824" s="35" t="s">
        <v>4436</v>
      </c>
      <c r="D824" s="36" t="s">
        <v>1055</v>
      </c>
      <c r="E824" s="73" t="s">
        <v>1080</v>
      </c>
      <c r="F824" s="38" t="s">
        <v>4437</v>
      </c>
      <c r="G824" s="37" t="s">
        <v>4438</v>
      </c>
      <c r="H824" s="37" t="s">
        <v>4439</v>
      </c>
      <c r="I824" s="38" t="s">
        <v>4440</v>
      </c>
      <c r="J824" s="39" t="s">
        <v>4441</v>
      </c>
      <c r="K824" s="39" t="s">
        <v>16</v>
      </c>
      <c r="L824" s="39" t="s">
        <v>23</v>
      </c>
      <c r="M824" s="39">
        <v>9</v>
      </c>
      <c r="N824" s="86">
        <f t="shared" si="125"/>
        <v>700</v>
      </c>
      <c r="O824" s="41">
        <v>1000</v>
      </c>
      <c r="P824" s="86" t="str">
        <f t="shared" si="121"/>
        <v>OK</v>
      </c>
      <c r="Q824" s="143"/>
      <c r="R824" s="78"/>
      <c r="S824" s="87" t="str">
        <f t="shared" si="122"/>
        <v/>
      </c>
      <c r="T824" s="87" t="str">
        <f t="shared" si="123"/>
        <v/>
      </c>
      <c r="U824" s="36">
        <v>44914</v>
      </c>
      <c r="V824" s="40">
        <f t="shared" si="119"/>
        <v>1000</v>
      </c>
      <c r="W824" s="43">
        <f t="shared" si="126"/>
        <v>0</v>
      </c>
    </row>
    <row r="825" spans="1:23" ht="51" x14ac:dyDescent="0.25">
      <c r="A825" s="45" t="s">
        <v>4442</v>
      </c>
      <c r="B825" s="46">
        <v>44711</v>
      </c>
      <c r="C825" s="45" t="s">
        <v>4443</v>
      </c>
      <c r="D825" s="46" t="s">
        <v>995</v>
      </c>
      <c r="E825" s="72" t="s">
        <v>1064</v>
      </c>
      <c r="F825" s="48" t="s">
        <v>4444</v>
      </c>
      <c r="G825" s="47" t="s">
        <v>4445</v>
      </c>
      <c r="H825" s="47" t="s">
        <v>4446</v>
      </c>
      <c r="I825" s="48" t="s">
        <v>1095</v>
      </c>
      <c r="J825" s="48" t="s">
        <v>1096</v>
      </c>
      <c r="K825" s="49" t="s">
        <v>39</v>
      </c>
      <c r="L825" s="49" t="s">
        <v>40</v>
      </c>
      <c r="M825" s="49">
        <v>17</v>
      </c>
      <c r="N825" s="80">
        <f t="shared" si="125"/>
        <v>300</v>
      </c>
      <c r="O825" s="51">
        <v>450</v>
      </c>
      <c r="P825" s="81" t="str">
        <f t="shared" si="121"/>
        <v>OK</v>
      </c>
      <c r="Q825" s="142"/>
      <c r="R825" s="76"/>
      <c r="S825" s="81" t="str">
        <f t="shared" si="122"/>
        <v/>
      </c>
      <c r="T825" s="81" t="str">
        <f t="shared" si="123"/>
        <v/>
      </c>
      <c r="U825" s="46">
        <v>44914</v>
      </c>
      <c r="V825" s="50">
        <f t="shared" si="119"/>
        <v>450</v>
      </c>
      <c r="W825" s="53">
        <f t="shared" si="126"/>
        <v>0</v>
      </c>
    </row>
    <row r="826" spans="1:23" ht="25.5" x14ac:dyDescent="0.25">
      <c r="A826" s="35" t="s">
        <v>4447</v>
      </c>
      <c r="B826" s="36">
        <v>44658</v>
      </c>
      <c r="C826" s="35" t="s">
        <v>4448</v>
      </c>
      <c r="D826" s="36" t="s">
        <v>526</v>
      </c>
      <c r="E826" s="73" t="s">
        <v>1066</v>
      </c>
      <c r="F826" s="38" t="s">
        <v>4449</v>
      </c>
      <c r="G826" s="37" t="s">
        <v>4450</v>
      </c>
      <c r="H826" s="37" t="s">
        <v>4451</v>
      </c>
      <c r="I826" s="38" t="s">
        <v>771</v>
      </c>
      <c r="J826" s="39" t="s">
        <v>772</v>
      </c>
      <c r="K826" s="39" t="s">
        <v>31</v>
      </c>
      <c r="L826" s="39" t="s">
        <v>32</v>
      </c>
      <c r="M826" s="39">
        <v>13</v>
      </c>
      <c r="N826" s="86">
        <f t="shared" si="125"/>
        <v>370</v>
      </c>
      <c r="O826" s="41">
        <v>740</v>
      </c>
      <c r="P826" s="86" t="str">
        <f t="shared" si="121"/>
        <v>OK</v>
      </c>
      <c r="Q826" s="143"/>
      <c r="R826" s="78"/>
      <c r="S826" s="87" t="str">
        <f t="shared" si="122"/>
        <v/>
      </c>
      <c r="T826" s="87" t="str">
        <f t="shared" si="123"/>
        <v/>
      </c>
      <c r="U826" s="36">
        <v>44914</v>
      </c>
      <c r="V826" s="40">
        <f t="shared" si="119"/>
        <v>740</v>
      </c>
      <c r="W826" s="43">
        <f t="shared" si="126"/>
        <v>0</v>
      </c>
    </row>
    <row r="827" spans="1:23" ht="63.75" x14ac:dyDescent="0.25">
      <c r="A827" s="45" t="s">
        <v>4452</v>
      </c>
      <c r="B827" s="46">
        <v>44475</v>
      </c>
      <c r="C827" s="45" t="s">
        <v>4453</v>
      </c>
      <c r="D827" s="46" t="s">
        <v>1003</v>
      </c>
      <c r="E827" s="72" t="s">
        <v>1080</v>
      </c>
      <c r="F827" s="48" t="s">
        <v>4454</v>
      </c>
      <c r="G827" s="47" t="s">
        <v>4455</v>
      </c>
      <c r="H827" s="47" t="s">
        <v>4456</v>
      </c>
      <c r="I827" s="48" t="s">
        <v>4457</v>
      </c>
      <c r="J827" s="48" t="s">
        <v>4458</v>
      </c>
      <c r="K827" s="49" t="s">
        <v>31</v>
      </c>
      <c r="L827" s="49" t="s">
        <v>1413</v>
      </c>
      <c r="M827" s="49">
        <v>15</v>
      </c>
      <c r="N827" s="80">
        <f t="shared" si="125"/>
        <v>370</v>
      </c>
      <c r="O827" s="51">
        <v>1850</v>
      </c>
      <c r="P827" s="81" t="str">
        <f t="shared" si="121"/>
        <v>OK</v>
      </c>
      <c r="Q827" s="142"/>
      <c r="R827" s="76"/>
      <c r="S827" s="81" t="str">
        <f t="shared" si="122"/>
        <v/>
      </c>
      <c r="T827" s="81" t="str">
        <f t="shared" si="123"/>
        <v/>
      </c>
      <c r="U827" s="46">
        <v>44914</v>
      </c>
      <c r="V827" s="50">
        <f t="shared" si="119"/>
        <v>1850</v>
      </c>
      <c r="W827" s="53">
        <f t="shared" si="126"/>
        <v>0</v>
      </c>
    </row>
    <row r="828" spans="1:23" ht="38.25" x14ac:dyDescent="0.25">
      <c r="A828" s="35" t="s">
        <v>4459</v>
      </c>
      <c r="B828" s="36">
        <v>44321</v>
      </c>
      <c r="C828" s="35" t="s">
        <v>4460</v>
      </c>
      <c r="D828" s="36" t="s">
        <v>3455</v>
      </c>
      <c r="E828" s="73" t="s">
        <v>1080</v>
      </c>
      <c r="F828" s="38" t="s">
        <v>3456</v>
      </c>
      <c r="G828" s="37" t="s">
        <v>4461</v>
      </c>
      <c r="H828" s="37" t="s">
        <v>4462</v>
      </c>
      <c r="I828" s="38" t="s">
        <v>3459</v>
      </c>
      <c r="J828" s="39" t="s">
        <v>4463</v>
      </c>
      <c r="K828" s="39" t="s">
        <v>5</v>
      </c>
      <c r="L828" s="39" t="s">
        <v>14</v>
      </c>
      <c r="M828" s="39">
        <v>5</v>
      </c>
      <c r="N828" s="86">
        <f t="shared" si="125"/>
        <v>370</v>
      </c>
      <c r="O828" s="41">
        <v>1850</v>
      </c>
      <c r="P828" s="86" t="str">
        <f t="shared" si="121"/>
        <v>OK</v>
      </c>
      <c r="Q828" s="143"/>
      <c r="R828" s="78"/>
      <c r="S828" s="87" t="str">
        <f t="shared" si="122"/>
        <v/>
      </c>
      <c r="T828" s="87" t="str">
        <f t="shared" si="123"/>
        <v/>
      </c>
      <c r="U828" s="36">
        <v>44914</v>
      </c>
      <c r="V828" s="40">
        <f t="shared" si="119"/>
        <v>1850</v>
      </c>
      <c r="W828" s="43">
        <f t="shared" si="126"/>
        <v>0</v>
      </c>
    </row>
    <row r="829" spans="1:23" ht="25.5" x14ac:dyDescent="0.25">
      <c r="A829" s="45" t="s">
        <v>4467</v>
      </c>
      <c r="B829" s="46">
        <v>44595</v>
      </c>
      <c r="C829" s="45" t="s">
        <v>4464</v>
      </c>
      <c r="D829" s="46" t="s">
        <v>526</v>
      </c>
      <c r="E829" s="72" t="s">
        <v>1066</v>
      </c>
      <c r="F829" s="48" t="s">
        <v>4026</v>
      </c>
      <c r="G829" s="47" t="s">
        <v>4465</v>
      </c>
      <c r="H829" s="47" t="s">
        <v>4466</v>
      </c>
      <c r="I829" s="48" t="s">
        <v>771</v>
      </c>
      <c r="J829" s="48" t="s">
        <v>772</v>
      </c>
      <c r="K829" s="49" t="s">
        <v>31</v>
      </c>
      <c r="L829" s="49" t="s">
        <v>32</v>
      </c>
      <c r="M829" s="49">
        <v>13</v>
      </c>
      <c r="N829" s="80">
        <f t="shared" si="125"/>
        <v>370</v>
      </c>
      <c r="O829" s="51">
        <v>740</v>
      </c>
      <c r="P829" s="81" t="str">
        <f t="shared" si="121"/>
        <v>OK</v>
      </c>
      <c r="Q829" s="142"/>
      <c r="R829" s="76"/>
      <c r="S829" s="81" t="str">
        <f t="shared" si="122"/>
        <v/>
      </c>
      <c r="T829" s="81" t="str">
        <f t="shared" si="123"/>
        <v/>
      </c>
      <c r="U829" s="46">
        <v>44914</v>
      </c>
      <c r="V829" s="50">
        <f t="shared" si="119"/>
        <v>740</v>
      </c>
      <c r="W829" s="53">
        <f t="shared" si="126"/>
        <v>0</v>
      </c>
    </row>
    <row r="830" spans="1:23" ht="38.25" x14ac:dyDescent="0.25">
      <c r="A830" s="35" t="s">
        <v>4468</v>
      </c>
      <c r="B830" s="36">
        <v>44627</v>
      </c>
      <c r="C830" s="35" t="s">
        <v>4483</v>
      </c>
      <c r="D830" s="36" t="s">
        <v>1001</v>
      </c>
      <c r="E830" s="73" t="s">
        <v>1080</v>
      </c>
      <c r="F830" s="38" t="s">
        <v>4484</v>
      </c>
      <c r="G830" s="37" t="s">
        <v>4485</v>
      </c>
      <c r="H830" s="37" t="s">
        <v>4486</v>
      </c>
      <c r="I830" s="38" t="s">
        <v>1307</v>
      </c>
      <c r="J830" s="39" t="s">
        <v>2520</v>
      </c>
      <c r="K830" s="39" t="s">
        <v>5</v>
      </c>
      <c r="L830" s="39" t="s">
        <v>8</v>
      </c>
      <c r="M830" s="39">
        <v>2</v>
      </c>
      <c r="N830" s="86">
        <f t="shared" si="125"/>
        <v>370</v>
      </c>
      <c r="O830" s="41">
        <v>1000</v>
      </c>
      <c r="P830" s="86" t="str">
        <f t="shared" si="121"/>
        <v>OK</v>
      </c>
      <c r="Q830" s="143"/>
      <c r="R830" s="78"/>
      <c r="S830" s="87" t="str">
        <f t="shared" si="122"/>
        <v/>
      </c>
      <c r="T830" s="87" t="str">
        <f t="shared" si="123"/>
        <v/>
      </c>
      <c r="U830" s="36">
        <v>44914</v>
      </c>
      <c r="V830" s="40">
        <f t="shared" si="119"/>
        <v>1000</v>
      </c>
      <c r="W830" s="43">
        <f t="shared" si="126"/>
        <v>0</v>
      </c>
    </row>
    <row r="831" spans="1:23" ht="25.5" x14ac:dyDescent="0.25">
      <c r="A831" s="45" t="s">
        <v>4469</v>
      </c>
      <c r="B831" s="46">
        <v>44705</v>
      </c>
      <c r="C831" s="45" t="s">
        <v>4487</v>
      </c>
      <c r="D831" s="46" t="s">
        <v>526</v>
      </c>
      <c r="E831" s="72" t="s">
        <v>1066</v>
      </c>
      <c r="F831" s="48" t="s">
        <v>4488</v>
      </c>
      <c r="G831" s="47" t="s">
        <v>4489</v>
      </c>
      <c r="H831" s="47" t="s">
        <v>4032</v>
      </c>
      <c r="I831" s="48" t="s">
        <v>771</v>
      </c>
      <c r="J831" s="48" t="s">
        <v>772</v>
      </c>
      <c r="K831" s="49" t="s">
        <v>31</v>
      </c>
      <c r="L831" s="49" t="s">
        <v>32</v>
      </c>
      <c r="M831" s="49">
        <v>13</v>
      </c>
      <c r="N831" s="80">
        <f t="shared" si="125"/>
        <v>370</v>
      </c>
      <c r="O831" s="51">
        <v>740</v>
      </c>
      <c r="P831" s="81" t="str">
        <f t="shared" si="121"/>
        <v>OK</v>
      </c>
      <c r="Q831" s="142"/>
      <c r="R831" s="76"/>
      <c r="S831" s="81" t="str">
        <f t="shared" si="122"/>
        <v/>
      </c>
      <c r="T831" s="81" t="str">
        <f t="shared" si="123"/>
        <v/>
      </c>
      <c r="U831" s="46">
        <v>44914</v>
      </c>
      <c r="V831" s="50">
        <f t="shared" si="119"/>
        <v>740</v>
      </c>
      <c r="W831" s="53">
        <f t="shared" si="126"/>
        <v>0</v>
      </c>
    </row>
    <row r="832" spans="1:23" ht="25.5" x14ac:dyDescent="0.25">
      <c r="A832" s="35" t="s">
        <v>4470</v>
      </c>
      <c r="B832" s="36">
        <v>44712</v>
      </c>
      <c r="C832" s="35" t="s">
        <v>4490</v>
      </c>
      <c r="D832" s="36" t="s">
        <v>1790</v>
      </c>
      <c r="E832" s="73" t="s">
        <v>1069</v>
      </c>
      <c r="F832" s="38" t="s">
        <v>4491</v>
      </c>
      <c r="G832" s="37" t="s">
        <v>4492</v>
      </c>
      <c r="H832" s="37" t="s">
        <v>4493</v>
      </c>
      <c r="I832" s="38" t="s">
        <v>4494</v>
      </c>
      <c r="J832" s="39" t="s">
        <v>4495</v>
      </c>
      <c r="K832" s="39" t="s">
        <v>16</v>
      </c>
      <c r="L832" s="39" t="s">
        <v>17</v>
      </c>
      <c r="M832" s="39">
        <v>6</v>
      </c>
      <c r="N832" s="86">
        <f t="shared" si="125"/>
        <v>430</v>
      </c>
      <c r="O832" s="41">
        <v>430</v>
      </c>
      <c r="P832" s="86" t="str">
        <f t="shared" si="121"/>
        <v>OK</v>
      </c>
      <c r="Q832" s="143"/>
      <c r="R832" s="78"/>
      <c r="S832" s="87" t="str">
        <f t="shared" si="122"/>
        <v/>
      </c>
      <c r="T832" s="87" t="str">
        <f t="shared" si="123"/>
        <v/>
      </c>
      <c r="U832" s="36">
        <v>44914</v>
      </c>
      <c r="V832" s="40">
        <f t="shared" si="119"/>
        <v>430</v>
      </c>
      <c r="W832" s="43">
        <f t="shared" si="126"/>
        <v>0</v>
      </c>
    </row>
    <row r="833" spans="1:23" ht="38.25" x14ac:dyDescent="0.25">
      <c r="A833" s="45" t="s">
        <v>4471</v>
      </c>
      <c r="B833" s="46">
        <v>44642</v>
      </c>
      <c r="C833" s="45" t="s">
        <v>4496</v>
      </c>
      <c r="D833" s="46" t="s">
        <v>991</v>
      </c>
      <c r="E833" s="72" t="s">
        <v>1064</v>
      </c>
      <c r="F833" s="48" t="s">
        <v>4497</v>
      </c>
      <c r="G833" s="47" t="s">
        <v>4498</v>
      </c>
      <c r="H833" s="47" t="s">
        <v>4499</v>
      </c>
      <c r="I833" s="48" t="s">
        <v>4500</v>
      </c>
      <c r="J833" s="48" t="s">
        <v>4501</v>
      </c>
      <c r="K833" s="49" t="s">
        <v>31</v>
      </c>
      <c r="L833" s="49" t="s">
        <v>1413</v>
      </c>
      <c r="M833" s="49">
        <v>15</v>
      </c>
      <c r="N833" s="80">
        <f t="shared" si="125"/>
        <v>370</v>
      </c>
      <c r="O833" s="51">
        <v>785.4</v>
      </c>
      <c r="P833" s="81" t="str">
        <f t="shared" si="121"/>
        <v>OK</v>
      </c>
      <c r="Q833" s="142"/>
      <c r="R833" s="76"/>
      <c r="S833" s="81" t="str">
        <f t="shared" si="122"/>
        <v/>
      </c>
      <c r="T833" s="81" t="str">
        <f t="shared" si="123"/>
        <v/>
      </c>
      <c r="U833" s="46">
        <v>44914</v>
      </c>
      <c r="V833" s="50">
        <f t="shared" si="119"/>
        <v>785.4</v>
      </c>
      <c r="W833" s="53">
        <f t="shared" si="126"/>
        <v>0</v>
      </c>
    </row>
    <row r="834" spans="1:23" ht="38.25" x14ac:dyDescent="0.25">
      <c r="A834" s="35" t="s">
        <v>4472</v>
      </c>
      <c r="B834" s="36">
        <v>44243</v>
      </c>
      <c r="C834" s="35" t="s">
        <v>4502</v>
      </c>
      <c r="D834" s="36" t="s">
        <v>2397</v>
      </c>
      <c r="E834" s="73" t="s">
        <v>1080</v>
      </c>
      <c r="F834" s="38" t="s">
        <v>4503</v>
      </c>
      <c r="G834" s="37" t="s">
        <v>4504</v>
      </c>
      <c r="H834" s="37" t="s">
        <v>4505</v>
      </c>
      <c r="I834" s="38" t="s">
        <v>2047</v>
      </c>
      <c r="J834" s="39" t="s">
        <v>2048</v>
      </c>
      <c r="K834" s="39" t="s">
        <v>16</v>
      </c>
      <c r="L834" s="39" t="s">
        <v>23</v>
      </c>
      <c r="M834" s="39">
        <v>9</v>
      </c>
      <c r="N834" s="86">
        <f t="shared" si="125"/>
        <v>700</v>
      </c>
      <c r="O834" s="41">
        <v>1100</v>
      </c>
      <c r="P834" s="86" t="str">
        <f t="shared" si="121"/>
        <v>OK</v>
      </c>
      <c r="Q834" s="143"/>
      <c r="R834" s="78"/>
      <c r="S834" s="87" t="str">
        <f t="shared" si="122"/>
        <v/>
      </c>
      <c r="T834" s="87" t="str">
        <f t="shared" si="123"/>
        <v/>
      </c>
      <c r="U834" s="36">
        <v>44914</v>
      </c>
      <c r="V834" s="40">
        <f t="shared" si="119"/>
        <v>1100</v>
      </c>
      <c r="W834" s="43">
        <f t="shared" si="126"/>
        <v>0</v>
      </c>
    </row>
    <row r="835" spans="1:23" x14ac:dyDescent="0.25">
      <c r="A835" s="45" t="s">
        <v>4473</v>
      </c>
      <c r="B835" s="46">
        <v>44412</v>
      </c>
      <c r="C835" s="45" t="s">
        <v>4506</v>
      </c>
      <c r="D835" s="46"/>
      <c r="E835" s="72"/>
      <c r="F835" s="48"/>
      <c r="G835" s="47"/>
      <c r="H835" s="47"/>
      <c r="I835" s="48"/>
      <c r="J835" s="48"/>
      <c r="K835" s="49"/>
      <c r="L835" s="49"/>
      <c r="M835" s="49"/>
      <c r="N835" s="80" t="str">
        <f t="shared" si="125"/>
        <v/>
      </c>
      <c r="O835" s="51"/>
      <c r="P835" s="81"/>
      <c r="Q835" s="142"/>
      <c r="R835" s="76"/>
      <c r="S835" s="81" t="str">
        <f t="shared" si="122"/>
        <v/>
      </c>
      <c r="T835" s="81" t="str">
        <f t="shared" si="123"/>
        <v/>
      </c>
      <c r="U835" s="46"/>
      <c r="V835" s="50" t="str">
        <f t="shared" si="119"/>
        <v/>
      </c>
      <c r="W835" s="53" t="str">
        <f t="shared" si="126"/>
        <v/>
      </c>
    </row>
    <row r="836" spans="1:23" ht="25.5" x14ac:dyDescent="0.25">
      <c r="A836" s="35" t="s">
        <v>4474</v>
      </c>
      <c r="B836" s="36">
        <v>44763</v>
      </c>
      <c r="C836" s="35" t="s">
        <v>4507</v>
      </c>
      <c r="D836" s="36" t="s">
        <v>541</v>
      </c>
      <c r="E836" s="73" t="s">
        <v>1070</v>
      </c>
      <c r="F836" s="38" t="s">
        <v>4508</v>
      </c>
      <c r="G836" s="37" t="s">
        <v>4509</v>
      </c>
      <c r="H836" s="37" t="s">
        <v>437</v>
      </c>
      <c r="I836" s="38" t="s">
        <v>413</v>
      </c>
      <c r="J836" s="39" t="s">
        <v>414</v>
      </c>
      <c r="K836" s="39" t="s">
        <v>31</v>
      </c>
      <c r="L836" s="39" t="s">
        <v>1413</v>
      </c>
      <c r="M836" s="39">
        <v>15</v>
      </c>
      <c r="N836" s="86">
        <f t="shared" ref="N836:N838" si="127">IF(M836="","",IF(M836=1,300,IF(M836=2,370,IF(M836=3,630,IF(M836=4,830,IF(M836=5,370,IF(M836=6,430,IF(M836=7,530,IF(M836=8,370,IF(M836=9,700,IF(M836=10,870,IF(M836=11,370,IF(M836=12,370,IF(M836=13,370,IF(M836=13,370,IF(M836=14,370,IF(M836=15,370,IF(M836=16,300,IF(M836=17,300,IF(M836=18,170,IF(M836=19,330)))))))))))))))))))))</f>
        <v>370</v>
      </c>
      <c r="O836" s="41">
        <v>400</v>
      </c>
      <c r="P836" s="86" t="s">
        <v>1017</v>
      </c>
      <c r="Q836" s="143"/>
      <c r="R836" s="78"/>
      <c r="S836" s="87" t="str">
        <f t="shared" si="122"/>
        <v/>
      </c>
      <c r="T836" s="87" t="str">
        <f t="shared" si="123"/>
        <v/>
      </c>
      <c r="U836" s="36">
        <v>44914</v>
      </c>
      <c r="V836" s="40">
        <f t="shared" ref="V836:V888" si="128">IF(M836="","",O836-R836)</f>
        <v>400</v>
      </c>
      <c r="W836" s="43">
        <f t="shared" si="126"/>
        <v>0</v>
      </c>
    </row>
    <row r="837" spans="1:23" ht="25.5" x14ac:dyDescent="0.25">
      <c r="A837" s="45" t="s">
        <v>4475</v>
      </c>
      <c r="B837" s="46">
        <v>44628</v>
      </c>
      <c r="C837" s="45" t="s">
        <v>4510</v>
      </c>
      <c r="D837" s="46" t="s">
        <v>659</v>
      </c>
      <c r="E837" s="72" t="s">
        <v>1073</v>
      </c>
      <c r="F837" s="48" t="s">
        <v>4511</v>
      </c>
      <c r="G837" s="47" t="s">
        <v>1502</v>
      </c>
      <c r="H837" s="47" t="s">
        <v>428</v>
      </c>
      <c r="I837" s="48" t="s">
        <v>320</v>
      </c>
      <c r="J837" s="48" t="s">
        <v>317</v>
      </c>
      <c r="K837" s="49" t="s">
        <v>4374</v>
      </c>
      <c r="L837" s="49" t="s">
        <v>4375</v>
      </c>
      <c r="M837" s="49">
        <v>1</v>
      </c>
      <c r="N837" s="80">
        <f t="shared" si="127"/>
        <v>300</v>
      </c>
      <c r="O837" s="51">
        <v>370</v>
      </c>
      <c r="P837" s="81" t="s">
        <v>1017</v>
      </c>
      <c r="Q837" s="142"/>
      <c r="R837" s="76"/>
      <c r="S837" s="81" t="str">
        <f t="shared" si="122"/>
        <v/>
      </c>
      <c r="T837" s="81" t="str">
        <f t="shared" si="123"/>
        <v/>
      </c>
      <c r="U837" s="46">
        <v>44914</v>
      </c>
      <c r="V837" s="50">
        <f t="shared" si="128"/>
        <v>370</v>
      </c>
      <c r="W837" s="53">
        <f t="shared" si="126"/>
        <v>0</v>
      </c>
    </row>
    <row r="838" spans="1:23" ht="25.5" x14ac:dyDescent="0.25">
      <c r="A838" s="35" t="s">
        <v>4476</v>
      </c>
      <c r="B838" s="36">
        <v>44705</v>
      </c>
      <c r="C838" s="35" t="s">
        <v>4512</v>
      </c>
      <c r="D838" s="36" t="s">
        <v>526</v>
      </c>
      <c r="E838" s="73" t="s">
        <v>1066</v>
      </c>
      <c r="F838" s="38" t="s">
        <v>4513</v>
      </c>
      <c r="G838" s="37" t="s">
        <v>4514</v>
      </c>
      <c r="H838" s="37" t="s">
        <v>4515</v>
      </c>
      <c r="I838" s="38" t="s">
        <v>771</v>
      </c>
      <c r="J838" s="39" t="s">
        <v>772</v>
      </c>
      <c r="K838" s="39" t="s">
        <v>31</v>
      </c>
      <c r="L838" s="39" t="s">
        <v>32</v>
      </c>
      <c r="M838" s="39">
        <v>13</v>
      </c>
      <c r="N838" s="86">
        <f t="shared" si="127"/>
        <v>370</v>
      </c>
      <c r="O838" s="41">
        <v>740</v>
      </c>
      <c r="P838" s="86" t="s">
        <v>1017</v>
      </c>
      <c r="Q838" s="143"/>
      <c r="R838" s="78"/>
      <c r="S838" s="87" t="str">
        <f t="shared" si="122"/>
        <v/>
      </c>
      <c r="T838" s="87" t="str">
        <f t="shared" si="123"/>
        <v/>
      </c>
      <c r="U838" s="36">
        <v>44914</v>
      </c>
      <c r="V838" s="40">
        <f t="shared" si="128"/>
        <v>740</v>
      </c>
      <c r="W838" s="43">
        <f t="shared" si="126"/>
        <v>0</v>
      </c>
    </row>
    <row r="839" spans="1:23" ht="51" x14ac:dyDescent="0.25">
      <c r="A839" s="45" t="s">
        <v>4477</v>
      </c>
      <c r="B839" s="46">
        <v>44721</v>
      </c>
      <c r="C839" s="45" t="s">
        <v>4516</v>
      </c>
      <c r="D839" s="46" t="s">
        <v>1055</v>
      </c>
      <c r="E839" s="72" t="s">
        <v>1080</v>
      </c>
      <c r="F839" s="48" t="s">
        <v>4517</v>
      </c>
      <c r="G839" s="47" t="s">
        <v>4518</v>
      </c>
      <c r="H839" s="47" t="s">
        <v>4519</v>
      </c>
      <c r="I839" s="48" t="s">
        <v>4520</v>
      </c>
      <c r="J839" s="48" t="s">
        <v>430</v>
      </c>
      <c r="K839" s="49" t="s">
        <v>5</v>
      </c>
      <c r="L839" s="49" t="s">
        <v>14</v>
      </c>
      <c r="M839" s="49">
        <v>5</v>
      </c>
      <c r="N839" s="80">
        <v>370</v>
      </c>
      <c r="O839" s="51">
        <v>1000</v>
      </c>
      <c r="P839" s="81" t="s">
        <v>1017</v>
      </c>
      <c r="Q839" s="142"/>
      <c r="R839" s="76"/>
      <c r="S839" s="81" t="str">
        <f t="shared" si="122"/>
        <v/>
      </c>
      <c r="T839" s="81" t="str">
        <f t="shared" si="123"/>
        <v/>
      </c>
      <c r="U839" s="46">
        <v>44914</v>
      </c>
      <c r="V839" s="50">
        <f t="shared" si="128"/>
        <v>1000</v>
      </c>
      <c r="W839" s="53">
        <f t="shared" si="126"/>
        <v>0</v>
      </c>
    </row>
    <row r="840" spans="1:23" ht="38.25" x14ac:dyDescent="0.25">
      <c r="A840" s="35" t="s">
        <v>4478</v>
      </c>
      <c r="B840" s="36">
        <v>44861</v>
      </c>
      <c r="C840" s="35" t="s">
        <v>4521</v>
      </c>
      <c r="D840" s="36" t="s">
        <v>4243</v>
      </c>
      <c r="E840" s="73" t="s">
        <v>1080</v>
      </c>
      <c r="F840" s="38" t="s">
        <v>4522</v>
      </c>
      <c r="G840" s="37" t="s">
        <v>4523</v>
      </c>
      <c r="H840" s="37" t="s">
        <v>437</v>
      </c>
      <c r="I840" s="38" t="s">
        <v>4524</v>
      </c>
      <c r="J840" s="39" t="s">
        <v>4525</v>
      </c>
      <c r="K840" s="39" t="s">
        <v>31</v>
      </c>
      <c r="L840" s="39" t="s">
        <v>1413</v>
      </c>
      <c r="M840" s="39">
        <v>15</v>
      </c>
      <c r="N840" s="86">
        <v>370</v>
      </c>
      <c r="O840" s="41">
        <v>622</v>
      </c>
      <c r="P840" s="86" t="s">
        <v>1017</v>
      </c>
      <c r="Q840" s="143"/>
      <c r="R840" s="78"/>
      <c r="S840" s="87" t="str">
        <f t="shared" si="122"/>
        <v/>
      </c>
      <c r="T840" s="87" t="str">
        <f t="shared" si="123"/>
        <v/>
      </c>
      <c r="U840" s="36">
        <v>44914</v>
      </c>
      <c r="V840" s="40">
        <f t="shared" si="128"/>
        <v>622</v>
      </c>
      <c r="W840" s="43">
        <f t="shared" si="126"/>
        <v>0</v>
      </c>
    </row>
    <row r="841" spans="1:23" ht="38.25" x14ac:dyDescent="0.25">
      <c r="A841" s="45" t="s">
        <v>4479</v>
      </c>
      <c r="B841" s="46">
        <v>44859</v>
      </c>
      <c r="C841" s="45" t="s">
        <v>4526</v>
      </c>
      <c r="D841" s="46" t="s">
        <v>4243</v>
      </c>
      <c r="E841" s="72" t="s">
        <v>1080</v>
      </c>
      <c r="F841" s="48" t="s">
        <v>4527</v>
      </c>
      <c r="G841" s="47" t="s">
        <v>4528</v>
      </c>
      <c r="H841" s="47" t="s">
        <v>437</v>
      </c>
      <c r="I841" s="48" t="s">
        <v>4529</v>
      </c>
      <c r="J841" s="48" t="s">
        <v>4530</v>
      </c>
      <c r="K841" s="49" t="s">
        <v>31</v>
      </c>
      <c r="L841" s="49" t="s">
        <v>1413</v>
      </c>
      <c r="M841" s="49">
        <v>15</v>
      </c>
      <c r="N841" s="80">
        <v>370</v>
      </c>
      <c r="O841" s="51">
        <v>622</v>
      </c>
      <c r="P841" s="81" t="s">
        <v>1017</v>
      </c>
      <c r="Q841" s="142"/>
      <c r="R841" s="76"/>
      <c r="S841" s="81" t="str">
        <f t="shared" si="122"/>
        <v/>
      </c>
      <c r="T841" s="81" t="str">
        <f t="shared" si="123"/>
        <v/>
      </c>
      <c r="U841" s="46">
        <v>44914</v>
      </c>
      <c r="V841" s="50">
        <f t="shared" si="128"/>
        <v>622</v>
      </c>
      <c r="W841" s="53">
        <f t="shared" si="126"/>
        <v>0</v>
      </c>
    </row>
    <row r="842" spans="1:23" ht="25.5" x14ac:dyDescent="0.25">
      <c r="A842" s="35" t="s">
        <v>4480</v>
      </c>
      <c r="B842" s="36">
        <v>44914</v>
      </c>
      <c r="C842" s="35" t="s">
        <v>4531</v>
      </c>
      <c r="D842" s="36" t="s">
        <v>4383</v>
      </c>
      <c r="E842" s="73" t="s">
        <v>1812</v>
      </c>
      <c r="F842" s="38" t="s">
        <v>4532</v>
      </c>
      <c r="G842" s="37" t="s">
        <v>4533</v>
      </c>
      <c r="H842" s="37" t="s">
        <v>437</v>
      </c>
      <c r="I842" s="38" t="s">
        <v>328</v>
      </c>
      <c r="J842" s="39" t="s">
        <v>2972</v>
      </c>
      <c r="K842" s="39" t="s">
        <v>31</v>
      </c>
      <c r="L842" s="39" t="s">
        <v>1413</v>
      </c>
      <c r="M842" s="39">
        <v>15</v>
      </c>
      <c r="N842" s="86">
        <v>370</v>
      </c>
      <c r="O842" s="41">
        <v>370</v>
      </c>
      <c r="P842" s="86" t="s">
        <v>1017</v>
      </c>
      <c r="Q842" s="143"/>
      <c r="R842" s="78"/>
      <c r="S842" s="87" t="str">
        <f t="shared" si="122"/>
        <v/>
      </c>
      <c r="T842" s="87" t="str">
        <f t="shared" si="123"/>
        <v/>
      </c>
      <c r="U842" s="36">
        <v>44914</v>
      </c>
      <c r="V842" s="40">
        <f t="shared" si="128"/>
        <v>370</v>
      </c>
      <c r="W842" s="43">
        <f t="shared" si="126"/>
        <v>0</v>
      </c>
    </row>
    <row r="843" spans="1:23" ht="25.5" x14ac:dyDescent="0.25">
      <c r="A843" s="45" t="s">
        <v>4481</v>
      </c>
      <c r="B843" s="46">
        <v>44861</v>
      </c>
      <c r="C843" s="45" t="s">
        <v>4534</v>
      </c>
      <c r="D843" s="46" t="s">
        <v>4243</v>
      </c>
      <c r="E843" s="72" t="s">
        <v>1080</v>
      </c>
      <c r="F843" s="48" t="s">
        <v>4535</v>
      </c>
      <c r="G843" s="47" t="s">
        <v>4536</v>
      </c>
      <c r="H843" s="47" t="s">
        <v>437</v>
      </c>
      <c r="I843" s="48" t="s">
        <v>328</v>
      </c>
      <c r="J843" s="48" t="s">
        <v>2972</v>
      </c>
      <c r="K843" s="49" t="s">
        <v>31</v>
      </c>
      <c r="L843" s="49" t="s">
        <v>1413</v>
      </c>
      <c r="M843" s="49">
        <v>15</v>
      </c>
      <c r="N843" s="80">
        <v>370</v>
      </c>
      <c r="O843" s="51">
        <v>622</v>
      </c>
      <c r="P843" s="81" t="s">
        <v>1017</v>
      </c>
      <c r="Q843" s="142"/>
      <c r="R843" s="76"/>
      <c r="S843" s="81" t="str">
        <f t="shared" si="122"/>
        <v/>
      </c>
      <c r="T843" s="81" t="str">
        <f t="shared" si="123"/>
        <v/>
      </c>
      <c r="U843" s="46">
        <v>44914</v>
      </c>
      <c r="V843" s="50">
        <f t="shared" si="128"/>
        <v>622</v>
      </c>
      <c r="W843" s="53">
        <f t="shared" si="126"/>
        <v>0</v>
      </c>
    </row>
    <row r="844" spans="1:23" ht="25.5" x14ac:dyDescent="0.25">
      <c r="A844" s="35" t="s">
        <v>4482</v>
      </c>
      <c r="B844" s="36">
        <v>44909</v>
      </c>
      <c r="C844" s="35" t="s">
        <v>4537</v>
      </c>
      <c r="D844" s="36" t="s">
        <v>526</v>
      </c>
      <c r="E844" s="73" t="s">
        <v>1066</v>
      </c>
      <c r="F844" s="38" t="s">
        <v>4538</v>
      </c>
      <c r="G844" s="37" t="s">
        <v>4539</v>
      </c>
      <c r="H844" s="37" t="s">
        <v>4540</v>
      </c>
      <c r="I844" s="38" t="s">
        <v>4300</v>
      </c>
      <c r="J844" s="39" t="s">
        <v>4301</v>
      </c>
      <c r="K844" s="39" t="s">
        <v>31</v>
      </c>
      <c r="L844" s="39" t="s">
        <v>32</v>
      </c>
      <c r="M844" s="39">
        <v>13</v>
      </c>
      <c r="N844" s="86">
        <v>370</v>
      </c>
      <c r="O844" s="41">
        <v>370</v>
      </c>
      <c r="P844" s="86" t="s">
        <v>1017</v>
      </c>
      <c r="Q844" s="143"/>
      <c r="R844" s="78"/>
      <c r="S844" s="87" t="str">
        <f t="shared" si="122"/>
        <v/>
      </c>
      <c r="T844" s="87" t="str">
        <f t="shared" si="123"/>
        <v/>
      </c>
      <c r="U844" s="36">
        <v>44935</v>
      </c>
      <c r="V844" s="40">
        <f t="shared" si="128"/>
        <v>370</v>
      </c>
      <c r="W844" s="43">
        <f t="shared" si="126"/>
        <v>0</v>
      </c>
    </row>
    <row r="845" spans="1:23" ht="25.5" x14ac:dyDescent="0.25">
      <c r="A845" s="45" t="s">
        <v>4541</v>
      </c>
      <c r="B845" s="46">
        <v>44909</v>
      </c>
      <c r="C845" s="45" t="s">
        <v>4542</v>
      </c>
      <c r="D845" s="46" t="s">
        <v>526</v>
      </c>
      <c r="E845" s="72" t="s">
        <v>1066</v>
      </c>
      <c r="F845" s="48" t="s">
        <v>4543</v>
      </c>
      <c r="G845" s="47" t="s">
        <v>4544</v>
      </c>
      <c r="H845" s="47" t="s">
        <v>4545</v>
      </c>
      <c r="I845" s="48" t="s">
        <v>4300</v>
      </c>
      <c r="J845" s="48" t="s">
        <v>4301</v>
      </c>
      <c r="K845" s="49" t="s">
        <v>31</v>
      </c>
      <c r="L845" s="49" t="s">
        <v>32</v>
      </c>
      <c r="M845" s="49">
        <v>13</v>
      </c>
      <c r="N845" s="80">
        <v>370</v>
      </c>
      <c r="O845" s="51">
        <v>370</v>
      </c>
      <c r="P845" s="81" t="s">
        <v>1017</v>
      </c>
      <c r="Q845" s="142"/>
      <c r="R845" s="76"/>
      <c r="S845" s="81" t="str">
        <f t="shared" si="122"/>
        <v/>
      </c>
      <c r="T845" s="81" t="str">
        <f t="shared" si="123"/>
        <v/>
      </c>
      <c r="U845" s="46">
        <v>44935</v>
      </c>
      <c r="V845" s="50">
        <f t="shared" si="128"/>
        <v>370</v>
      </c>
      <c r="W845" s="53">
        <f t="shared" si="126"/>
        <v>0</v>
      </c>
    </row>
    <row r="846" spans="1:23" ht="25.5" x14ac:dyDescent="0.25">
      <c r="A846" s="35" t="s">
        <v>4547</v>
      </c>
      <c r="B846" s="36">
        <v>44909</v>
      </c>
      <c r="C846" s="35" t="s">
        <v>4546</v>
      </c>
      <c r="D846" s="36" t="s">
        <v>526</v>
      </c>
      <c r="E846" s="73" t="s">
        <v>1066</v>
      </c>
      <c r="F846" s="38" t="s">
        <v>4548</v>
      </c>
      <c r="G846" s="37" t="s">
        <v>4549</v>
      </c>
      <c r="H846" s="37" t="s">
        <v>4550</v>
      </c>
      <c r="I846" s="38" t="s">
        <v>4300</v>
      </c>
      <c r="J846" s="39" t="s">
        <v>4301</v>
      </c>
      <c r="K846" s="39" t="s">
        <v>31</v>
      </c>
      <c r="L846" s="39" t="s">
        <v>32</v>
      </c>
      <c r="M846" s="39">
        <v>13</v>
      </c>
      <c r="N846" s="86">
        <v>370</v>
      </c>
      <c r="O846" s="41">
        <v>370</v>
      </c>
      <c r="P846" s="86" t="s">
        <v>1017</v>
      </c>
      <c r="Q846" s="143"/>
      <c r="R846" s="78"/>
      <c r="S846" s="87" t="str">
        <f t="shared" si="122"/>
        <v/>
      </c>
      <c r="T846" s="87" t="str">
        <f t="shared" si="123"/>
        <v/>
      </c>
      <c r="U846" s="36">
        <v>44935</v>
      </c>
      <c r="V846" s="40">
        <f t="shared" si="128"/>
        <v>370</v>
      </c>
      <c r="W846" s="43">
        <f t="shared" si="126"/>
        <v>0</v>
      </c>
    </row>
    <row r="847" spans="1:23" ht="25.5" x14ac:dyDescent="0.25">
      <c r="A847" s="45" t="s">
        <v>4555</v>
      </c>
      <c r="B847" s="46">
        <v>44909</v>
      </c>
      <c r="C847" s="45" t="s">
        <v>4551</v>
      </c>
      <c r="D847" s="46" t="s">
        <v>526</v>
      </c>
      <c r="E847" s="72" t="s">
        <v>1066</v>
      </c>
      <c r="F847" s="48" t="s">
        <v>4552</v>
      </c>
      <c r="G847" s="47" t="s">
        <v>4554</v>
      </c>
      <c r="H847" s="47" t="s">
        <v>4553</v>
      </c>
      <c r="I847" s="48" t="s">
        <v>4300</v>
      </c>
      <c r="J847" s="48" t="s">
        <v>4301</v>
      </c>
      <c r="K847" s="49" t="s">
        <v>31</v>
      </c>
      <c r="L847" s="49" t="s">
        <v>32</v>
      </c>
      <c r="M847" s="49">
        <v>13</v>
      </c>
      <c r="N847" s="80">
        <v>370</v>
      </c>
      <c r="O847" s="51">
        <v>370</v>
      </c>
      <c r="P847" s="81" t="s">
        <v>1017</v>
      </c>
      <c r="Q847" s="142"/>
      <c r="R847" s="76"/>
      <c r="S847" s="81" t="str">
        <f t="shared" si="122"/>
        <v/>
      </c>
      <c r="T847" s="81" t="str">
        <f t="shared" si="123"/>
        <v/>
      </c>
      <c r="U847" s="46">
        <v>44935</v>
      </c>
      <c r="V847" s="50">
        <f t="shared" si="128"/>
        <v>370</v>
      </c>
      <c r="W847" s="53">
        <f t="shared" si="126"/>
        <v>0</v>
      </c>
    </row>
    <row r="848" spans="1:23" ht="25.5" x14ac:dyDescent="0.25">
      <c r="A848" s="35" t="s">
        <v>4556</v>
      </c>
      <c r="B848" s="36">
        <v>44936</v>
      </c>
      <c r="C848" s="35" t="s">
        <v>4557</v>
      </c>
      <c r="D848" s="36" t="s">
        <v>3075</v>
      </c>
      <c r="E848" s="73" t="s">
        <v>1071</v>
      </c>
      <c r="F848" s="38" t="s">
        <v>4558</v>
      </c>
      <c r="G848" s="37" t="s">
        <v>4559</v>
      </c>
      <c r="H848" s="37" t="s">
        <v>4560</v>
      </c>
      <c r="I848" s="38" t="s">
        <v>4561</v>
      </c>
      <c r="J848" s="39" t="s">
        <v>4562</v>
      </c>
      <c r="K848" s="39" t="s">
        <v>31</v>
      </c>
      <c r="L848" s="39" t="s">
        <v>1413</v>
      </c>
      <c r="M848" s="39">
        <v>15</v>
      </c>
      <c r="N848" s="86">
        <v>370</v>
      </c>
      <c r="O848" s="41">
        <v>200</v>
      </c>
      <c r="P848" s="86" t="s">
        <v>1017</v>
      </c>
      <c r="Q848" s="143"/>
      <c r="R848" s="78"/>
      <c r="S848" s="87" t="str">
        <f t="shared" si="122"/>
        <v/>
      </c>
      <c r="T848" s="87" t="str">
        <f t="shared" si="123"/>
        <v/>
      </c>
      <c r="U848" s="36">
        <v>44936</v>
      </c>
      <c r="V848" s="40">
        <f t="shared" si="128"/>
        <v>200</v>
      </c>
      <c r="W848" s="43">
        <f t="shared" si="126"/>
        <v>0</v>
      </c>
    </row>
    <row r="849" spans="1:23" ht="25.5" x14ac:dyDescent="0.25">
      <c r="A849" s="45" t="s">
        <v>4563</v>
      </c>
      <c r="B849" s="46">
        <v>44935</v>
      </c>
      <c r="C849" s="45" t="s">
        <v>4564</v>
      </c>
      <c r="D849" s="46" t="s">
        <v>4383</v>
      </c>
      <c r="E849" s="72" t="s">
        <v>1812</v>
      </c>
      <c r="F849" s="48" t="s">
        <v>4565</v>
      </c>
      <c r="G849" s="47" t="s">
        <v>4566</v>
      </c>
      <c r="H849" s="47" t="s">
        <v>437</v>
      </c>
      <c r="I849" s="48" t="s">
        <v>328</v>
      </c>
      <c r="J849" s="48" t="s">
        <v>2972</v>
      </c>
      <c r="K849" s="49" t="s">
        <v>31</v>
      </c>
      <c r="L849" s="49" t="s">
        <v>1413</v>
      </c>
      <c r="M849" s="49">
        <v>15</v>
      </c>
      <c r="N849" s="80">
        <v>370</v>
      </c>
      <c r="O849" s="51">
        <v>370</v>
      </c>
      <c r="P849" s="81" t="s">
        <v>1017</v>
      </c>
      <c r="Q849" s="142"/>
      <c r="R849" s="76"/>
      <c r="S849" s="81" t="str">
        <f t="shared" si="122"/>
        <v/>
      </c>
      <c r="T849" s="81" t="str">
        <f t="shared" si="123"/>
        <v/>
      </c>
      <c r="U849" s="46">
        <v>44938</v>
      </c>
      <c r="V849" s="50">
        <f t="shared" si="128"/>
        <v>370</v>
      </c>
      <c r="W849" s="53">
        <f t="shared" si="126"/>
        <v>0</v>
      </c>
    </row>
    <row r="850" spans="1:23" ht="25.5" x14ac:dyDescent="0.25">
      <c r="A850" s="35" t="s">
        <v>4570</v>
      </c>
      <c r="B850" s="36">
        <v>44944</v>
      </c>
      <c r="C850" s="35" t="s">
        <v>4567</v>
      </c>
      <c r="D850" s="36" t="s">
        <v>541</v>
      </c>
      <c r="E850" s="73" t="s">
        <v>1070</v>
      </c>
      <c r="F850" s="38" t="s">
        <v>4568</v>
      </c>
      <c r="G850" s="37" t="s">
        <v>4569</v>
      </c>
      <c r="H850" s="37" t="s">
        <v>437</v>
      </c>
      <c r="I850" s="38" t="s">
        <v>4571</v>
      </c>
      <c r="J850" s="39" t="s">
        <v>4572</v>
      </c>
      <c r="K850" s="39" t="s">
        <v>31</v>
      </c>
      <c r="L850" s="39" t="s">
        <v>1413</v>
      </c>
      <c r="M850" s="39">
        <v>15</v>
      </c>
      <c r="N850" s="86">
        <v>370</v>
      </c>
      <c r="O850" s="41">
        <v>400</v>
      </c>
      <c r="P850" s="86" t="s">
        <v>1017</v>
      </c>
      <c r="Q850" s="143"/>
      <c r="R850" s="78"/>
      <c r="S850" s="87" t="str">
        <f t="shared" si="122"/>
        <v/>
      </c>
      <c r="T850" s="87" t="str">
        <f t="shared" si="123"/>
        <v/>
      </c>
      <c r="U850" s="36">
        <v>44945</v>
      </c>
      <c r="V850" s="40">
        <f t="shared" si="128"/>
        <v>400</v>
      </c>
      <c r="W850" s="43">
        <f t="shared" si="126"/>
        <v>0</v>
      </c>
    </row>
    <row r="851" spans="1:23" ht="25.5" x14ac:dyDescent="0.25">
      <c r="A851" s="45" t="s">
        <v>4573</v>
      </c>
      <c r="B851" s="46">
        <v>44943</v>
      </c>
      <c r="C851" s="45" t="s">
        <v>4574</v>
      </c>
      <c r="D851" s="46" t="s">
        <v>466</v>
      </c>
      <c r="E851" s="72" t="s">
        <v>1070</v>
      </c>
      <c r="F851" s="48" t="s">
        <v>4575</v>
      </c>
      <c r="G851" s="47" t="s">
        <v>4576</v>
      </c>
      <c r="H851" s="47" t="s">
        <v>1316</v>
      </c>
      <c r="I851" s="48" t="s">
        <v>320</v>
      </c>
      <c r="J851" s="48" t="s">
        <v>317</v>
      </c>
      <c r="K851" s="49" t="s">
        <v>16</v>
      </c>
      <c r="L851" s="49" t="s">
        <v>27</v>
      </c>
      <c r="M851" s="49">
        <v>11</v>
      </c>
      <c r="N851" s="80">
        <v>370</v>
      </c>
      <c r="O851" s="51">
        <v>370</v>
      </c>
      <c r="P851" s="81" t="s">
        <v>1017</v>
      </c>
      <c r="Q851" s="142"/>
      <c r="R851" s="76"/>
      <c r="S851" s="81" t="str">
        <f t="shared" si="122"/>
        <v/>
      </c>
      <c r="T851" s="81" t="str">
        <f t="shared" si="123"/>
        <v/>
      </c>
      <c r="U851" s="46">
        <v>44943</v>
      </c>
      <c r="V851" s="50">
        <f t="shared" si="128"/>
        <v>370</v>
      </c>
      <c r="W851" s="53">
        <f t="shared" si="126"/>
        <v>0</v>
      </c>
    </row>
    <row r="852" spans="1:23" ht="25.5" x14ac:dyDescent="0.25">
      <c r="A852" s="35" t="s">
        <v>4577</v>
      </c>
      <c r="B852" s="36">
        <v>44943</v>
      </c>
      <c r="C852" s="35" t="s">
        <v>4578</v>
      </c>
      <c r="D852" s="36" t="s">
        <v>466</v>
      </c>
      <c r="E852" s="73" t="s">
        <v>1070</v>
      </c>
      <c r="F852" s="38" t="s">
        <v>4579</v>
      </c>
      <c r="G852" s="37" t="s">
        <v>4580</v>
      </c>
      <c r="H852" s="37" t="s">
        <v>1316</v>
      </c>
      <c r="I852" s="38" t="s">
        <v>320</v>
      </c>
      <c r="J852" s="39" t="s">
        <v>317</v>
      </c>
      <c r="K852" s="39" t="s">
        <v>16</v>
      </c>
      <c r="L852" s="39" t="s">
        <v>27</v>
      </c>
      <c r="M852" s="39">
        <v>11</v>
      </c>
      <c r="N852" s="86">
        <v>370</v>
      </c>
      <c r="O852" s="41">
        <v>370</v>
      </c>
      <c r="P852" s="86" t="s">
        <v>1017</v>
      </c>
      <c r="Q852" s="143"/>
      <c r="R852" s="78"/>
      <c r="S852" s="87" t="str">
        <f t="shared" si="122"/>
        <v/>
      </c>
      <c r="T852" s="87" t="str">
        <f t="shared" si="123"/>
        <v/>
      </c>
      <c r="U852" s="36">
        <v>44943</v>
      </c>
      <c r="V852" s="40">
        <f t="shared" si="128"/>
        <v>370</v>
      </c>
      <c r="W852" s="43">
        <f t="shared" si="126"/>
        <v>0</v>
      </c>
    </row>
    <row r="853" spans="1:23" ht="25.5" x14ac:dyDescent="0.25">
      <c r="A853" s="45" t="s">
        <v>4581</v>
      </c>
      <c r="B853" s="46">
        <v>44943</v>
      </c>
      <c r="C853" s="45" t="s">
        <v>4582</v>
      </c>
      <c r="D853" s="46" t="s">
        <v>466</v>
      </c>
      <c r="E853" s="72" t="s">
        <v>1070</v>
      </c>
      <c r="F853" s="48" t="s">
        <v>4583</v>
      </c>
      <c r="G853" s="47" t="s">
        <v>4584</v>
      </c>
      <c r="H853" s="47" t="s">
        <v>1316</v>
      </c>
      <c r="I853" s="48" t="s">
        <v>320</v>
      </c>
      <c r="J853" s="48" t="s">
        <v>317</v>
      </c>
      <c r="K853" s="49" t="s">
        <v>16</v>
      </c>
      <c r="L853" s="49" t="s">
        <v>27</v>
      </c>
      <c r="M853" s="49">
        <v>11</v>
      </c>
      <c r="N853" s="80">
        <v>370</v>
      </c>
      <c r="O853" s="51">
        <v>370</v>
      </c>
      <c r="P853" s="81" t="s">
        <v>1017</v>
      </c>
      <c r="Q853" s="142"/>
      <c r="R853" s="76"/>
      <c r="S853" s="81" t="str">
        <f t="shared" si="122"/>
        <v/>
      </c>
      <c r="T853" s="81" t="str">
        <f t="shared" si="123"/>
        <v/>
      </c>
      <c r="U853" s="46">
        <v>44943</v>
      </c>
      <c r="V853" s="50">
        <f t="shared" si="128"/>
        <v>370</v>
      </c>
      <c r="W853" s="53">
        <f t="shared" si="126"/>
        <v>0</v>
      </c>
    </row>
    <row r="854" spans="1:23" ht="25.5" x14ac:dyDescent="0.25">
      <c r="A854" s="35" t="s">
        <v>4586</v>
      </c>
      <c r="B854" s="36">
        <v>44949</v>
      </c>
      <c r="C854" s="35" t="s">
        <v>4585</v>
      </c>
      <c r="D854" s="36" t="s">
        <v>3242</v>
      </c>
      <c r="E854" s="73" t="s">
        <v>3243</v>
      </c>
      <c r="F854" s="38" t="s">
        <v>4587</v>
      </c>
      <c r="G854" s="37" t="s">
        <v>4588</v>
      </c>
      <c r="H854" s="37" t="s">
        <v>437</v>
      </c>
      <c r="I854" s="38" t="s">
        <v>1729</v>
      </c>
      <c r="J854" s="39" t="s">
        <v>2167</v>
      </c>
      <c r="K854" s="39" t="s">
        <v>31</v>
      </c>
      <c r="L854" s="39" t="s">
        <v>1413</v>
      </c>
      <c r="M854" s="39">
        <v>15</v>
      </c>
      <c r="N854" s="86">
        <v>370</v>
      </c>
      <c r="O854" s="41">
        <v>370</v>
      </c>
      <c r="P854" s="86" t="s">
        <v>1017</v>
      </c>
      <c r="Q854" s="143"/>
      <c r="R854" s="78"/>
      <c r="S854" s="87" t="str">
        <f t="shared" si="122"/>
        <v/>
      </c>
      <c r="T854" s="87" t="str">
        <f t="shared" si="123"/>
        <v/>
      </c>
      <c r="U854" s="36">
        <v>44949</v>
      </c>
      <c r="V854" s="40">
        <f t="shared" si="128"/>
        <v>370</v>
      </c>
      <c r="W854" s="43">
        <f t="shared" si="126"/>
        <v>0</v>
      </c>
    </row>
    <row r="855" spans="1:23" ht="25.5" x14ac:dyDescent="0.25">
      <c r="A855" s="45" t="s">
        <v>4593</v>
      </c>
      <c r="B855" s="46">
        <v>44495</v>
      </c>
      <c r="C855" s="45" t="s">
        <v>4589</v>
      </c>
      <c r="D855" s="46" t="s">
        <v>802</v>
      </c>
      <c r="E855" s="72" t="s">
        <v>1068</v>
      </c>
      <c r="F855" s="48" t="s">
        <v>4590</v>
      </c>
      <c r="G855" s="47" t="s">
        <v>4591</v>
      </c>
      <c r="H855" s="47" t="s">
        <v>4592</v>
      </c>
      <c r="I855" s="48" t="s">
        <v>806</v>
      </c>
      <c r="J855" s="48" t="s">
        <v>807</v>
      </c>
      <c r="K855" s="49" t="s">
        <v>31</v>
      </c>
      <c r="L855" s="49" t="s">
        <v>34</v>
      </c>
      <c r="M855" s="49">
        <v>14</v>
      </c>
      <c r="N855" s="80">
        <v>370</v>
      </c>
      <c r="O855" s="51">
        <v>200</v>
      </c>
      <c r="P855" s="81" t="s">
        <v>1017</v>
      </c>
      <c r="Q855" s="142"/>
      <c r="R855" s="76"/>
      <c r="S855" s="81" t="str">
        <f t="shared" si="122"/>
        <v/>
      </c>
      <c r="T855" s="81" t="str">
        <f t="shared" si="123"/>
        <v/>
      </c>
      <c r="U855" s="46">
        <v>44956</v>
      </c>
      <c r="V855" s="50">
        <f t="shared" si="128"/>
        <v>200</v>
      </c>
      <c r="W855" s="53">
        <f t="shared" si="126"/>
        <v>0</v>
      </c>
    </row>
    <row r="856" spans="1:23" ht="25.5" x14ac:dyDescent="0.25">
      <c r="A856" s="35" t="s">
        <v>4594</v>
      </c>
      <c r="B856" s="36">
        <v>44952</v>
      </c>
      <c r="C856" s="35" t="s">
        <v>4595</v>
      </c>
      <c r="D856" s="36" t="s">
        <v>526</v>
      </c>
      <c r="E856" s="73" t="s">
        <v>1066</v>
      </c>
      <c r="F856" s="38" t="s">
        <v>4596</v>
      </c>
      <c r="G856" s="37" t="s">
        <v>4597</v>
      </c>
      <c r="H856" s="37" t="s">
        <v>1712</v>
      </c>
      <c r="I856" s="38" t="s">
        <v>320</v>
      </c>
      <c r="J856" s="39" t="s">
        <v>317</v>
      </c>
      <c r="K856" s="39" t="s">
        <v>432</v>
      </c>
      <c r="L856" s="39" t="s">
        <v>480</v>
      </c>
      <c r="M856" s="39">
        <v>1</v>
      </c>
      <c r="N856" s="86">
        <v>300</v>
      </c>
      <c r="O856" s="41">
        <v>300</v>
      </c>
      <c r="P856" s="86" t="s">
        <v>1017</v>
      </c>
      <c r="Q856" s="143"/>
      <c r="R856" s="78"/>
      <c r="S856" s="87" t="str">
        <f t="shared" si="122"/>
        <v/>
      </c>
      <c r="T856" s="87" t="str">
        <f t="shared" si="123"/>
        <v/>
      </c>
      <c r="U856" s="36">
        <v>44956</v>
      </c>
      <c r="V856" s="40">
        <f t="shared" si="128"/>
        <v>300</v>
      </c>
      <c r="W856" s="43">
        <f t="shared" si="126"/>
        <v>0</v>
      </c>
    </row>
    <row r="857" spans="1:23" ht="38.25" x14ac:dyDescent="0.25">
      <c r="A857" s="45" t="s">
        <v>4598</v>
      </c>
      <c r="B857" s="46">
        <v>44952</v>
      </c>
      <c r="C857" s="45" t="s">
        <v>4599</v>
      </c>
      <c r="D857" s="46" t="s">
        <v>526</v>
      </c>
      <c r="E857" s="72" t="s">
        <v>1066</v>
      </c>
      <c r="F857" s="48" t="s">
        <v>4600</v>
      </c>
      <c r="G857" s="47" t="s">
        <v>4601</v>
      </c>
      <c r="H857" s="47" t="s">
        <v>4602</v>
      </c>
      <c r="I857" s="48" t="s">
        <v>320</v>
      </c>
      <c r="J857" s="48" t="s">
        <v>317</v>
      </c>
      <c r="K857" s="49" t="s">
        <v>432</v>
      </c>
      <c r="L857" s="49" t="s">
        <v>480</v>
      </c>
      <c r="M857" s="49">
        <v>1</v>
      </c>
      <c r="N857" s="80">
        <v>300</v>
      </c>
      <c r="O857" s="51">
        <v>300</v>
      </c>
      <c r="P857" s="81" t="s">
        <v>1017</v>
      </c>
      <c r="Q857" s="142"/>
      <c r="R857" s="76"/>
      <c r="S857" s="81" t="str">
        <f t="shared" si="122"/>
        <v/>
      </c>
      <c r="T857" s="81" t="str">
        <f t="shared" si="123"/>
        <v/>
      </c>
      <c r="U857" s="46">
        <v>44956</v>
      </c>
      <c r="V857" s="50">
        <f t="shared" si="128"/>
        <v>300</v>
      </c>
      <c r="W857" s="53">
        <f t="shared" si="126"/>
        <v>0</v>
      </c>
    </row>
    <row r="858" spans="1:23" ht="38.25" x14ac:dyDescent="0.25">
      <c r="A858" s="35" t="s">
        <v>4603</v>
      </c>
      <c r="B858" s="36">
        <v>44952</v>
      </c>
      <c r="C858" s="35" t="s">
        <v>4604</v>
      </c>
      <c r="D858" s="36" t="s">
        <v>526</v>
      </c>
      <c r="E858" s="73" t="s">
        <v>1066</v>
      </c>
      <c r="F858" s="38" t="s">
        <v>4605</v>
      </c>
      <c r="G858" s="37" t="s">
        <v>4606</v>
      </c>
      <c r="H858" s="37" t="s">
        <v>4607</v>
      </c>
      <c r="I858" s="38" t="s">
        <v>320</v>
      </c>
      <c r="J858" s="39" t="s">
        <v>317</v>
      </c>
      <c r="K858" s="39" t="s">
        <v>432</v>
      </c>
      <c r="L858" s="39" t="s">
        <v>480</v>
      </c>
      <c r="M858" s="39">
        <v>1</v>
      </c>
      <c r="N858" s="86">
        <v>300</v>
      </c>
      <c r="O858" s="41">
        <v>300</v>
      </c>
      <c r="P858" s="86" t="s">
        <v>1017</v>
      </c>
      <c r="Q858" s="143"/>
      <c r="R858" s="78"/>
      <c r="S858" s="87" t="str">
        <f t="shared" si="122"/>
        <v/>
      </c>
      <c r="T858" s="87" t="str">
        <f t="shared" si="123"/>
        <v/>
      </c>
      <c r="U858" s="36">
        <v>44956</v>
      </c>
      <c r="V858" s="40">
        <f t="shared" si="128"/>
        <v>300</v>
      </c>
      <c r="W858" s="43">
        <f t="shared" si="126"/>
        <v>0</v>
      </c>
    </row>
    <row r="859" spans="1:23" ht="25.5" x14ac:dyDescent="0.25">
      <c r="A859" s="45" t="s">
        <v>4608</v>
      </c>
      <c r="B859" s="46">
        <v>44952</v>
      </c>
      <c r="C859" s="45" t="s">
        <v>4609</v>
      </c>
      <c r="D859" s="46" t="s">
        <v>526</v>
      </c>
      <c r="E859" s="72" t="s">
        <v>1066</v>
      </c>
      <c r="F859" s="48" t="s">
        <v>4610</v>
      </c>
      <c r="G859" s="47" t="s">
        <v>4611</v>
      </c>
      <c r="H859" s="47" t="s">
        <v>585</v>
      </c>
      <c r="I859" s="48" t="s">
        <v>320</v>
      </c>
      <c r="J859" s="48" t="s">
        <v>317</v>
      </c>
      <c r="K859" s="49" t="s">
        <v>4374</v>
      </c>
      <c r="L859" s="49" t="s">
        <v>4375</v>
      </c>
      <c r="M859" s="49">
        <v>1</v>
      </c>
      <c r="N859" s="80">
        <v>300</v>
      </c>
      <c r="O859" s="51">
        <v>398.81</v>
      </c>
      <c r="P859" s="81" t="s">
        <v>1017</v>
      </c>
      <c r="Q859" s="142"/>
      <c r="R859" s="76"/>
      <c r="S859" s="81" t="str">
        <f t="shared" si="122"/>
        <v/>
      </c>
      <c r="T859" s="81" t="str">
        <f t="shared" si="123"/>
        <v/>
      </c>
      <c r="U859" s="46">
        <v>44959</v>
      </c>
      <c r="V859" s="50">
        <f t="shared" si="128"/>
        <v>398.81</v>
      </c>
      <c r="W859" s="53">
        <f t="shared" si="126"/>
        <v>0</v>
      </c>
    </row>
    <row r="860" spans="1:23" ht="25.5" x14ac:dyDescent="0.25">
      <c r="A860" s="35" t="s">
        <v>4616</v>
      </c>
      <c r="B860" s="36">
        <v>44839</v>
      </c>
      <c r="C860" s="35" t="s">
        <v>4612</v>
      </c>
      <c r="D860" s="36" t="s">
        <v>1000</v>
      </c>
      <c r="E860" s="73" t="s">
        <v>1064</v>
      </c>
      <c r="F860" s="38" t="s">
        <v>4613</v>
      </c>
      <c r="G860" s="37" t="s">
        <v>4614</v>
      </c>
      <c r="H860" s="37" t="s">
        <v>4615</v>
      </c>
      <c r="I860" s="38" t="s">
        <v>2322</v>
      </c>
      <c r="J860" s="39" t="s">
        <v>2323</v>
      </c>
      <c r="K860" s="39" t="s">
        <v>37</v>
      </c>
      <c r="L860" s="39"/>
      <c r="M860" s="39">
        <v>16</v>
      </c>
      <c r="N860" s="86">
        <v>300</v>
      </c>
      <c r="O860" s="41">
        <v>300</v>
      </c>
      <c r="P860" s="86" t="s">
        <v>1017</v>
      </c>
      <c r="Q860" s="143"/>
      <c r="R860" s="78"/>
      <c r="S860" s="87" t="str">
        <f t="shared" si="122"/>
        <v/>
      </c>
      <c r="T860" s="87" t="str">
        <f t="shared" si="123"/>
        <v/>
      </c>
      <c r="U860" s="36">
        <v>44957</v>
      </c>
      <c r="V860" s="40">
        <f t="shared" si="128"/>
        <v>300</v>
      </c>
      <c r="W860" s="43">
        <f t="shared" si="126"/>
        <v>0</v>
      </c>
    </row>
    <row r="861" spans="1:23" ht="38.25" x14ac:dyDescent="0.25">
      <c r="A861" s="45" t="s">
        <v>4617</v>
      </c>
      <c r="B861" s="46">
        <v>44827</v>
      </c>
      <c r="C861" s="45" t="s">
        <v>4618</v>
      </c>
      <c r="D861" s="46" t="s">
        <v>3874</v>
      </c>
      <c r="E861" s="72" t="s">
        <v>3875</v>
      </c>
      <c r="F861" s="48" t="s">
        <v>4619</v>
      </c>
      <c r="G861" s="47" t="s">
        <v>4620</v>
      </c>
      <c r="H861" s="47" t="s">
        <v>4621</v>
      </c>
      <c r="I861" s="48" t="s">
        <v>1729</v>
      </c>
      <c r="J861" s="48" t="s">
        <v>2167</v>
      </c>
      <c r="K861" s="49" t="s">
        <v>31</v>
      </c>
      <c r="L861" s="49" t="s">
        <v>1413</v>
      </c>
      <c r="M861" s="49">
        <v>15</v>
      </c>
      <c r="N861" s="80">
        <v>370</v>
      </c>
      <c r="O861" s="51">
        <v>1850</v>
      </c>
      <c r="P861" s="81" t="s">
        <v>1017</v>
      </c>
      <c r="Q861" s="142"/>
      <c r="R861" s="76"/>
      <c r="S861" s="81" t="str">
        <f t="shared" si="122"/>
        <v/>
      </c>
      <c r="T861" s="81" t="str">
        <f t="shared" si="123"/>
        <v/>
      </c>
      <c r="U861" s="46">
        <v>44956</v>
      </c>
      <c r="V861" s="50">
        <f t="shared" si="128"/>
        <v>1850</v>
      </c>
      <c r="W861" s="53">
        <f t="shared" si="126"/>
        <v>0</v>
      </c>
    </row>
    <row r="862" spans="1:23" ht="38.25" x14ac:dyDescent="0.25">
      <c r="A862" s="35" t="s">
        <v>4622</v>
      </c>
      <c r="B862" s="36">
        <v>44963</v>
      </c>
      <c r="C862" s="35" t="s">
        <v>4623</v>
      </c>
      <c r="D862" s="36" t="s">
        <v>1006</v>
      </c>
      <c r="E862" s="73" t="s">
        <v>1064</v>
      </c>
      <c r="F862" s="38" t="s">
        <v>4624</v>
      </c>
      <c r="G862" s="37" t="s">
        <v>4625</v>
      </c>
      <c r="H862" s="37" t="s">
        <v>4626</v>
      </c>
      <c r="I862" s="38" t="s">
        <v>4627</v>
      </c>
      <c r="J862" s="39" t="s">
        <v>4628</v>
      </c>
      <c r="K862" s="39" t="s">
        <v>16</v>
      </c>
      <c r="L862" s="39" t="s">
        <v>29</v>
      </c>
      <c r="M862" s="39">
        <v>12</v>
      </c>
      <c r="N862" s="86">
        <v>370</v>
      </c>
      <c r="O862" s="41">
        <v>300</v>
      </c>
      <c r="P862" s="86" t="s">
        <v>1017</v>
      </c>
      <c r="Q862" s="143"/>
      <c r="R862" s="78"/>
      <c r="S862" s="87" t="str">
        <f t="shared" si="122"/>
        <v/>
      </c>
      <c r="T862" s="87" t="str">
        <f t="shared" si="123"/>
        <v/>
      </c>
      <c r="U862" s="36">
        <v>44963</v>
      </c>
      <c r="V862" s="40">
        <f t="shared" si="128"/>
        <v>300</v>
      </c>
      <c r="W862" s="43">
        <f t="shared" si="126"/>
        <v>0</v>
      </c>
    </row>
    <row r="863" spans="1:23" ht="25.5" x14ac:dyDescent="0.25">
      <c r="A863" s="45" t="s">
        <v>4629</v>
      </c>
      <c r="B863" s="46">
        <v>44964</v>
      </c>
      <c r="C863" s="45" t="s">
        <v>4630</v>
      </c>
      <c r="D863" s="46" t="s">
        <v>3839</v>
      </c>
      <c r="E863" s="72" t="s">
        <v>3838</v>
      </c>
      <c r="F863" s="48" t="s">
        <v>4631</v>
      </c>
      <c r="G863" s="47" t="s">
        <v>4632</v>
      </c>
      <c r="H863" s="47" t="s">
        <v>4633</v>
      </c>
      <c r="I863" s="48" t="s">
        <v>2238</v>
      </c>
      <c r="J863" s="48" t="s">
        <v>2239</v>
      </c>
      <c r="K863" s="49" t="s">
        <v>31</v>
      </c>
      <c r="L863" s="49" t="s">
        <v>32</v>
      </c>
      <c r="M863" s="49">
        <v>13</v>
      </c>
      <c r="N863" s="80">
        <v>370</v>
      </c>
      <c r="O863" s="51">
        <v>370</v>
      </c>
      <c r="P863" s="81" t="s">
        <v>1017</v>
      </c>
      <c r="Q863" s="142"/>
      <c r="R863" s="76"/>
      <c r="S863" s="81" t="str">
        <f t="shared" si="122"/>
        <v/>
      </c>
      <c r="T863" s="81" t="str">
        <f t="shared" si="123"/>
        <v/>
      </c>
      <c r="U863" s="46">
        <v>44964</v>
      </c>
      <c r="V863" s="50">
        <f t="shared" si="128"/>
        <v>370</v>
      </c>
      <c r="W863" s="53">
        <f t="shared" si="126"/>
        <v>0</v>
      </c>
    </row>
    <row r="864" spans="1:23" ht="25.5" x14ac:dyDescent="0.25">
      <c r="A864" s="35" t="s">
        <v>4634</v>
      </c>
      <c r="B864" s="36">
        <v>44964</v>
      </c>
      <c r="C864" s="35" t="s">
        <v>4635</v>
      </c>
      <c r="D864" s="36" t="s">
        <v>3839</v>
      </c>
      <c r="E864" s="73" t="s">
        <v>3838</v>
      </c>
      <c r="F864" s="38" t="s">
        <v>4636</v>
      </c>
      <c r="G864" s="37" t="s">
        <v>4637</v>
      </c>
      <c r="H864" s="37" t="s">
        <v>4638</v>
      </c>
      <c r="I864" s="38" t="s">
        <v>2238</v>
      </c>
      <c r="J864" s="39" t="s">
        <v>2239</v>
      </c>
      <c r="K864" s="39" t="s">
        <v>31</v>
      </c>
      <c r="L864" s="39" t="s">
        <v>32</v>
      </c>
      <c r="M864" s="39">
        <v>13</v>
      </c>
      <c r="N864" s="86">
        <v>370</v>
      </c>
      <c r="O864" s="41">
        <v>370</v>
      </c>
      <c r="P864" s="86" t="s">
        <v>1017</v>
      </c>
      <c r="Q864" s="143"/>
      <c r="R864" s="78"/>
      <c r="S864" s="87" t="str">
        <f t="shared" si="122"/>
        <v/>
      </c>
      <c r="T864" s="87" t="str">
        <f t="shared" si="123"/>
        <v/>
      </c>
      <c r="U864" s="36">
        <v>44964</v>
      </c>
      <c r="V864" s="40">
        <f t="shared" si="128"/>
        <v>370</v>
      </c>
      <c r="W864" s="43">
        <f t="shared" si="126"/>
        <v>0</v>
      </c>
    </row>
    <row r="865" spans="1:23" ht="25.5" x14ac:dyDescent="0.25">
      <c r="A865" s="45" t="s">
        <v>4639</v>
      </c>
      <c r="B865" s="46">
        <v>44964</v>
      </c>
      <c r="C865" s="45" t="s">
        <v>4640</v>
      </c>
      <c r="D865" s="46" t="s">
        <v>3839</v>
      </c>
      <c r="E865" s="72" t="s">
        <v>3838</v>
      </c>
      <c r="F865" s="48" t="s">
        <v>4641</v>
      </c>
      <c r="G865" s="47" t="s">
        <v>4642</v>
      </c>
      <c r="H865" s="47" t="s">
        <v>4643</v>
      </c>
      <c r="I865" s="48" t="s">
        <v>2238</v>
      </c>
      <c r="J865" s="48" t="s">
        <v>2239</v>
      </c>
      <c r="K865" s="49" t="s">
        <v>31</v>
      </c>
      <c r="L865" s="49" t="s">
        <v>32</v>
      </c>
      <c r="M865" s="49">
        <v>13</v>
      </c>
      <c r="N865" s="80">
        <v>370</v>
      </c>
      <c r="O865" s="51">
        <v>370</v>
      </c>
      <c r="P865" s="81" t="s">
        <v>1017</v>
      </c>
      <c r="Q865" s="142"/>
      <c r="R865" s="76"/>
      <c r="S865" s="81" t="str">
        <f t="shared" si="122"/>
        <v/>
      </c>
      <c r="T865" s="81" t="str">
        <f t="shared" si="123"/>
        <v/>
      </c>
      <c r="U865" s="46">
        <v>44964</v>
      </c>
      <c r="V865" s="50">
        <f t="shared" si="128"/>
        <v>370</v>
      </c>
      <c r="W865" s="53">
        <f t="shared" si="126"/>
        <v>0</v>
      </c>
    </row>
    <row r="866" spans="1:23" ht="25.5" x14ac:dyDescent="0.25">
      <c r="A866" s="35" t="s">
        <v>4644</v>
      </c>
      <c r="B866" s="36">
        <v>44966</v>
      </c>
      <c r="C866" s="35" t="s">
        <v>4645</v>
      </c>
      <c r="D866" s="36" t="s">
        <v>526</v>
      </c>
      <c r="E866" s="73" t="s">
        <v>1066</v>
      </c>
      <c r="F866" s="38" t="s">
        <v>4646</v>
      </c>
      <c r="G866" s="37" t="s">
        <v>4647</v>
      </c>
      <c r="H866" s="37" t="s">
        <v>4648</v>
      </c>
      <c r="I866" s="38" t="s">
        <v>320</v>
      </c>
      <c r="J866" s="39" t="s">
        <v>317</v>
      </c>
      <c r="K866" s="39" t="s">
        <v>432</v>
      </c>
      <c r="L866" s="39" t="s">
        <v>480</v>
      </c>
      <c r="M866" s="39">
        <v>1</v>
      </c>
      <c r="N866" s="86">
        <v>300</v>
      </c>
      <c r="O866" s="41">
        <v>300</v>
      </c>
      <c r="P866" s="86" t="s">
        <v>1017</v>
      </c>
      <c r="Q866" s="143"/>
      <c r="R866" s="78"/>
      <c r="S866" s="87" t="str">
        <f t="shared" si="122"/>
        <v/>
      </c>
      <c r="T866" s="87" t="str">
        <f t="shared" si="123"/>
        <v/>
      </c>
      <c r="U866" s="36">
        <v>44966</v>
      </c>
      <c r="V866" s="40">
        <f t="shared" si="128"/>
        <v>300</v>
      </c>
      <c r="W866" s="43">
        <f t="shared" si="126"/>
        <v>0</v>
      </c>
    </row>
    <row r="867" spans="1:23" ht="25.5" x14ac:dyDescent="0.25">
      <c r="A867" s="45" t="s">
        <v>4649</v>
      </c>
      <c r="B867" s="46">
        <v>44966</v>
      </c>
      <c r="C867" s="45" t="s">
        <v>4650</v>
      </c>
      <c r="D867" s="46" t="s">
        <v>4651</v>
      </c>
      <c r="E867" s="72" t="s">
        <v>1080</v>
      </c>
      <c r="F867" s="48" t="s">
        <v>4652</v>
      </c>
      <c r="G867" s="47" t="s">
        <v>4653</v>
      </c>
      <c r="H867" s="47" t="s">
        <v>1566</v>
      </c>
      <c r="I867" s="48" t="s">
        <v>4654</v>
      </c>
      <c r="J867" s="48" t="s">
        <v>4655</v>
      </c>
      <c r="K867" s="49" t="s">
        <v>432</v>
      </c>
      <c r="L867" s="49" t="s">
        <v>480</v>
      </c>
      <c r="M867" s="49">
        <v>1</v>
      </c>
      <c r="N867" s="80">
        <v>300</v>
      </c>
      <c r="O867" s="51">
        <v>398.81</v>
      </c>
      <c r="P867" s="81" t="s">
        <v>1017</v>
      </c>
      <c r="Q867" s="142"/>
      <c r="R867" s="76"/>
      <c r="S867" s="81" t="str">
        <f t="shared" si="122"/>
        <v/>
      </c>
      <c r="T867" s="81" t="str">
        <f t="shared" si="123"/>
        <v/>
      </c>
      <c r="U867" s="46">
        <v>44966</v>
      </c>
      <c r="V867" s="50">
        <f t="shared" si="128"/>
        <v>398.81</v>
      </c>
      <c r="W867" s="53">
        <f t="shared" si="126"/>
        <v>0</v>
      </c>
    </row>
    <row r="868" spans="1:23" ht="25.5" x14ac:dyDescent="0.25">
      <c r="A868" s="35" t="s">
        <v>4656</v>
      </c>
      <c r="B868" s="36">
        <v>44909</v>
      </c>
      <c r="C868" s="35" t="s">
        <v>4657</v>
      </c>
      <c r="D868" s="36" t="s">
        <v>868</v>
      </c>
      <c r="E868" s="73" t="s">
        <v>1070</v>
      </c>
      <c r="F868" s="38" t="s">
        <v>4658</v>
      </c>
      <c r="G868" s="37" t="s">
        <v>4659</v>
      </c>
      <c r="H868" s="37" t="s">
        <v>4660</v>
      </c>
      <c r="I868" s="38" t="s">
        <v>320</v>
      </c>
      <c r="J868" s="39" t="s">
        <v>317</v>
      </c>
      <c r="K868" s="39" t="s">
        <v>432</v>
      </c>
      <c r="L868" s="39" t="s">
        <v>480</v>
      </c>
      <c r="M868" s="39">
        <v>1</v>
      </c>
      <c r="N868" s="86">
        <v>300</v>
      </c>
      <c r="O868" s="41">
        <v>398.81</v>
      </c>
      <c r="P868" s="86" t="s">
        <v>1017</v>
      </c>
      <c r="Q868" s="143"/>
      <c r="R868" s="78"/>
      <c r="S868" s="87" t="str">
        <f t="shared" si="122"/>
        <v/>
      </c>
      <c r="T868" s="87" t="str">
        <f t="shared" si="123"/>
        <v/>
      </c>
      <c r="U868" s="36">
        <v>44966</v>
      </c>
      <c r="V868" s="40">
        <f t="shared" si="128"/>
        <v>398.81</v>
      </c>
      <c r="W868" s="43">
        <f t="shared" ref="W868:W888" si="129">IF(M868="","",IF(AND(M868&gt;0,U868=""),V868,O868-(R868+V868)))</f>
        <v>0</v>
      </c>
    </row>
    <row r="869" spans="1:23" ht="38.25" x14ac:dyDescent="0.25">
      <c r="A869" s="45" t="s">
        <v>4661</v>
      </c>
      <c r="B869" s="46">
        <v>44971</v>
      </c>
      <c r="C869" s="45" t="s">
        <v>4662</v>
      </c>
      <c r="D869" s="46" t="s">
        <v>3839</v>
      </c>
      <c r="E869" s="72" t="s">
        <v>3838</v>
      </c>
      <c r="F869" s="48" t="s">
        <v>4663</v>
      </c>
      <c r="G869" s="47" t="s">
        <v>4664</v>
      </c>
      <c r="H869" s="47" t="s">
        <v>4665</v>
      </c>
      <c r="I869" s="48" t="s">
        <v>2238</v>
      </c>
      <c r="J869" s="48" t="s">
        <v>2239</v>
      </c>
      <c r="K869" s="49" t="s">
        <v>31</v>
      </c>
      <c r="L869" s="49" t="s">
        <v>32</v>
      </c>
      <c r="M869" s="49">
        <v>13</v>
      </c>
      <c r="N869" s="80">
        <v>370</v>
      </c>
      <c r="O869" s="51">
        <v>370</v>
      </c>
      <c r="P869" s="81" t="s">
        <v>1017</v>
      </c>
      <c r="Q869" s="142"/>
      <c r="R869" s="76"/>
      <c r="S869" s="81" t="str">
        <f t="shared" si="122"/>
        <v/>
      </c>
      <c r="T869" s="81" t="str">
        <f t="shared" si="123"/>
        <v/>
      </c>
      <c r="U869" s="46">
        <v>44971</v>
      </c>
      <c r="V869" s="50">
        <f t="shared" si="128"/>
        <v>370</v>
      </c>
      <c r="W869" s="53">
        <f t="shared" si="129"/>
        <v>0</v>
      </c>
    </row>
    <row r="870" spans="1:23" ht="25.5" x14ac:dyDescent="0.25">
      <c r="A870" s="35" t="s">
        <v>4666</v>
      </c>
      <c r="B870" s="36">
        <v>44971</v>
      </c>
      <c r="C870" s="35" t="s">
        <v>4667</v>
      </c>
      <c r="D870" s="36" t="s">
        <v>3839</v>
      </c>
      <c r="E870" s="73" t="s">
        <v>3838</v>
      </c>
      <c r="F870" s="38" t="s">
        <v>4668</v>
      </c>
      <c r="G870" s="37" t="s">
        <v>4669</v>
      </c>
      <c r="H870" s="37" t="s">
        <v>4670</v>
      </c>
      <c r="I870" s="38" t="s">
        <v>2238</v>
      </c>
      <c r="J870" s="39" t="s">
        <v>2239</v>
      </c>
      <c r="K870" s="39" t="s">
        <v>31</v>
      </c>
      <c r="L870" s="39" t="s">
        <v>32</v>
      </c>
      <c r="M870" s="39">
        <v>13</v>
      </c>
      <c r="N870" s="86">
        <v>370</v>
      </c>
      <c r="O870" s="41">
        <v>370</v>
      </c>
      <c r="P870" s="86" t="s">
        <v>1017</v>
      </c>
      <c r="Q870" s="143"/>
      <c r="R870" s="78"/>
      <c r="S870" s="87" t="str">
        <f t="shared" si="122"/>
        <v/>
      </c>
      <c r="T870" s="87" t="str">
        <f t="shared" si="123"/>
        <v/>
      </c>
      <c r="U870" s="36">
        <v>44971</v>
      </c>
      <c r="V870" s="40">
        <f t="shared" si="128"/>
        <v>370</v>
      </c>
      <c r="W870" s="43">
        <f t="shared" si="129"/>
        <v>0</v>
      </c>
    </row>
    <row r="871" spans="1:23" ht="25.5" x14ac:dyDescent="0.25">
      <c r="A871" s="45" t="s">
        <v>4671</v>
      </c>
      <c r="B871" s="46">
        <v>44914</v>
      </c>
      <c r="C871" s="45" t="s">
        <v>4672</v>
      </c>
      <c r="D871" s="46" t="s">
        <v>868</v>
      </c>
      <c r="E871" s="72" t="s">
        <v>1070</v>
      </c>
      <c r="F871" s="48" t="s">
        <v>4673</v>
      </c>
      <c r="G871" s="47" t="s">
        <v>4674</v>
      </c>
      <c r="H871" s="47" t="s">
        <v>1316</v>
      </c>
      <c r="I871" s="48" t="s">
        <v>320</v>
      </c>
      <c r="J871" s="48" t="s">
        <v>317</v>
      </c>
      <c r="K871" s="49" t="s">
        <v>16</v>
      </c>
      <c r="L871" s="49" t="s">
        <v>27</v>
      </c>
      <c r="M871" s="49">
        <v>11</v>
      </c>
      <c r="N871" s="80">
        <v>370</v>
      </c>
      <c r="O871" s="51">
        <v>370</v>
      </c>
      <c r="P871" s="81" t="s">
        <v>1017</v>
      </c>
      <c r="Q871" s="142"/>
      <c r="R871" s="76"/>
      <c r="S871" s="81" t="str">
        <f t="shared" si="122"/>
        <v/>
      </c>
      <c r="T871" s="81" t="str">
        <f t="shared" si="123"/>
        <v/>
      </c>
      <c r="U871" s="46">
        <v>44985</v>
      </c>
      <c r="V871" s="50">
        <f t="shared" si="128"/>
        <v>370</v>
      </c>
      <c r="W871" s="53">
        <f t="shared" si="129"/>
        <v>0</v>
      </c>
    </row>
    <row r="872" spans="1:23" ht="25.5" x14ac:dyDescent="0.25">
      <c r="A872" s="35" t="s">
        <v>4675</v>
      </c>
      <c r="B872" s="36">
        <v>44914</v>
      </c>
      <c r="C872" s="35" t="s">
        <v>4676</v>
      </c>
      <c r="D872" s="36" t="s">
        <v>868</v>
      </c>
      <c r="E872" s="73" t="s">
        <v>1070</v>
      </c>
      <c r="F872" s="38" t="s">
        <v>4677</v>
      </c>
      <c r="G872" s="37" t="s">
        <v>4678</v>
      </c>
      <c r="H872" s="37" t="s">
        <v>1316</v>
      </c>
      <c r="I872" s="38" t="s">
        <v>320</v>
      </c>
      <c r="J872" s="39" t="s">
        <v>317</v>
      </c>
      <c r="K872" s="39" t="s">
        <v>16</v>
      </c>
      <c r="L872" s="39" t="s">
        <v>27</v>
      </c>
      <c r="M872" s="39">
        <v>11</v>
      </c>
      <c r="N872" s="86">
        <v>370</v>
      </c>
      <c r="O872" s="41">
        <v>370</v>
      </c>
      <c r="P872" s="86" t="s">
        <v>1017</v>
      </c>
      <c r="Q872" s="143"/>
      <c r="R872" s="78"/>
      <c r="S872" s="87" t="str">
        <f t="shared" si="122"/>
        <v/>
      </c>
      <c r="T872" s="87" t="str">
        <f t="shared" si="123"/>
        <v/>
      </c>
      <c r="U872" s="36">
        <v>44985</v>
      </c>
      <c r="V872" s="40">
        <f t="shared" si="128"/>
        <v>370</v>
      </c>
      <c r="W872" s="43">
        <f t="shared" si="129"/>
        <v>0</v>
      </c>
    </row>
    <row r="873" spans="1:23" ht="25.5" x14ac:dyDescent="0.25">
      <c r="A873" s="45" t="s">
        <v>4679</v>
      </c>
      <c r="B873" s="46">
        <v>44904</v>
      </c>
      <c r="C873" s="45" t="s">
        <v>4680</v>
      </c>
      <c r="D873" s="46" t="s">
        <v>868</v>
      </c>
      <c r="E873" s="72" t="s">
        <v>1070</v>
      </c>
      <c r="F873" s="48" t="s">
        <v>4681</v>
      </c>
      <c r="G873" s="47" t="s">
        <v>4682</v>
      </c>
      <c r="H873" s="47" t="s">
        <v>469</v>
      </c>
      <c r="I873" s="48" t="s">
        <v>320</v>
      </c>
      <c r="J873" s="48" t="s">
        <v>317</v>
      </c>
      <c r="K873" s="49" t="s">
        <v>16</v>
      </c>
      <c r="L873" s="49" t="s">
        <v>27</v>
      </c>
      <c r="M873" s="49">
        <v>11</v>
      </c>
      <c r="N873" s="80">
        <v>370</v>
      </c>
      <c r="O873" s="51">
        <v>370</v>
      </c>
      <c r="P873" s="81" t="s">
        <v>1017</v>
      </c>
      <c r="Q873" s="142"/>
      <c r="R873" s="76"/>
      <c r="S873" s="81" t="str">
        <f t="shared" si="122"/>
        <v/>
      </c>
      <c r="T873" s="81" t="str">
        <f t="shared" si="123"/>
        <v/>
      </c>
      <c r="U873" s="46">
        <v>44985</v>
      </c>
      <c r="V873" s="50">
        <f t="shared" si="128"/>
        <v>370</v>
      </c>
      <c r="W873" s="53">
        <f t="shared" si="129"/>
        <v>0</v>
      </c>
    </row>
    <row r="874" spans="1:23" ht="25.5" x14ac:dyDescent="0.25">
      <c r="A874" s="35" t="s">
        <v>4683</v>
      </c>
      <c r="B874" s="36">
        <v>44945</v>
      </c>
      <c r="C874" s="35" t="s">
        <v>4684</v>
      </c>
      <c r="D874" s="36" t="s">
        <v>868</v>
      </c>
      <c r="E874" s="73" t="s">
        <v>1070</v>
      </c>
      <c r="F874" s="38" t="s">
        <v>4685</v>
      </c>
      <c r="G874" s="37" t="s">
        <v>4686</v>
      </c>
      <c r="H874" s="37" t="s">
        <v>4687</v>
      </c>
      <c r="I874" s="38" t="s">
        <v>320</v>
      </c>
      <c r="J874" s="39" t="s">
        <v>317</v>
      </c>
      <c r="K874" s="39" t="s">
        <v>16</v>
      </c>
      <c r="L874" s="39" t="s">
        <v>27</v>
      </c>
      <c r="M874" s="39">
        <v>11</v>
      </c>
      <c r="N874" s="86">
        <v>370</v>
      </c>
      <c r="O874" s="41">
        <v>370</v>
      </c>
      <c r="P874" s="86" t="s">
        <v>1017</v>
      </c>
      <c r="Q874" s="143"/>
      <c r="R874" s="78"/>
      <c r="S874" s="87" t="str">
        <f t="shared" si="122"/>
        <v/>
      </c>
      <c r="T874" s="87" t="str">
        <f t="shared" si="123"/>
        <v/>
      </c>
      <c r="U874" s="36">
        <v>44985</v>
      </c>
      <c r="V874" s="40">
        <f t="shared" si="128"/>
        <v>370</v>
      </c>
      <c r="W874" s="43">
        <f t="shared" si="129"/>
        <v>0</v>
      </c>
    </row>
    <row r="875" spans="1:23" x14ac:dyDescent="0.25">
      <c r="A875" s="45"/>
      <c r="B875" s="46"/>
      <c r="C875" s="45"/>
      <c r="D875" s="46"/>
      <c r="E875" s="72"/>
      <c r="F875" s="48"/>
      <c r="G875" s="47"/>
      <c r="H875" s="47"/>
      <c r="I875" s="48"/>
      <c r="J875" s="48"/>
      <c r="K875" s="49"/>
      <c r="L875" s="49"/>
      <c r="M875" s="49"/>
      <c r="N875" s="80"/>
      <c r="O875" s="51"/>
      <c r="P875" s="81"/>
      <c r="Q875" s="142"/>
      <c r="R875" s="76"/>
      <c r="S875" s="81"/>
      <c r="T875" s="81"/>
      <c r="U875" s="46"/>
      <c r="V875" s="50" t="str">
        <f t="shared" si="128"/>
        <v/>
      </c>
      <c r="W875" s="43" t="str">
        <f t="shared" si="129"/>
        <v/>
      </c>
    </row>
    <row r="876" spans="1:23" x14ac:dyDescent="0.25">
      <c r="A876" s="35"/>
      <c r="B876" s="36"/>
      <c r="C876" s="35"/>
      <c r="D876" s="36"/>
      <c r="E876" s="73"/>
      <c r="F876" s="38"/>
      <c r="G876" s="37"/>
      <c r="H876" s="37"/>
      <c r="I876" s="38"/>
      <c r="J876" s="39"/>
      <c r="K876" s="39"/>
      <c r="L876" s="39"/>
      <c r="M876" s="39"/>
      <c r="N876" s="86"/>
      <c r="O876" s="41"/>
      <c r="P876" s="86"/>
      <c r="Q876" s="143"/>
      <c r="R876" s="78"/>
      <c r="S876" s="87"/>
      <c r="T876" s="87"/>
      <c r="U876" s="36"/>
      <c r="V876" s="50" t="str">
        <f t="shared" si="128"/>
        <v/>
      </c>
      <c r="W876" s="43" t="str">
        <f t="shared" si="129"/>
        <v/>
      </c>
    </row>
    <row r="877" spans="1:23" x14ac:dyDescent="0.25">
      <c r="A877" s="45"/>
      <c r="B877" s="46"/>
      <c r="C877" s="45"/>
      <c r="D877" s="46"/>
      <c r="E877" s="72"/>
      <c r="F877" s="48"/>
      <c r="G877" s="47"/>
      <c r="H877" s="47"/>
      <c r="I877" s="48"/>
      <c r="J877" s="48"/>
      <c r="K877" s="49"/>
      <c r="L877" s="49"/>
      <c r="M877" s="49"/>
      <c r="N877" s="80"/>
      <c r="O877" s="51"/>
      <c r="P877" s="81"/>
      <c r="Q877" s="142"/>
      <c r="R877" s="76"/>
      <c r="S877" s="81"/>
      <c r="T877" s="81"/>
      <c r="U877" s="46"/>
      <c r="V877" s="50" t="str">
        <f t="shared" si="128"/>
        <v/>
      </c>
      <c r="W877" s="43" t="str">
        <f t="shared" si="129"/>
        <v/>
      </c>
    </row>
    <row r="878" spans="1:23" x14ac:dyDescent="0.25">
      <c r="A878" s="35"/>
      <c r="B878" s="36"/>
      <c r="C878" s="35"/>
      <c r="D878" s="36"/>
      <c r="E878" s="73"/>
      <c r="F878" s="38"/>
      <c r="G878" s="37"/>
      <c r="H878" s="37"/>
      <c r="I878" s="38"/>
      <c r="J878" s="39"/>
      <c r="K878" s="39"/>
      <c r="L878" s="39"/>
      <c r="M878" s="39"/>
      <c r="N878" s="86"/>
      <c r="O878" s="41"/>
      <c r="P878" s="86"/>
      <c r="Q878" s="143"/>
      <c r="R878" s="78"/>
      <c r="S878" s="87"/>
      <c r="T878" s="87"/>
      <c r="U878" s="36"/>
      <c r="V878" s="50" t="str">
        <f t="shared" si="128"/>
        <v/>
      </c>
      <c r="W878" s="43" t="str">
        <f t="shared" si="129"/>
        <v/>
      </c>
    </row>
    <row r="879" spans="1:23" x14ac:dyDescent="0.25">
      <c r="A879" s="45"/>
      <c r="B879" s="46"/>
      <c r="C879" s="45"/>
      <c r="D879" s="46"/>
      <c r="E879" s="72"/>
      <c r="F879" s="48"/>
      <c r="G879" s="47"/>
      <c r="H879" s="47"/>
      <c r="I879" s="48"/>
      <c r="J879" s="48"/>
      <c r="K879" s="49"/>
      <c r="L879" s="49"/>
      <c r="M879" s="49"/>
      <c r="N879" s="80"/>
      <c r="O879" s="51"/>
      <c r="P879" s="81"/>
      <c r="Q879" s="142"/>
      <c r="R879" s="76"/>
      <c r="S879" s="81"/>
      <c r="T879" s="81"/>
      <c r="U879" s="46"/>
      <c r="V879" s="50" t="str">
        <f t="shared" si="128"/>
        <v/>
      </c>
      <c r="W879" s="43" t="str">
        <f t="shared" si="129"/>
        <v/>
      </c>
    </row>
    <row r="880" spans="1:23" x14ac:dyDescent="0.25">
      <c r="A880" s="35"/>
      <c r="B880" s="36"/>
      <c r="C880" s="35"/>
      <c r="D880" s="36"/>
      <c r="E880" s="73"/>
      <c r="F880" s="38"/>
      <c r="G880" s="37"/>
      <c r="H880" s="37"/>
      <c r="I880" s="38"/>
      <c r="J880" s="39"/>
      <c r="K880" s="39"/>
      <c r="L880" s="39"/>
      <c r="M880" s="39"/>
      <c r="N880" s="86"/>
      <c r="O880" s="41"/>
      <c r="P880" s="86"/>
      <c r="Q880" s="143"/>
      <c r="R880" s="78"/>
      <c r="S880" s="87"/>
      <c r="T880" s="87"/>
      <c r="U880" s="36"/>
      <c r="V880" s="50" t="str">
        <f t="shared" si="128"/>
        <v/>
      </c>
      <c r="W880" s="43" t="str">
        <f t="shared" si="129"/>
        <v/>
      </c>
    </row>
    <row r="881" spans="1:23" x14ac:dyDescent="0.25">
      <c r="A881" s="45"/>
      <c r="B881" s="46"/>
      <c r="C881" s="45"/>
      <c r="D881" s="46"/>
      <c r="E881" s="72"/>
      <c r="F881" s="48"/>
      <c r="G881" s="47"/>
      <c r="H881" s="47"/>
      <c r="I881" s="48"/>
      <c r="J881" s="48"/>
      <c r="K881" s="49"/>
      <c r="L881" s="49"/>
      <c r="M881" s="49"/>
      <c r="N881" s="80"/>
      <c r="O881" s="51"/>
      <c r="P881" s="81"/>
      <c r="Q881" s="142"/>
      <c r="R881" s="76"/>
      <c r="S881" s="81"/>
      <c r="T881" s="81"/>
      <c r="U881" s="46"/>
      <c r="V881" s="50" t="str">
        <f t="shared" si="128"/>
        <v/>
      </c>
      <c r="W881" s="43" t="str">
        <f t="shared" si="129"/>
        <v/>
      </c>
    </row>
    <row r="882" spans="1:23" x14ac:dyDescent="0.25">
      <c r="A882" s="35"/>
      <c r="B882" s="36"/>
      <c r="C882" s="35"/>
      <c r="D882" s="36"/>
      <c r="E882" s="73"/>
      <c r="F882" s="38"/>
      <c r="G882" s="37"/>
      <c r="H882" s="37"/>
      <c r="I882" s="38"/>
      <c r="J882" s="39"/>
      <c r="K882" s="39"/>
      <c r="L882" s="39"/>
      <c r="M882" s="39"/>
      <c r="N882" s="86"/>
      <c r="O882" s="41"/>
      <c r="P882" s="86"/>
      <c r="Q882" s="143"/>
      <c r="R882" s="78"/>
      <c r="S882" s="87"/>
      <c r="T882" s="87"/>
      <c r="U882" s="36"/>
      <c r="V882" s="50" t="str">
        <f t="shared" si="128"/>
        <v/>
      </c>
      <c r="W882" s="43" t="str">
        <f t="shared" si="129"/>
        <v/>
      </c>
    </row>
    <row r="883" spans="1:23" x14ac:dyDescent="0.25">
      <c r="A883" s="45"/>
      <c r="B883" s="46"/>
      <c r="C883" s="45"/>
      <c r="D883" s="46"/>
      <c r="E883" s="72"/>
      <c r="F883" s="48"/>
      <c r="G883" s="47"/>
      <c r="H883" s="47"/>
      <c r="I883" s="48"/>
      <c r="J883" s="48"/>
      <c r="K883" s="49"/>
      <c r="L883" s="49"/>
      <c r="M883" s="49"/>
      <c r="N883" s="80"/>
      <c r="O883" s="51"/>
      <c r="P883" s="81"/>
      <c r="Q883" s="142"/>
      <c r="R883" s="76"/>
      <c r="S883" s="81"/>
      <c r="T883" s="81"/>
      <c r="U883" s="46"/>
      <c r="V883" s="50" t="str">
        <f t="shared" si="128"/>
        <v/>
      </c>
      <c r="W883" s="43" t="str">
        <f t="shared" si="129"/>
        <v/>
      </c>
    </row>
    <row r="884" spans="1:23" x14ac:dyDescent="0.25">
      <c r="A884" s="35"/>
      <c r="B884" s="36"/>
      <c r="C884" s="35"/>
      <c r="D884" s="36"/>
      <c r="E884" s="73"/>
      <c r="F884" s="38"/>
      <c r="G884" s="37"/>
      <c r="H884" s="37"/>
      <c r="I884" s="38"/>
      <c r="J884" s="39"/>
      <c r="K884" s="39"/>
      <c r="L884" s="39"/>
      <c r="M884" s="39"/>
      <c r="N884" s="86"/>
      <c r="O884" s="41"/>
      <c r="P884" s="86"/>
      <c r="Q884" s="143"/>
      <c r="R884" s="78"/>
      <c r="S884" s="87"/>
      <c r="T884" s="87"/>
      <c r="U884" s="36"/>
      <c r="V884" s="50" t="str">
        <f t="shared" si="128"/>
        <v/>
      </c>
      <c r="W884" s="43" t="str">
        <f t="shared" si="129"/>
        <v/>
      </c>
    </row>
    <row r="885" spans="1:23" x14ac:dyDescent="0.25">
      <c r="A885" s="45"/>
      <c r="B885" s="46"/>
      <c r="C885" s="45"/>
      <c r="D885" s="46"/>
      <c r="E885" s="72"/>
      <c r="F885" s="48"/>
      <c r="G885" s="47"/>
      <c r="H885" s="47"/>
      <c r="I885" s="48"/>
      <c r="J885" s="48"/>
      <c r="K885" s="49"/>
      <c r="L885" s="49"/>
      <c r="M885" s="49"/>
      <c r="N885" s="80"/>
      <c r="O885" s="51"/>
      <c r="P885" s="81"/>
      <c r="Q885" s="142"/>
      <c r="R885" s="76"/>
      <c r="S885" s="81"/>
      <c r="T885" s="81"/>
      <c r="U885" s="46"/>
      <c r="V885" s="50" t="str">
        <f t="shared" si="128"/>
        <v/>
      </c>
      <c r="W885" s="43" t="str">
        <f t="shared" si="129"/>
        <v/>
      </c>
    </row>
    <row r="886" spans="1:23" x14ac:dyDescent="0.25">
      <c r="A886" s="35"/>
      <c r="B886" s="36"/>
      <c r="C886" s="35"/>
      <c r="D886" s="36"/>
      <c r="E886" s="73"/>
      <c r="F886" s="38"/>
      <c r="G886" s="37"/>
      <c r="H886" s="37"/>
      <c r="I886" s="38"/>
      <c r="J886" s="39"/>
      <c r="K886" s="39"/>
      <c r="L886" s="39"/>
      <c r="M886" s="39"/>
      <c r="N886" s="86"/>
      <c r="O886" s="41"/>
      <c r="P886" s="86"/>
      <c r="Q886" s="143"/>
      <c r="R886" s="78"/>
      <c r="S886" s="87"/>
      <c r="T886" s="87"/>
      <c r="U886" s="36"/>
      <c r="V886" s="50" t="str">
        <f t="shared" si="128"/>
        <v/>
      </c>
      <c r="W886" s="43" t="str">
        <f t="shared" si="129"/>
        <v/>
      </c>
    </row>
    <row r="887" spans="1:23" x14ac:dyDescent="0.25">
      <c r="A887" s="45"/>
      <c r="B887" s="46"/>
      <c r="C887" s="45"/>
      <c r="D887" s="46"/>
      <c r="E887" s="72"/>
      <c r="F887" s="48"/>
      <c r="G887" s="47"/>
      <c r="H887" s="47"/>
      <c r="I887" s="48"/>
      <c r="J887" s="48"/>
      <c r="K887" s="49"/>
      <c r="L887" s="49"/>
      <c r="M887" s="49"/>
      <c r="N887" s="80"/>
      <c r="O887" s="51"/>
      <c r="P887" s="81"/>
      <c r="Q887" s="142"/>
      <c r="R887" s="76"/>
      <c r="S887" s="81"/>
      <c r="T887" s="81"/>
      <c r="U887" s="46"/>
      <c r="V887" s="50" t="str">
        <f t="shared" si="128"/>
        <v/>
      </c>
      <c r="W887" s="43" t="str">
        <f t="shared" si="129"/>
        <v/>
      </c>
    </row>
    <row r="888" spans="1:23" x14ac:dyDescent="0.25">
      <c r="A888" s="35"/>
      <c r="B888" s="36"/>
      <c r="C888" s="35"/>
      <c r="D888" s="36"/>
      <c r="E888" s="73"/>
      <c r="F888" s="38"/>
      <c r="G888" s="37"/>
      <c r="H888" s="37"/>
      <c r="I888" s="38"/>
      <c r="J888" s="39"/>
      <c r="K888" s="39"/>
      <c r="L888" s="39"/>
      <c r="M888" s="39"/>
      <c r="N888" s="86"/>
      <c r="O888" s="41"/>
      <c r="P888" s="86"/>
      <c r="Q888" s="143"/>
      <c r="R888" s="78"/>
      <c r="S888" s="87"/>
      <c r="T888" s="87"/>
      <c r="U888" s="36"/>
      <c r="V888" s="50" t="str">
        <f t="shared" si="128"/>
        <v/>
      </c>
      <c r="W888" s="43" t="str">
        <f t="shared" si="129"/>
        <v/>
      </c>
    </row>
    <row r="889" spans="1:23" ht="33.75" x14ac:dyDescent="0.5">
      <c r="A889" s="118"/>
      <c r="B889" s="119"/>
      <c r="C889" s="119"/>
      <c r="D889" s="119"/>
      <c r="E889" s="119"/>
      <c r="F889" s="119"/>
      <c r="G889" s="119" t="s">
        <v>311</v>
      </c>
      <c r="H889" s="119"/>
      <c r="I889" s="120"/>
      <c r="J889" s="120"/>
      <c r="K889" s="119"/>
      <c r="L889" s="119"/>
      <c r="M889" s="119"/>
      <c r="N889" s="120"/>
      <c r="O889" s="121">
        <f>SUM(O101:O887)</f>
        <v>426013.66</v>
      </c>
      <c r="P889" s="122"/>
      <c r="Q889" s="144"/>
      <c r="R889" s="122"/>
      <c r="S889" s="122"/>
      <c r="T889" s="122"/>
      <c r="U889" s="122"/>
      <c r="V889" s="122"/>
      <c r="W889" s="123">
        <f>SUM(W101:W887)</f>
        <v>11858</v>
      </c>
    </row>
  </sheetData>
  <autoFilter ref="A3:W807"/>
  <phoneticPr fontId="11" type="noConversion"/>
  <conditionalFormatting sqref="C4">
    <cfRule type="duplicateValues" dxfId="345" priority="282"/>
  </conditionalFormatting>
  <conditionalFormatting sqref="C5">
    <cfRule type="duplicateValues" dxfId="344" priority="279"/>
  </conditionalFormatting>
  <conditionalFormatting sqref="C6:C18 C20:C106">
    <cfRule type="duplicateValues" dxfId="343" priority="287"/>
  </conditionalFormatting>
  <conditionalFormatting sqref="C19">
    <cfRule type="duplicateValues" dxfId="342" priority="259"/>
  </conditionalFormatting>
  <conditionalFormatting sqref="C108">
    <cfRule type="duplicateValues" dxfId="341" priority="275"/>
  </conditionalFormatting>
  <conditionalFormatting sqref="C109:C113 C107">
    <cfRule type="duplicateValues" dxfId="340" priority="277"/>
  </conditionalFormatting>
  <conditionalFormatting sqref="C114:C119 C135:C144">
    <cfRule type="duplicateValues" dxfId="339" priority="272"/>
  </conditionalFormatting>
  <conditionalFormatting sqref="C120:C134">
    <cfRule type="duplicateValues" dxfId="338" priority="266"/>
  </conditionalFormatting>
  <conditionalFormatting sqref="C145:C155 C192:C734">
    <cfRule type="duplicateValues" dxfId="337" priority="255"/>
  </conditionalFormatting>
  <conditionalFormatting sqref="C156:C191">
    <cfRule type="duplicateValues" dxfId="336" priority="337"/>
  </conditionalFormatting>
  <conditionalFormatting sqref="F4">
    <cfRule type="duplicateValues" dxfId="335" priority="284"/>
  </conditionalFormatting>
  <conditionalFormatting sqref="F5">
    <cfRule type="duplicateValues" dxfId="334" priority="281"/>
  </conditionalFormatting>
  <conditionalFormatting sqref="F6:F18 F20:F22">
    <cfRule type="duplicateValues" dxfId="333" priority="285"/>
  </conditionalFormatting>
  <conditionalFormatting sqref="F6:F18 F20:F106">
    <cfRule type="duplicateValues" dxfId="332" priority="289"/>
  </conditionalFormatting>
  <conditionalFormatting sqref="F19">
    <cfRule type="duplicateValues" dxfId="331" priority="257"/>
    <cfRule type="duplicateValues" dxfId="330" priority="258"/>
  </conditionalFormatting>
  <conditionalFormatting sqref="F108">
    <cfRule type="duplicateValues" dxfId="329" priority="276"/>
  </conditionalFormatting>
  <conditionalFormatting sqref="F109:F113 F107">
    <cfRule type="duplicateValues" dxfId="328" priority="278"/>
  </conditionalFormatting>
  <conditionalFormatting sqref="F114:F118 F135:F144">
    <cfRule type="duplicateValues" dxfId="327" priority="271"/>
  </conditionalFormatting>
  <conditionalFormatting sqref="F119">
    <cfRule type="duplicateValues" dxfId="326" priority="267"/>
  </conditionalFormatting>
  <conditionalFormatting sqref="F120:F134">
    <cfRule type="duplicateValues" dxfId="325" priority="265"/>
  </conditionalFormatting>
  <conditionalFormatting sqref="F145:F155 F192:F734">
    <cfRule type="duplicateValues" dxfId="324" priority="254"/>
  </conditionalFormatting>
  <conditionalFormatting sqref="F156:F191">
    <cfRule type="duplicateValues" dxfId="323" priority="341"/>
  </conditionalFormatting>
  <conditionalFormatting sqref="G4">
    <cfRule type="duplicateValues" dxfId="322" priority="283"/>
  </conditionalFormatting>
  <conditionalFormatting sqref="G5">
    <cfRule type="duplicateValues" dxfId="321" priority="280"/>
  </conditionalFormatting>
  <conditionalFormatting sqref="G6:G18 G20:G106">
    <cfRule type="duplicateValues" dxfId="320" priority="288"/>
  </conditionalFormatting>
  <conditionalFormatting sqref="G19">
    <cfRule type="duplicateValues" dxfId="319" priority="256"/>
  </conditionalFormatting>
  <conditionalFormatting sqref="G108">
    <cfRule type="duplicateValues" dxfId="318" priority="273"/>
  </conditionalFormatting>
  <conditionalFormatting sqref="G109:G113 G107">
    <cfRule type="duplicateValues" dxfId="317" priority="274"/>
  </conditionalFormatting>
  <conditionalFormatting sqref="G114:G118 G135:G144">
    <cfRule type="duplicateValues" dxfId="316" priority="270"/>
  </conditionalFormatting>
  <conditionalFormatting sqref="G119">
    <cfRule type="duplicateValues" dxfId="315" priority="269"/>
  </conditionalFormatting>
  <conditionalFormatting sqref="G120">
    <cfRule type="duplicateValues" dxfId="314" priority="263"/>
  </conditionalFormatting>
  <conditionalFormatting sqref="G121:G130 G132:G134">
    <cfRule type="duplicateValues" dxfId="313" priority="264"/>
  </conditionalFormatting>
  <conditionalFormatting sqref="G131">
    <cfRule type="duplicateValues" dxfId="312" priority="262"/>
  </conditionalFormatting>
  <conditionalFormatting sqref="G145:G155 G192:G734">
    <cfRule type="duplicateValues" dxfId="311" priority="253"/>
  </conditionalFormatting>
  <conditionalFormatting sqref="G156:G191">
    <cfRule type="duplicateValues" dxfId="310" priority="339"/>
  </conditionalFormatting>
  <conditionalFormatting sqref="H6:H8">
    <cfRule type="duplicateValues" dxfId="309" priority="317"/>
  </conditionalFormatting>
  <conditionalFormatting sqref="H119">
    <cfRule type="duplicateValues" dxfId="308" priority="268"/>
  </conditionalFormatting>
  <conditionalFormatting sqref="H120">
    <cfRule type="duplicateValues" dxfId="307" priority="261"/>
  </conditionalFormatting>
  <conditionalFormatting sqref="H131">
    <cfRule type="duplicateValues" dxfId="306" priority="260"/>
  </conditionalFormatting>
  <conditionalFormatting sqref="C875:C880">
    <cfRule type="duplicateValues" dxfId="305" priority="111"/>
  </conditionalFormatting>
  <conditionalFormatting sqref="F875:F880">
    <cfRule type="duplicateValues" dxfId="304" priority="110"/>
  </conditionalFormatting>
  <conditionalFormatting sqref="G875:G880">
    <cfRule type="duplicateValues" dxfId="303" priority="109"/>
  </conditionalFormatting>
  <conditionalFormatting sqref="C881:C888">
    <cfRule type="duplicateValues" dxfId="302" priority="108"/>
  </conditionalFormatting>
  <conditionalFormatting sqref="F881:F888">
    <cfRule type="duplicateValues" dxfId="301" priority="107"/>
  </conditionalFormatting>
  <conditionalFormatting sqref="G881:G888">
    <cfRule type="duplicateValues" dxfId="300" priority="106"/>
  </conditionalFormatting>
  <conditionalFormatting sqref="C735:C738">
    <cfRule type="duplicateValues" dxfId="299" priority="105"/>
  </conditionalFormatting>
  <conditionalFormatting sqref="F735:F738">
    <cfRule type="duplicateValues" dxfId="298" priority="104"/>
  </conditionalFormatting>
  <conditionalFormatting sqref="G735:G738">
    <cfRule type="duplicateValues" dxfId="297" priority="103"/>
  </conditionalFormatting>
  <conditionalFormatting sqref="C739:C742">
    <cfRule type="duplicateValues" dxfId="296" priority="102"/>
  </conditionalFormatting>
  <conditionalFormatting sqref="F739:F742">
    <cfRule type="duplicateValues" dxfId="295" priority="101"/>
  </conditionalFormatting>
  <conditionalFormatting sqref="G739:G742">
    <cfRule type="duplicateValues" dxfId="294" priority="100"/>
  </conditionalFormatting>
  <conditionalFormatting sqref="C743:C746">
    <cfRule type="duplicateValues" dxfId="293" priority="99"/>
  </conditionalFormatting>
  <conditionalFormatting sqref="F743:F746">
    <cfRule type="duplicateValues" dxfId="292" priority="98"/>
  </conditionalFormatting>
  <conditionalFormatting sqref="G743:G746">
    <cfRule type="duplicateValues" dxfId="291" priority="97"/>
  </conditionalFormatting>
  <conditionalFormatting sqref="C747:C750">
    <cfRule type="duplicateValues" dxfId="290" priority="96"/>
  </conditionalFormatting>
  <conditionalFormatting sqref="F747:F750">
    <cfRule type="duplicateValues" dxfId="289" priority="95"/>
  </conditionalFormatting>
  <conditionalFormatting sqref="G747:G750">
    <cfRule type="duplicateValues" dxfId="288" priority="94"/>
  </conditionalFormatting>
  <conditionalFormatting sqref="C751:C754">
    <cfRule type="duplicateValues" dxfId="287" priority="93"/>
  </conditionalFormatting>
  <conditionalFormatting sqref="F751:F754">
    <cfRule type="duplicateValues" dxfId="286" priority="92"/>
  </conditionalFormatting>
  <conditionalFormatting sqref="G751:G754">
    <cfRule type="duplicateValues" dxfId="285" priority="91"/>
  </conditionalFormatting>
  <conditionalFormatting sqref="C755:C758">
    <cfRule type="duplicateValues" dxfId="284" priority="90"/>
  </conditionalFormatting>
  <conditionalFormatting sqref="F755:F758">
    <cfRule type="duplicateValues" dxfId="283" priority="89"/>
  </conditionalFormatting>
  <conditionalFormatting sqref="G755:G758">
    <cfRule type="duplicateValues" dxfId="282" priority="88"/>
  </conditionalFormatting>
  <conditionalFormatting sqref="C759:C762">
    <cfRule type="duplicateValues" dxfId="281" priority="87"/>
  </conditionalFormatting>
  <conditionalFormatting sqref="F759:F762">
    <cfRule type="duplicateValues" dxfId="280" priority="86"/>
  </conditionalFormatting>
  <conditionalFormatting sqref="G759:G762">
    <cfRule type="duplicateValues" dxfId="279" priority="85"/>
  </conditionalFormatting>
  <conditionalFormatting sqref="C763:C766">
    <cfRule type="duplicateValues" dxfId="278" priority="84"/>
  </conditionalFormatting>
  <conditionalFormatting sqref="F763:F766">
    <cfRule type="duplicateValues" dxfId="277" priority="83"/>
  </conditionalFormatting>
  <conditionalFormatting sqref="G763:G766">
    <cfRule type="duplicateValues" dxfId="276" priority="82"/>
  </conditionalFormatting>
  <conditionalFormatting sqref="C767:C770">
    <cfRule type="duplicateValues" dxfId="275" priority="81"/>
  </conditionalFormatting>
  <conditionalFormatting sqref="F767:F770">
    <cfRule type="duplicateValues" dxfId="274" priority="80"/>
  </conditionalFormatting>
  <conditionalFormatting sqref="G767:G770">
    <cfRule type="duplicateValues" dxfId="273" priority="79"/>
  </conditionalFormatting>
  <conditionalFormatting sqref="C771:C774">
    <cfRule type="duplicateValues" dxfId="272" priority="78"/>
  </conditionalFormatting>
  <conditionalFormatting sqref="F771:F774">
    <cfRule type="duplicateValues" dxfId="271" priority="77"/>
  </conditionalFormatting>
  <conditionalFormatting sqref="G771:G774">
    <cfRule type="duplicateValues" dxfId="270" priority="76"/>
  </conditionalFormatting>
  <conditionalFormatting sqref="C775:C778">
    <cfRule type="duplicateValues" dxfId="269" priority="75"/>
  </conditionalFormatting>
  <conditionalFormatting sqref="F775:F778">
    <cfRule type="duplicateValues" dxfId="268" priority="74"/>
  </conditionalFormatting>
  <conditionalFormatting sqref="G775:G778">
    <cfRule type="duplicateValues" dxfId="267" priority="73"/>
  </conditionalFormatting>
  <conditionalFormatting sqref="C779:C782">
    <cfRule type="duplicateValues" dxfId="266" priority="72"/>
  </conditionalFormatting>
  <conditionalFormatting sqref="F779:F782">
    <cfRule type="duplicateValues" dxfId="265" priority="71"/>
  </conditionalFormatting>
  <conditionalFormatting sqref="G779:G782">
    <cfRule type="duplicateValues" dxfId="264" priority="70"/>
  </conditionalFormatting>
  <conditionalFormatting sqref="C783:C786">
    <cfRule type="duplicateValues" dxfId="263" priority="69"/>
  </conditionalFormatting>
  <conditionalFormatting sqref="F783:F786">
    <cfRule type="duplicateValues" dxfId="262" priority="68"/>
  </conditionalFormatting>
  <conditionalFormatting sqref="G783:G786">
    <cfRule type="duplicateValues" dxfId="261" priority="67"/>
  </conditionalFormatting>
  <conditionalFormatting sqref="C787:C790">
    <cfRule type="duplicateValues" dxfId="260" priority="66"/>
  </conditionalFormatting>
  <conditionalFormatting sqref="F787:F790">
    <cfRule type="duplicateValues" dxfId="259" priority="65"/>
  </conditionalFormatting>
  <conditionalFormatting sqref="G787:G790">
    <cfRule type="duplicateValues" dxfId="258" priority="64"/>
  </conditionalFormatting>
  <conditionalFormatting sqref="C791:C794">
    <cfRule type="duplicateValues" dxfId="257" priority="63"/>
  </conditionalFormatting>
  <conditionalFormatting sqref="F791:F794">
    <cfRule type="duplicateValues" dxfId="256" priority="62"/>
  </conditionalFormatting>
  <conditionalFormatting sqref="G791:G794">
    <cfRule type="duplicateValues" dxfId="255" priority="61"/>
  </conditionalFormatting>
  <conditionalFormatting sqref="C795:C798">
    <cfRule type="duplicateValues" dxfId="254" priority="60"/>
  </conditionalFormatting>
  <conditionalFormatting sqref="F795:F798">
    <cfRule type="duplicateValues" dxfId="253" priority="59"/>
  </conditionalFormatting>
  <conditionalFormatting sqref="G795:G798">
    <cfRule type="duplicateValues" dxfId="252" priority="58"/>
  </conditionalFormatting>
  <conditionalFormatting sqref="C799:C802">
    <cfRule type="duplicateValues" dxfId="251" priority="57"/>
  </conditionalFormatting>
  <conditionalFormatting sqref="F799:F802">
    <cfRule type="duplicateValues" dxfId="250" priority="56"/>
  </conditionalFormatting>
  <conditionalFormatting sqref="G799:G802">
    <cfRule type="duplicateValues" dxfId="249" priority="55"/>
  </conditionalFormatting>
  <conditionalFormatting sqref="C803:C806">
    <cfRule type="duplicateValues" dxfId="248" priority="54"/>
  </conditionalFormatting>
  <conditionalFormatting sqref="F803:F806">
    <cfRule type="duplicateValues" dxfId="247" priority="53"/>
  </conditionalFormatting>
  <conditionalFormatting sqref="G803:G806">
    <cfRule type="duplicateValues" dxfId="246" priority="52"/>
  </conditionalFormatting>
  <conditionalFormatting sqref="C807:C810">
    <cfRule type="duplicateValues" dxfId="245" priority="51"/>
  </conditionalFormatting>
  <conditionalFormatting sqref="F807:F810">
    <cfRule type="duplicateValues" dxfId="244" priority="50"/>
  </conditionalFormatting>
  <conditionalFormatting sqref="G807:G810">
    <cfRule type="duplicateValues" dxfId="243" priority="49"/>
  </conditionalFormatting>
  <conditionalFormatting sqref="C811:C814">
    <cfRule type="duplicateValues" dxfId="242" priority="48"/>
  </conditionalFormatting>
  <conditionalFormatting sqref="F811:F814">
    <cfRule type="duplicateValues" dxfId="241" priority="47"/>
  </conditionalFormatting>
  <conditionalFormatting sqref="G811:G814">
    <cfRule type="duplicateValues" dxfId="240" priority="46"/>
  </conditionalFormatting>
  <conditionalFormatting sqref="C815:C818">
    <cfRule type="duplicateValues" dxfId="239" priority="45"/>
  </conditionalFormatting>
  <conditionalFormatting sqref="F815:F818">
    <cfRule type="duplicateValues" dxfId="238" priority="44"/>
  </conditionalFormatting>
  <conditionalFormatting sqref="G815:G818">
    <cfRule type="duplicateValues" dxfId="237" priority="43"/>
  </conditionalFormatting>
  <conditionalFormatting sqref="C819:C822">
    <cfRule type="duplicateValues" dxfId="236" priority="42"/>
  </conditionalFormatting>
  <conditionalFormatting sqref="F819:F822">
    <cfRule type="duplicateValues" dxfId="235" priority="41"/>
  </conditionalFormatting>
  <conditionalFormatting sqref="G819:G822">
    <cfRule type="duplicateValues" dxfId="234" priority="40"/>
  </conditionalFormatting>
  <conditionalFormatting sqref="C823:C826">
    <cfRule type="duplicateValues" dxfId="233" priority="39"/>
  </conditionalFormatting>
  <conditionalFormatting sqref="F823:F826">
    <cfRule type="duplicateValues" dxfId="232" priority="38"/>
  </conditionalFormatting>
  <conditionalFormatting sqref="G823:G826">
    <cfRule type="duplicateValues" dxfId="231" priority="37"/>
  </conditionalFormatting>
  <conditionalFormatting sqref="C827:C830">
    <cfRule type="duplicateValues" dxfId="230" priority="36"/>
  </conditionalFormatting>
  <conditionalFormatting sqref="F827:F830">
    <cfRule type="duplicateValues" dxfId="229" priority="35"/>
  </conditionalFormatting>
  <conditionalFormatting sqref="G827:G830">
    <cfRule type="duplicateValues" dxfId="228" priority="34"/>
  </conditionalFormatting>
  <conditionalFormatting sqref="C831:C834">
    <cfRule type="duplicateValues" dxfId="2" priority="33"/>
  </conditionalFormatting>
  <conditionalFormatting sqref="F831:F834">
    <cfRule type="duplicateValues" dxfId="1" priority="32"/>
  </conditionalFormatting>
  <conditionalFormatting sqref="G831:G834">
    <cfRule type="duplicateValues" dxfId="0" priority="31"/>
  </conditionalFormatting>
  <conditionalFormatting sqref="C835:C838">
    <cfRule type="duplicateValues" dxfId="227" priority="30"/>
  </conditionalFormatting>
  <conditionalFormatting sqref="F835:F838">
    <cfRule type="duplicateValues" dxfId="226" priority="29"/>
  </conditionalFormatting>
  <conditionalFormatting sqref="G835:G838">
    <cfRule type="duplicateValues" dxfId="225" priority="28"/>
  </conditionalFormatting>
  <conditionalFormatting sqref="C839:C842">
    <cfRule type="duplicateValues" dxfId="224" priority="27"/>
  </conditionalFormatting>
  <conditionalFormatting sqref="F839:F842">
    <cfRule type="duplicateValues" dxfId="223" priority="26"/>
  </conditionalFormatting>
  <conditionalFormatting sqref="G839:G842">
    <cfRule type="duplicateValues" dxfId="222" priority="25"/>
  </conditionalFormatting>
  <conditionalFormatting sqref="C843:C846">
    <cfRule type="duplicateValues" dxfId="221" priority="24"/>
  </conditionalFormatting>
  <conditionalFormatting sqref="F843:F846">
    <cfRule type="duplicateValues" dxfId="220" priority="23"/>
  </conditionalFormatting>
  <conditionalFormatting sqref="G843:G846">
    <cfRule type="duplicateValues" dxfId="219" priority="22"/>
  </conditionalFormatting>
  <conditionalFormatting sqref="C847:C850">
    <cfRule type="duplicateValues" dxfId="218" priority="21"/>
  </conditionalFormatting>
  <conditionalFormatting sqref="F847:F850">
    <cfRule type="duplicateValues" dxfId="217" priority="20"/>
  </conditionalFormatting>
  <conditionalFormatting sqref="G847:G850">
    <cfRule type="duplicateValues" dxfId="216" priority="19"/>
  </conditionalFormatting>
  <conditionalFormatting sqref="C851:C854">
    <cfRule type="duplicateValues" dxfId="215" priority="18"/>
  </conditionalFormatting>
  <conditionalFormatting sqref="F851:F854">
    <cfRule type="duplicateValues" dxfId="214" priority="17"/>
  </conditionalFormatting>
  <conditionalFormatting sqref="G851:G854">
    <cfRule type="duplicateValues" dxfId="213" priority="16"/>
  </conditionalFormatting>
  <conditionalFormatting sqref="C855:C858">
    <cfRule type="duplicateValues" dxfId="212" priority="15"/>
  </conditionalFormatting>
  <conditionalFormatting sqref="F855:F858">
    <cfRule type="duplicateValues" dxfId="211" priority="14"/>
  </conditionalFormatting>
  <conditionalFormatting sqref="G855:G858">
    <cfRule type="duplicateValues" dxfId="210" priority="13"/>
  </conditionalFormatting>
  <conditionalFormatting sqref="C859:C862">
    <cfRule type="duplicateValues" dxfId="209" priority="12"/>
  </conditionalFormatting>
  <conditionalFormatting sqref="F859:F862">
    <cfRule type="duplicateValues" dxfId="208" priority="11"/>
  </conditionalFormatting>
  <conditionalFormatting sqref="G859:G862">
    <cfRule type="duplicateValues" dxfId="207" priority="10"/>
  </conditionalFormatting>
  <conditionalFormatting sqref="C863:C866">
    <cfRule type="duplicateValues" dxfId="206" priority="9"/>
  </conditionalFormatting>
  <conditionalFormatting sqref="F863:F866">
    <cfRule type="duplicateValues" dxfId="205" priority="8"/>
  </conditionalFormatting>
  <conditionalFormatting sqref="G863:G866">
    <cfRule type="duplicateValues" dxfId="204" priority="7"/>
  </conditionalFormatting>
  <conditionalFormatting sqref="C867:C870">
    <cfRule type="duplicateValues" dxfId="203" priority="6"/>
  </conditionalFormatting>
  <conditionalFormatting sqref="F867:F870">
    <cfRule type="duplicateValues" dxfId="202" priority="5"/>
  </conditionalFormatting>
  <conditionalFormatting sqref="G867:G870">
    <cfRule type="duplicateValues" dxfId="201" priority="4"/>
  </conditionalFormatting>
  <conditionalFormatting sqref="C871:C874">
    <cfRule type="duplicateValues" dxfId="200" priority="3"/>
  </conditionalFormatting>
  <conditionalFormatting sqref="F871:F874">
    <cfRule type="duplicateValues" dxfId="199" priority="2"/>
  </conditionalFormatting>
  <conditionalFormatting sqref="G871:G874">
    <cfRule type="duplicateValues" dxfId="198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"/>
  <dimension ref="A3:B88"/>
  <sheetViews>
    <sheetView showGridLines="0" showRowColHeaders="0" topLeftCell="A13" zoomScale="85" zoomScaleNormal="85" workbookViewId="0">
      <selection activeCell="A34" sqref="A34"/>
    </sheetView>
  </sheetViews>
  <sheetFormatPr defaultRowHeight="15" x14ac:dyDescent="0.25"/>
  <cols>
    <col min="1" max="1" width="32.42578125" bestFit="1" customWidth="1"/>
    <col min="2" max="2" width="27.7109375" style="114" bestFit="1" customWidth="1"/>
  </cols>
  <sheetData>
    <row r="3" spans="1:2" ht="21" x14ac:dyDescent="0.35">
      <c r="A3" s="132" t="s">
        <v>1428</v>
      </c>
      <c r="B3" s="114" t="s">
        <v>978</v>
      </c>
    </row>
    <row r="4" spans="1:2" x14ac:dyDescent="0.25">
      <c r="A4" s="108" t="s">
        <v>1326</v>
      </c>
      <c r="B4" s="114">
        <v>370</v>
      </c>
    </row>
    <row r="5" spans="1:2" x14ac:dyDescent="0.25">
      <c r="A5" s="108" t="s">
        <v>1068</v>
      </c>
      <c r="B5" s="114">
        <v>12334</v>
      </c>
    </row>
    <row r="6" spans="1:2" x14ac:dyDescent="0.25">
      <c r="A6" s="108" t="s">
        <v>979</v>
      </c>
      <c r="B6" s="114">
        <v>4560</v>
      </c>
    </row>
    <row r="7" spans="1:2" x14ac:dyDescent="0.25">
      <c r="A7" s="108" t="s">
        <v>1071</v>
      </c>
      <c r="B7" s="114">
        <v>18219.87</v>
      </c>
    </row>
    <row r="8" spans="1:2" x14ac:dyDescent="0.25">
      <c r="A8" s="108" t="s">
        <v>1069</v>
      </c>
      <c r="B8" s="114">
        <v>1251.24</v>
      </c>
    </row>
    <row r="9" spans="1:2" x14ac:dyDescent="0.25">
      <c r="A9" s="108" t="s">
        <v>1064</v>
      </c>
      <c r="B9" s="114">
        <v>70913.14</v>
      </c>
    </row>
    <row r="10" spans="1:2" x14ac:dyDescent="0.25">
      <c r="A10" s="108" t="s">
        <v>1073</v>
      </c>
      <c r="B10" s="114">
        <v>34880</v>
      </c>
    </row>
    <row r="11" spans="1:2" x14ac:dyDescent="0.25">
      <c r="A11" s="108" t="s">
        <v>1074</v>
      </c>
      <c r="B11" s="114">
        <v>200</v>
      </c>
    </row>
    <row r="12" spans="1:2" x14ac:dyDescent="0.25">
      <c r="A12" s="108" t="s">
        <v>1083</v>
      </c>
      <c r="B12" s="114">
        <v>1000</v>
      </c>
    </row>
    <row r="13" spans="1:2" x14ac:dyDescent="0.25">
      <c r="A13" s="108" t="s">
        <v>1080</v>
      </c>
      <c r="B13" s="114">
        <v>59245.42</v>
      </c>
    </row>
    <row r="14" spans="1:2" x14ac:dyDescent="0.25">
      <c r="A14" s="108" t="s">
        <v>1072</v>
      </c>
      <c r="B14" s="114">
        <v>22860</v>
      </c>
    </row>
    <row r="15" spans="1:2" x14ac:dyDescent="0.25">
      <c r="A15" s="108" t="s">
        <v>1067</v>
      </c>
      <c r="B15" s="114">
        <v>4160</v>
      </c>
    </row>
    <row r="16" spans="1:2" x14ac:dyDescent="0.25">
      <c r="A16" s="108" t="s">
        <v>981</v>
      </c>
      <c r="B16" s="114">
        <v>4000</v>
      </c>
    </row>
    <row r="17" spans="1:2" x14ac:dyDescent="0.25">
      <c r="A17" s="108" t="s">
        <v>1066</v>
      </c>
      <c r="B17" s="114">
        <v>11890</v>
      </c>
    </row>
    <row r="18" spans="1:2" x14ac:dyDescent="0.25">
      <c r="A18" s="108" t="s">
        <v>1065</v>
      </c>
      <c r="B18" s="114">
        <v>2220</v>
      </c>
    </row>
    <row r="19" spans="1:2" x14ac:dyDescent="0.25">
      <c r="A19" s="108" t="s">
        <v>980</v>
      </c>
      <c r="B19" s="114">
        <v>12080</v>
      </c>
    </row>
    <row r="20" spans="1:2" x14ac:dyDescent="0.25">
      <c r="A20" s="108" t="s">
        <v>1311</v>
      </c>
      <c r="B20" s="114">
        <v>13690</v>
      </c>
    </row>
    <row r="21" spans="1:2" x14ac:dyDescent="0.25">
      <c r="A21" s="108" t="s">
        <v>492</v>
      </c>
      <c r="B21" s="114">
        <v>300</v>
      </c>
    </row>
    <row r="22" spans="1:2" x14ac:dyDescent="0.25">
      <c r="A22" s="108" t="s">
        <v>1070</v>
      </c>
      <c r="B22" s="114">
        <v>59414.78</v>
      </c>
    </row>
    <row r="23" spans="1:2" x14ac:dyDescent="0.25">
      <c r="A23" s="108" t="s">
        <v>441</v>
      </c>
      <c r="B23" s="114">
        <v>2100</v>
      </c>
    </row>
    <row r="24" spans="1:2" x14ac:dyDescent="0.25">
      <c r="A24" s="108" t="s">
        <v>1421</v>
      </c>
      <c r="B24" s="114">
        <v>300</v>
      </c>
    </row>
    <row r="25" spans="1:2" x14ac:dyDescent="0.25">
      <c r="A25" s="108" t="s">
        <v>1726</v>
      </c>
      <c r="B25" s="114">
        <v>6190</v>
      </c>
    </row>
    <row r="26" spans="1:2" x14ac:dyDescent="0.25">
      <c r="A26" s="108" t="s">
        <v>1771</v>
      </c>
      <c r="B26" s="114">
        <v>1240</v>
      </c>
    </row>
    <row r="27" spans="1:2" x14ac:dyDescent="0.25">
      <c r="A27" s="108" t="s">
        <v>1786</v>
      </c>
      <c r="B27" s="114">
        <v>2610</v>
      </c>
    </row>
    <row r="28" spans="1:2" x14ac:dyDescent="0.25">
      <c r="A28" s="108" t="s">
        <v>1812</v>
      </c>
      <c r="B28" s="114">
        <v>5850</v>
      </c>
    </row>
    <row r="29" spans="1:2" x14ac:dyDescent="0.25">
      <c r="A29" s="108" t="s">
        <v>2221</v>
      </c>
      <c r="B29" s="114">
        <v>200</v>
      </c>
    </row>
    <row r="30" spans="1:2" x14ac:dyDescent="0.25">
      <c r="A30" s="108" t="s">
        <v>2260</v>
      </c>
      <c r="B30" s="114">
        <v>4620</v>
      </c>
    </row>
    <row r="31" spans="1:2" x14ac:dyDescent="0.25">
      <c r="A31" s="108" t="s">
        <v>3056</v>
      </c>
      <c r="B31" s="114">
        <v>370</v>
      </c>
    </row>
    <row r="32" spans="1:2" x14ac:dyDescent="0.25">
      <c r="A32" s="108" t="s">
        <v>3243</v>
      </c>
      <c r="B32" s="114">
        <v>2000</v>
      </c>
    </row>
    <row r="33" spans="1:2" x14ac:dyDescent="0.25">
      <c r="A33" s="108" t="s">
        <v>3273</v>
      </c>
      <c r="B33" s="114">
        <v>370</v>
      </c>
    </row>
    <row r="34" spans="1:2" x14ac:dyDescent="0.25">
      <c r="A34" s="108" t="s">
        <v>100</v>
      </c>
      <c r="B34" s="114">
        <v>300</v>
      </c>
    </row>
    <row r="35" spans="1:2" x14ac:dyDescent="0.25">
      <c r="A35" s="108" t="s">
        <v>977</v>
      </c>
      <c r="B35" s="114">
        <v>359738.44999999995</v>
      </c>
    </row>
    <row r="36" spans="1:2" x14ac:dyDescent="0.25">
      <c r="B36"/>
    </row>
    <row r="37" spans="1:2" x14ac:dyDescent="0.25">
      <c r="B37"/>
    </row>
    <row r="38" spans="1:2" x14ac:dyDescent="0.25">
      <c r="B38"/>
    </row>
    <row r="39" spans="1:2" x14ac:dyDescent="0.25">
      <c r="B39"/>
    </row>
    <row r="40" spans="1:2" x14ac:dyDescent="0.25">
      <c r="B40"/>
    </row>
    <row r="41" spans="1:2" x14ac:dyDescent="0.25">
      <c r="B41"/>
    </row>
    <row r="42" spans="1:2" x14ac:dyDescent="0.25">
      <c r="B42"/>
    </row>
    <row r="43" spans="1:2" x14ac:dyDescent="0.25">
      <c r="B43"/>
    </row>
    <row r="44" spans="1:2" x14ac:dyDescent="0.25">
      <c r="B44"/>
    </row>
    <row r="45" spans="1:2" x14ac:dyDescent="0.25">
      <c r="B45"/>
    </row>
    <row r="46" spans="1:2" x14ac:dyDescent="0.25">
      <c r="B46"/>
    </row>
    <row r="47" spans="1:2" x14ac:dyDescent="0.25">
      <c r="B47"/>
    </row>
    <row r="48" spans="1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</sheetData>
  <pageMargins left="0.511811024" right="0.511811024" top="0.78740157499999996" bottom="0.78740157499999996" header="0.31496062000000002" footer="0.31496062000000002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"/>
  <dimension ref="A2:B13"/>
  <sheetViews>
    <sheetView showGridLines="0" topLeftCell="A24" workbookViewId="0">
      <selection activeCell="B2" sqref="B2"/>
    </sheetView>
  </sheetViews>
  <sheetFormatPr defaultRowHeight="15" x14ac:dyDescent="0.25"/>
  <cols>
    <col min="1" max="1" width="32" bestFit="1" customWidth="1"/>
    <col min="2" max="2" width="27.7109375" bestFit="1" customWidth="1"/>
  </cols>
  <sheetData>
    <row r="2" spans="1:2" ht="21" x14ac:dyDescent="0.25">
      <c r="A2" s="135" t="s">
        <v>1428</v>
      </c>
      <c r="B2" s="136" t="s">
        <v>978</v>
      </c>
    </row>
    <row r="3" spans="1:2" x14ac:dyDescent="0.25">
      <c r="A3" s="131" t="s">
        <v>1068</v>
      </c>
      <c r="B3" s="114">
        <v>12334</v>
      </c>
    </row>
    <row r="4" spans="1:2" x14ac:dyDescent="0.25">
      <c r="A4" s="131" t="s">
        <v>1071</v>
      </c>
      <c r="B4" s="114">
        <v>18219.87</v>
      </c>
    </row>
    <row r="5" spans="1:2" x14ac:dyDescent="0.25">
      <c r="A5" s="131" t="s">
        <v>1064</v>
      </c>
      <c r="B5" s="114">
        <v>74293.14</v>
      </c>
    </row>
    <row r="6" spans="1:2" x14ac:dyDescent="0.25">
      <c r="A6" s="131" t="s">
        <v>1073</v>
      </c>
      <c r="B6" s="114">
        <v>34880</v>
      </c>
    </row>
    <row r="7" spans="1:2" x14ac:dyDescent="0.25">
      <c r="A7" s="131" t="s">
        <v>1080</v>
      </c>
      <c r="B7" s="114">
        <v>61395.42</v>
      </c>
    </row>
    <row r="8" spans="1:2" x14ac:dyDescent="0.25">
      <c r="A8" s="131" t="s">
        <v>1072</v>
      </c>
      <c r="B8" s="114">
        <v>22860</v>
      </c>
    </row>
    <row r="9" spans="1:2" x14ac:dyDescent="0.25">
      <c r="A9" s="131" t="s">
        <v>1066</v>
      </c>
      <c r="B9" s="114">
        <v>11890</v>
      </c>
    </row>
    <row r="10" spans="1:2" x14ac:dyDescent="0.25">
      <c r="A10" s="131" t="s">
        <v>980</v>
      </c>
      <c r="B10" s="114">
        <v>12080</v>
      </c>
    </row>
    <row r="11" spans="1:2" x14ac:dyDescent="0.25">
      <c r="A11" s="131" t="s">
        <v>1311</v>
      </c>
      <c r="B11" s="114">
        <v>13690</v>
      </c>
    </row>
    <row r="12" spans="1:2" x14ac:dyDescent="0.25">
      <c r="A12" s="131" t="s">
        <v>1070</v>
      </c>
      <c r="B12" s="114">
        <v>59414.78</v>
      </c>
    </row>
    <row r="13" spans="1:2" x14ac:dyDescent="0.25">
      <c r="A13" s="131" t="s">
        <v>977</v>
      </c>
      <c r="B13" s="114">
        <v>321057.20999999996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8"/>
  <dimension ref="A2:B16"/>
  <sheetViews>
    <sheetView showGridLines="0" workbookViewId="0">
      <selection activeCell="A3" sqref="A3"/>
    </sheetView>
  </sheetViews>
  <sheetFormatPr defaultRowHeight="15" x14ac:dyDescent="0.25"/>
  <cols>
    <col min="1" max="1" width="36.7109375" bestFit="1" customWidth="1"/>
    <col min="2" max="2" width="27.7109375" style="137" bestFit="1" customWidth="1"/>
  </cols>
  <sheetData>
    <row r="2" spans="1:2" ht="18.75" x14ac:dyDescent="0.3">
      <c r="A2" s="139" t="s">
        <v>1443</v>
      </c>
      <c r="B2" s="138" t="s">
        <v>978</v>
      </c>
    </row>
    <row r="3" spans="1:2" x14ac:dyDescent="0.25">
      <c r="A3" s="131" t="s">
        <v>1211</v>
      </c>
      <c r="B3" s="114">
        <v>14235.869999999999</v>
      </c>
    </row>
    <row r="4" spans="1:2" x14ac:dyDescent="0.25">
      <c r="A4" s="131" t="s">
        <v>990</v>
      </c>
      <c r="B4" s="114">
        <v>13844</v>
      </c>
    </row>
    <row r="5" spans="1:2" x14ac:dyDescent="0.25">
      <c r="A5" s="131" t="s">
        <v>1134</v>
      </c>
      <c r="B5" s="114">
        <v>21570</v>
      </c>
    </row>
    <row r="6" spans="1:2" x14ac:dyDescent="0.25">
      <c r="A6" s="131" t="s">
        <v>466</v>
      </c>
      <c r="B6" s="114">
        <v>37780.78</v>
      </c>
    </row>
    <row r="7" spans="1:2" x14ac:dyDescent="0.25">
      <c r="A7" s="131" t="s">
        <v>659</v>
      </c>
      <c r="B7" s="114">
        <v>13310</v>
      </c>
    </row>
    <row r="8" spans="1:2" x14ac:dyDescent="0.25">
      <c r="A8" s="131" t="s">
        <v>501</v>
      </c>
      <c r="B8" s="114">
        <v>21680</v>
      </c>
    </row>
    <row r="9" spans="1:2" x14ac:dyDescent="0.25">
      <c r="A9" s="131" t="s">
        <v>868</v>
      </c>
      <c r="B9" s="114">
        <v>17134</v>
      </c>
    </row>
    <row r="10" spans="1:2" x14ac:dyDescent="0.25">
      <c r="A10" s="131" t="s">
        <v>1002</v>
      </c>
      <c r="B10" s="114">
        <v>19160</v>
      </c>
    </row>
    <row r="11" spans="1:2" x14ac:dyDescent="0.25">
      <c r="A11" s="131" t="s">
        <v>1079</v>
      </c>
      <c r="B11" s="114">
        <v>12080</v>
      </c>
    </row>
    <row r="12" spans="1:2" x14ac:dyDescent="0.25">
      <c r="A12" s="131" t="s">
        <v>1172</v>
      </c>
      <c r="B12" s="114">
        <v>13690</v>
      </c>
    </row>
    <row r="13" spans="1:2" x14ac:dyDescent="0.25">
      <c r="A13" s="131" t="s">
        <v>977</v>
      </c>
      <c r="B13" s="114">
        <v>184484.65</v>
      </c>
    </row>
    <row r="14" spans="1:2" x14ac:dyDescent="0.25">
      <c r="B14"/>
    </row>
    <row r="15" spans="1:2" x14ac:dyDescent="0.25">
      <c r="B15"/>
    </row>
    <row r="16" spans="1:2" x14ac:dyDescent="0.25">
      <c r="B16"/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"/>
  <dimension ref="A2:B4"/>
  <sheetViews>
    <sheetView showGridLines="0" workbookViewId="0">
      <selection activeCell="B2" sqref="B2"/>
    </sheetView>
  </sheetViews>
  <sheetFormatPr defaultRowHeight="15" x14ac:dyDescent="0.25"/>
  <cols>
    <col min="1" max="1" width="27.7109375" customWidth="1"/>
    <col min="2" max="2" width="27.7109375" bestFit="1" customWidth="1"/>
  </cols>
  <sheetData>
    <row r="2" spans="1:2" ht="21" x14ac:dyDescent="0.35">
      <c r="A2" s="133" t="s">
        <v>1429</v>
      </c>
      <c r="B2" s="114" t="s">
        <v>978</v>
      </c>
    </row>
    <row r="3" spans="1:2" x14ac:dyDescent="0.25">
      <c r="A3" s="131" t="s">
        <v>1153</v>
      </c>
      <c r="B3" s="114">
        <v>370</v>
      </c>
    </row>
    <row r="4" spans="1:2" x14ac:dyDescent="0.25">
      <c r="A4" s="131" t="s">
        <v>977</v>
      </c>
      <c r="B4" s="114">
        <v>370</v>
      </c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0"/>
  <dimension ref="A2:B13"/>
  <sheetViews>
    <sheetView showGridLines="0" zoomScale="85" zoomScaleNormal="85" workbookViewId="0">
      <selection activeCell="A2" sqref="A2"/>
    </sheetView>
  </sheetViews>
  <sheetFormatPr defaultRowHeight="15" x14ac:dyDescent="0.25"/>
  <cols>
    <col min="1" max="1" width="27.85546875" bestFit="1" customWidth="1"/>
    <col min="2" max="2" width="27.7109375" style="114" bestFit="1" customWidth="1"/>
  </cols>
  <sheetData>
    <row r="2" spans="1:2" ht="18.75" x14ac:dyDescent="0.3">
      <c r="A2" s="134" t="s">
        <v>1427</v>
      </c>
      <c r="B2" s="114" t="s">
        <v>978</v>
      </c>
    </row>
    <row r="3" spans="1:2" x14ac:dyDescent="0.25">
      <c r="A3" s="108" t="s">
        <v>5</v>
      </c>
      <c r="B3" s="114">
        <v>31782.079999999998</v>
      </c>
    </row>
    <row r="4" spans="1:2" x14ac:dyDescent="0.25">
      <c r="A4" s="108" t="s">
        <v>431</v>
      </c>
      <c r="B4" s="114">
        <v>370</v>
      </c>
    </row>
    <row r="5" spans="1:2" x14ac:dyDescent="0.25">
      <c r="A5" s="108" t="s">
        <v>16</v>
      </c>
      <c r="B5" s="114">
        <v>164370.28</v>
      </c>
    </row>
    <row r="6" spans="1:2" x14ac:dyDescent="0.25">
      <c r="A6" s="108" t="s">
        <v>432</v>
      </c>
      <c r="B6" s="114">
        <v>71442</v>
      </c>
    </row>
    <row r="7" spans="1:2" x14ac:dyDescent="0.25">
      <c r="A7" s="108" t="s">
        <v>31</v>
      </c>
      <c r="B7" s="114">
        <v>66307.239999999991</v>
      </c>
    </row>
    <row r="8" spans="1:2" x14ac:dyDescent="0.25">
      <c r="A8" s="108" t="s">
        <v>37</v>
      </c>
      <c r="B8" s="114">
        <v>7500</v>
      </c>
    </row>
    <row r="9" spans="1:2" x14ac:dyDescent="0.25">
      <c r="A9" s="108" t="s">
        <v>39</v>
      </c>
      <c r="B9" s="114">
        <v>29308.639999999999</v>
      </c>
    </row>
    <row r="10" spans="1:2" x14ac:dyDescent="0.25">
      <c r="A10" s="108" t="s">
        <v>29</v>
      </c>
      <c r="B10" s="114">
        <v>1138.21</v>
      </c>
    </row>
    <row r="11" spans="1:2" x14ac:dyDescent="0.25">
      <c r="A11" s="108" t="s">
        <v>1084</v>
      </c>
    </row>
    <row r="12" spans="1:2" x14ac:dyDescent="0.25">
      <c r="A12" s="108" t="s">
        <v>977</v>
      </c>
      <c r="B12" s="114">
        <v>372218.45</v>
      </c>
    </row>
    <row r="13" spans="1:2" x14ac:dyDescent="0.25">
      <c r="B13"/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1"/>
  <dimension ref="A3:B69"/>
  <sheetViews>
    <sheetView showGridLines="0" zoomScale="85" zoomScaleNormal="85" workbookViewId="0">
      <selection activeCell="B3" sqref="B3"/>
    </sheetView>
  </sheetViews>
  <sheetFormatPr defaultRowHeight="15" x14ac:dyDescent="0.25"/>
  <cols>
    <col min="1" max="1" width="41.42578125" bestFit="1" customWidth="1"/>
    <col min="2" max="2" width="14.42578125" style="113" bestFit="1" customWidth="1"/>
    <col min="3" max="3" width="31.7109375" bestFit="1" customWidth="1"/>
    <col min="4" max="4" width="27.42578125" bestFit="1" customWidth="1"/>
    <col min="5" max="5" width="30.7109375" bestFit="1" customWidth="1"/>
    <col min="6" max="6" width="26.42578125" bestFit="1" customWidth="1"/>
    <col min="7" max="7" width="25.7109375" bestFit="1" customWidth="1"/>
    <col min="8" max="8" width="35.5703125" bestFit="1" customWidth="1"/>
    <col min="9" max="9" width="26.42578125" bestFit="1" customWidth="1"/>
    <col min="10" max="10" width="17" bestFit="1" customWidth="1"/>
    <col min="11" max="11" width="35.5703125" bestFit="1" customWidth="1"/>
    <col min="12" max="12" width="31.28515625" bestFit="1" customWidth="1"/>
    <col min="13" max="13" width="16.42578125" bestFit="1" customWidth="1"/>
    <col min="14" max="14" width="17.42578125" bestFit="1" customWidth="1"/>
    <col min="15" max="15" width="20.7109375" bestFit="1" customWidth="1"/>
    <col min="16" max="16" width="30.7109375" bestFit="1" customWidth="1"/>
    <col min="17" max="17" width="19.5703125" bestFit="1" customWidth="1"/>
    <col min="18" max="18" width="35.5703125" bestFit="1" customWidth="1"/>
    <col min="19" max="19" width="20.140625" bestFit="1" customWidth="1"/>
    <col min="20" max="20" width="30.7109375" bestFit="1" customWidth="1"/>
    <col min="21" max="21" width="26.42578125" bestFit="1" customWidth="1"/>
    <col min="22" max="22" width="17" bestFit="1" customWidth="1"/>
    <col min="23" max="23" width="19.140625" bestFit="1" customWidth="1"/>
    <col min="24" max="24" width="35.5703125" bestFit="1" customWidth="1"/>
    <col min="25" max="25" width="15.7109375" bestFit="1" customWidth="1"/>
    <col min="26" max="26" width="30.7109375" bestFit="1" customWidth="1"/>
    <col min="27" max="27" width="35.5703125" bestFit="1" customWidth="1"/>
    <col min="28" max="28" width="19.42578125" bestFit="1" customWidth="1"/>
    <col min="29" max="29" width="15.42578125" bestFit="1" customWidth="1"/>
    <col min="30" max="30" width="15.7109375" bestFit="1" customWidth="1"/>
    <col min="31" max="31" width="16.140625" bestFit="1" customWidth="1"/>
    <col min="32" max="32" width="26.42578125" bestFit="1" customWidth="1"/>
    <col min="33" max="33" width="15.42578125" bestFit="1" customWidth="1"/>
    <col min="34" max="34" width="15.7109375" bestFit="1" customWidth="1"/>
    <col min="35" max="35" width="30.7109375" bestFit="1" customWidth="1"/>
    <col min="36" max="36" width="26.42578125" bestFit="1" customWidth="1"/>
    <col min="37" max="37" width="30.7109375" bestFit="1" customWidth="1"/>
    <col min="38" max="38" width="26.42578125" bestFit="1" customWidth="1"/>
    <col min="39" max="39" width="14.28515625" bestFit="1" customWidth="1"/>
    <col min="40" max="40" width="19.28515625" bestFit="1" customWidth="1"/>
    <col min="41" max="41" width="21.7109375" bestFit="1" customWidth="1"/>
    <col min="42" max="42" width="22.5703125" bestFit="1" customWidth="1"/>
    <col min="43" max="43" width="32" bestFit="1" customWidth="1"/>
    <col min="44" max="44" width="24.5703125" bestFit="1" customWidth="1"/>
    <col min="45" max="45" width="18.5703125" bestFit="1" customWidth="1"/>
    <col min="46" max="46" width="7" bestFit="1" customWidth="1"/>
    <col min="47" max="47" width="10.7109375" bestFit="1" customWidth="1"/>
    <col min="48" max="48" width="20.5703125" bestFit="1" customWidth="1"/>
    <col min="49" max="49" width="23.7109375" bestFit="1" customWidth="1"/>
    <col min="50" max="50" width="24" bestFit="1" customWidth="1"/>
    <col min="51" max="51" width="27.140625" bestFit="1" customWidth="1"/>
    <col min="52" max="52" width="22.7109375" bestFit="1" customWidth="1"/>
    <col min="53" max="53" width="26" bestFit="1" customWidth="1"/>
    <col min="54" max="54" width="32.42578125" bestFit="1" customWidth="1"/>
    <col min="55" max="55" width="35.42578125" bestFit="1" customWidth="1"/>
    <col min="56" max="56" width="24.85546875" bestFit="1" customWidth="1"/>
    <col min="57" max="57" width="28" bestFit="1" customWidth="1"/>
    <col min="58" max="58" width="18.85546875" bestFit="1" customWidth="1"/>
    <col min="59" max="59" width="15.7109375" bestFit="1" customWidth="1"/>
    <col min="60" max="60" width="16.140625" bestFit="1" customWidth="1"/>
    <col min="61" max="61" width="15.7109375" bestFit="1" customWidth="1"/>
    <col min="62" max="62" width="22.140625" bestFit="1" customWidth="1"/>
    <col min="63" max="63" width="18.7109375" bestFit="1" customWidth="1"/>
    <col min="64" max="64" width="22" bestFit="1" customWidth="1"/>
    <col min="65" max="65" width="8.85546875" bestFit="1" customWidth="1"/>
    <col min="66" max="66" width="11.85546875" bestFit="1" customWidth="1"/>
    <col min="67" max="67" width="10.7109375" bestFit="1" customWidth="1"/>
  </cols>
  <sheetData>
    <row r="3" spans="1:2" ht="17.25" x14ac:dyDescent="0.25">
      <c r="A3" s="111" t="s">
        <v>59</v>
      </c>
      <c r="B3" s="112" t="s">
        <v>1085</v>
      </c>
    </row>
    <row r="4" spans="1:2" x14ac:dyDescent="0.25">
      <c r="A4" s="108" t="s">
        <v>100</v>
      </c>
      <c r="B4" s="117">
        <v>300</v>
      </c>
    </row>
    <row r="5" spans="1:2" x14ac:dyDescent="0.25">
      <c r="A5" s="129" t="s">
        <v>1000</v>
      </c>
      <c r="B5" s="117">
        <v>300</v>
      </c>
    </row>
    <row r="6" spans="1:2" x14ac:dyDescent="0.25">
      <c r="A6" s="108" t="s">
        <v>3243</v>
      </c>
      <c r="B6" s="117">
        <v>2000</v>
      </c>
    </row>
    <row r="7" spans="1:2" x14ac:dyDescent="0.25">
      <c r="A7" s="129" t="s">
        <v>3242</v>
      </c>
      <c r="B7" s="117">
        <v>2000</v>
      </c>
    </row>
    <row r="8" spans="1:2" x14ac:dyDescent="0.25">
      <c r="A8" s="108" t="s">
        <v>1726</v>
      </c>
      <c r="B8" s="117">
        <v>6190</v>
      </c>
    </row>
    <row r="9" spans="1:2" x14ac:dyDescent="0.25">
      <c r="A9" s="129" t="s">
        <v>1804</v>
      </c>
      <c r="B9" s="117">
        <v>6190</v>
      </c>
    </row>
    <row r="10" spans="1:2" x14ac:dyDescent="0.25">
      <c r="A10" s="108" t="s">
        <v>1326</v>
      </c>
      <c r="B10" s="117">
        <v>370</v>
      </c>
    </row>
    <row r="11" spans="1:2" x14ac:dyDescent="0.25">
      <c r="A11" s="129" t="s">
        <v>1325</v>
      </c>
      <c r="B11" s="117">
        <v>370</v>
      </c>
    </row>
    <row r="12" spans="1:2" x14ac:dyDescent="0.25">
      <c r="A12" s="108" t="s">
        <v>1068</v>
      </c>
      <c r="B12" s="117">
        <v>12334</v>
      </c>
    </row>
    <row r="13" spans="1:2" x14ac:dyDescent="0.25">
      <c r="A13" s="108" t="s">
        <v>979</v>
      </c>
      <c r="B13" s="117">
        <v>4560</v>
      </c>
    </row>
    <row r="14" spans="1:2" x14ac:dyDescent="0.25">
      <c r="A14" s="108" t="s">
        <v>1071</v>
      </c>
      <c r="B14" s="117">
        <v>18219.87</v>
      </c>
    </row>
    <row r="15" spans="1:2" x14ac:dyDescent="0.25">
      <c r="A15" s="108" t="s">
        <v>1069</v>
      </c>
      <c r="B15" s="117">
        <v>2101.2399999999998</v>
      </c>
    </row>
    <row r="16" spans="1:2" x14ac:dyDescent="0.25">
      <c r="A16" s="108" t="s">
        <v>1064</v>
      </c>
      <c r="B16" s="117">
        <v>74293.14</v>
      </c>
    </row>
    <row r="17" spans="1:2" x14ac:dyDescent="0.25">
      <c r="A17" s="108" t="s">
        <v>1786</v>
      </c>
      <c r="B17" s="117">
        <v>2980</v>
      </c>
    </row>
    <row r="18" spans="1:2" x14ac:dyDescent="0.25">
      <c r="A18" s="129" t="s">
        <v>1785</v>
      </c>
      <c r="B18" s="117">
        <v>2610</v>
      </c>
    </row>
    <row r="19" spans="1:2" x14ac:dyDescent="0.25">
      <c r="A19" s="129" t="s">
        <v>3552</v>
      </c>
      <c r="B19" s="117">
        <v>370</v>
      </c>
    </row>
    <row r="20" spans="1:2" x14ac:dyDescent="0.25">
      <c r="A20" s="108" t="s">
        <v>3902</v>
      </c>
      <c r="B20" s="117">
        <v>1850</v>
      </c>
    </row>
    <row r="21" spans="1:2" x14ac:dyDescent="0.25">
      <c r="A21" s="129" t="s">
        <v>3901</v>
      </c>
      <c r="B21" s="117">
        <v>1850</v>
      </c>
    </row>
    <row r="22" spans="1:2" x14ac:dyDescent="0.25">
      <c r="A22" s="108" t="s">
        <v>3273</v>
      </c>
      <c r="B22" s="117">
        <v>370</v>
      </c>
    </row>
    <row r="23" spans="1:2" x14ac:dyDescent="0.25">
      <c r="A23" s="129" t="s">
        <v>3272</v>
      </c>
      <c r="B23" s="117">
        <v>370</v>
      </c>
    </row>
    <row r="24" spans="1:2" x14ac:dyDescent="0.25">
      <c r="A24" s="108" t="s">
        <v>2221</v>
      </c>
      <c r="B24" s="117">
        <v>200</v>
      </c>
    </row>
    <row r="25" spans="1:2" x14ac:dyDescent="0.25">
      <c r="A25" s="129" t="s">
        <v>2220</v>
      </c>
      <c r="B25" s="117">
        <v>200</v>
      </c>
    </row>
    <row r="26" spans="1:2" x14ac:dyDescent="0.25">
      <c r="A26" s="108" t="s">
        <v>1073</v>
      </c>
      <c r="B26" s="117">
        <v>34880</v>
      </c>
    </row>
    <row r="27" spans="1:2" x14ac:dyDescent="0.25">
      <c r="A27" s="108" t="s">
        <v>1074</v>
      </c>
      <c r="B27" s="117">
        <v>200</v>
      </c>
    </row>
    <row r="28" spans="1:2" x14ac:dyDescent="0.25">
      <c r="A28" s="108" t="s">
        <v>1083</v>
      </c>
      <c r="B28" s="117">
        <v>1000</v>
      </c>
    </row>
    <row r="29" spans="1:2" x14ac:dyDescent="0.25">
      <c r="A29" s="108" t="s">
        <v>1080</v>
      </c>
      <c r="B29" s="117">
        <v>61395.42</v>
      </c>
    </row>
    <row r="30" spans="1:2" x14ac:dyDescent="0.25">
      <c r="A30" s="108" t="s">
        <v>1812</v>
      </c>
      <c r="B30" s="117">
        <v>5850</v>
      </c>
    </row>
    <row r="31" spans="1:2" x14ac:dyDescent="0.25">
      <c r="A31" s="129" t="s">
        <v>1811</v>
      </c>
      <c r="B31" s="117">
        <v>670</v>
      </c>
    </row>
    <row r="32" spans="1:2" x14ac:dyDescent="0.25">
      <c r="A32" s="129" t="s">
        <v>2968</v>
      </c>
      <c r="B32" s="117">
        <v>5180</v>
      </c>
    </row>
    <row r="33" spans="1:2" x14ac:dyDescent="0.25">
      <c r="A33" s="108" t="s">
        <v>1072</v>
      </c>
      <c r="B33" s="117">
        <v>22860</v>
      </c>
    </row>
    <row r="34" spans="1:2" x14ac:dyDescent="0.25">
      <c r="A34" s="108" t="s">
        <v>2260</v>
      </c>
      <c r="B34" s="117">
        <v>4620</v>
      </c>
    </row>
    <row r="35" spans="1:2" x14ac:dyDescent="0.25">
      <c r="A35" s="129" t="s">
        <v>2259</v>
      </c>
      <c r="B35" s="117">
        <v>4620</v>
      </c>
    </row>
    <row r="36" spans="1:2" x14ac:dyDescent="0.25">
      <c r="A36" s="108" t="s">
        <v>1067</v>
      </c>
      <c r="B36" s="117">
        <v>4160</v>
      </c>
    </row>
    <row r="37" spans="1:2" x14ac:dyDescent="0.25">
      <c r="A37" s="108" t="s">
        <v>3056</v>
      </c>
      <c r="B37" s="117">
        <v>370</v>
      </c>
    </row>
    <row r="38" spans="1:2" x14ac:dyDescent="0.25">
      <c r="A38" s="129" t="s">
        <v>3055</v>
      </c>
      <c r="B38" s="117">
        <v>370</v>
      </c>
    </row>
    <row r="39" spans="1:2" x14ac:dyDescent="0.25">
      <c r="A39" s="108" t="s">
        <v>981</v>
      </c>
      <c r="B39" s="117">
        <v>4000</v>
      </c>
    </row>
    <row r="40" spans="1:2" x14ac:dyDescent="0.25">
      <c r="A40" s="108" t="s">
        <v>1066</v>
      </c>
      <c r="B40" s="117">
        <v>11890</v>
      </c>
    </row>
    <row r="41" spans="1:2" x14ac:dyDescent="0.25">
      <c r="A41" s="108" t="s">
        <v>3672</v>
      </c>
      <c r="B41" s="117">
        <v>250</v>
      </c>
    </row>
    <row r="42" spans="1:2" x14ac:dyDescent="0.25">
      <c r="A42" s="129" t="s">
        <v>3671</v>
      </c>
      <c r="B42" s="117">
        <v>250</v>
      </c>
    </row>
    <row r="43" spans="1:2" x14ac:dyDescent="0.25">
      <c r="A43" s="108" t="s">
        <v>1065</v>
      </c>
      <c r="B43" s="117">
        <v>2220</v>
      </c>
    </row>
    <row r="44" spans="1:2" x14ac:dyDescent="0.25">
      <c r="A44" s="108" t="s">
        <v>3875</v>
      </c>
      <c r="B44" s="117">
        <v>300</v>
      </c>
    </row>
    <row r="45" spans="1:2" x14ac:dyDescent="0.25">
      <c r="A45" s="129" t="s">
        <v>3874</v>
      </c>
      <c r="B45" s="117">
        <v>300</v>
      </c>
    </row>
    <row r="46" spans="1:2" x14ac:dyDescent="0.25">
      <c r="A46" s="108" t="s">
        <v>1771</v>
      </c>
      <c r="B46" s="117">
        <v>1240</v>
      </c>
    </row>
    <row r="47" spans="1:2" x14ac:dyDescent="0.25">
      <c r="A47" s="129" t="s">
        <v>1770</v>
      </c>
      <c r="B47" s="117">
        <v>1240</v>
      </c>
    </row>
    <row r="48" spans="1:2" x14ac:dyDescent="0.25">
      <c r="A48" s="108" t="s">
        <v>1421</v>
      </c>
      <c r="B48" s="117">
        <v>300</v>
      </c>
    </row>
    <row r="49" spans="1:2" x14ac:dyDescent="0.25">
      <c r="A49" s="129" t="s">
        <v>1420</v>
      </c>
      <c r="B49" s="117">
        <v>300</v>
      </c>
    </row>
    <row r="50" spans="1:2" x14ac:dyDescent="0.25">
      <c r="A50" s="108" t="s">
        <v>980</v>
      </c>
      <c r="B50" s="117">
        <v>12080</v>
      </c>
    </row>
    <row r="51" spans="1:2" x14ac:dyDescent="0.25">
      <c r="A51" s="108" t="s">
        <v>3838</v>
      </c>
      <c r="B51" s="117">
        <v>3330</v>
      </c>
    </row>
    <row r="52" spans="1:2" x14ac:dyDescent="0.25">
      <c r="A52" s="129" t="s">
        <v>3839</v>
      </c>
      <c r="B52" s="117">
        <v>3330</v>
      </c>
    </row>
    <row r="53" spans="1:2" x14ac:dyDescent="0.25">
      <c r="A53" s="108" t="s">
        <v>1311</v>
      </c>
      <c r="B53" s="117">
        <v>13690</v>
      </c>
    </row>
    <row r="54" spans="1:2" x14ac:dyDescent="0.25">
      <c r="A54" s="108" t="s">
        <v>492</v>
      </c>
      <c r="B54" s="117">
        <v>300</v>
      </c>
    </row>
    <row r="55" spans="1:2" x14ac:dyDescent="0.25">
      <c r="A55" s="108" t="s">
        <v>1070</v>
      </c>
      <c r="B55" s="117">
        <v>59414.78</v>
      </c>
    </row>
    <row r="56" spans="1:2" x14ac:dyDescent="0.25">
      <c r="A56" s="108" t="s">
        <v>441</v>
      </c>
      <c r="B56" s="117">
        <v>2100</v>
      </c>
    </row>
    <row r="57" spans="1:2" x14ac:dyDescent="0.25">
      <c r="A57" s="108" t="s">
        <v>1084</v>
      </c>
      <c r="B57" s="117"/>
    </row>
    <row r="58" spans="1:2" x14ac:dyDescent="0.25">
      <c r="A58" s="129" t="s">
        <v>1084</v>
      </c>
      <c r="B58" s="117"/>
    </row>
    <row r="59" spans="1:2" x14ac:dyDescent="0.25">
      <c r="A59" s="108" t="s">
        <v>977</v>
      </c>
      <c r="B59" s="117">
        <v>372218.44999999995</v>
      </c>
    </row>
    <row r="60" spans="1:2" x14ac:dyDescent="0.25">
      <c r="B60" s="114"/>
    </row>
    <row r="61" spans="1:2" x14ac:dyDescent="0.25">
      <c r="B61" s="114"/>
    </row>
    <row r="62" spans="1:2" x14ac:dyDescent="0.25">
      <c r="B62" s="114"/>
    </row>
    <row r="63" spans="1:2" x14ac:dyDescent="0.25">
      <c r="B63" s="114"/>
    </row>
    <row r="64" spans="1:2" x14ac:dyDescent="0.25">
      <c r="B64" s="114"/>
    </row>
    <row r="65" spans="2:2" x14ac:dyDescent="0.25">
      <c r="B65" s="114"/>
    </row>
    <row r="66" spans="2:2" x14ac:dyDescent="0.25">
      <c r="B66" s="114"/>
    </row>
    <row r="67" spans="2:2" x14ac:dyDescent="0.25">
      <c r="B67" s="114"/>
    </row>
    <row r="68" spans="2:2" x14ac:dyDescent="0.25">
      <c r="B68" s="114"/>
    </row>
    <row r="69" spans="2:2" x14ac:dyDescent="0.25">
      <c r="B69" s="114"/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2"/>
  <dimension ref="A3:B40"/>
  <sheetViews>
    <sheetView showGridLines="0" zoomScale="85" zoomScaleNormal="85" workbookViewId="0">
      <selection activeCell="B3" sqref="B3"/>
    </sheetView>
  </sheetViews>
  <sheetFormatPr defaultRowHeight="15" x14ac:dyDescent="0.25"/>
  <cols>
    <col min="1" max="1" width="36" bestFit="1" customWidth="1"/>
    <col min="2" max="2" width="14.42578125" style="114" bestFit="1" customWidth="1"/>
  </cols>
  <sheetData>
    <row r="3" spans="1:2" x14ac:dyDescent="0.25">
      <c r="A3" s="115" t="s">
        <v>1086</v>
      </c>
      <c r="B3" s="116" t="s">
        <v>1085</v>
      </c>
    </row>
    <row r="4" spans="1:2" x14ac:dyDescent="0.25">
      <c r="A4" s="108" t="s">
        <v>1068</v>
      </c>
      <c r="B4" s="114">
        <v>12334</v>
      </c>
    </row>
    <row r="5" spans="1:2" x14ac:dyDescent="0.25">
      <c r="A5" s="108" t="s">
        <v>979</v>
      </c>
      <c r="B5" s="114">
        <v>4560</v>
      </c>
    </row>
    <row r="6" spans="1:2" x14ac:dyDescent="0.25">
      <c r="A6" s="108" t="s">
        <v>1071</v>
      </c>
      <c r="B6" s="114">
        <v>18219.87</v>
      </c>
    </row>
    <row r="7" spans="1:2" x14ac:dyDescent="0.25">
      <c r="A7" s="108" t="s">
        <v>1069</v>
      </c>
      <c r="B7" s="114">
        <v>2101.2399999999998</v>
      </c>
    </row>
    <row r="8" spans="1:2" x14ac:dyDescent="0.25">
      <c r="A8" s="108" t="s">
        <v>1064</v>
      </c>
      <c r="B8" s="114">
        <v>74293.14</v>
      </c>
    </row>
    <row r="9" spans="1:2" x14ac:dyDescent="0.25">
      <c r="A9" s="108" t="s">
        <v>1073</v>
      </c>
      <c r="B9" s="114">
        <v>34880</v>
      </c>
    </row>
    <row r="10" spans="1:2" x14ac:dyDescent="0.25">
      <c r="A10" s="108" t="s">
        <v>1074</v>
      </c>
      <c r="B10" s="114">
        <v>200</v>
      </c>
    </row>
    <row r="11" spans="1:2" x14ac:dyDescent="0.25">
      <c r="A11" s="108" t="s">
        <v>1083</v>
      </c>
      <c r="B11" s="114">
        <v>1000</v>
      </c>
    </row>
    <row r="12" spans="1:2" x14ac:dyDescent="0.25">
      <c r="A12" s="108" t="s">
        <v>1080</v>
      </c>
      <c r="B12" s="114">
        <v>61395.42</v>
      </c>
    </row>
    <row r="13" spans="1:2" x14ac:dyDescent="0.25">
      <c r="A13" s="108" t="s">
        <v>1072</v>
      </c>
      <c r="B13" s="114">
        <v>22860</v>
      </c>
    </row>
    <row r="14" spans="1:2" x14ac:dyDescent="0.25">
      <c r="A14" s="108" t="s">
        <v>1067</v>
      </c>
      <c r="B14" s="114">
        <v>4160</v>
      </c>
    </row>
    <row r="15" spans="1:2" x14ac:dyDescent="0.25">
      <c r="A15" s="108" t="s">
        <v>981</v>
      </c>
      <c r="B15" s="114">
        <v>4000</v>
      </c>
    </row>
    <row r="16" spans="1:2" x14ac:dyDescent="0.25">
      <c r="A16" s="108" t="s">
        <v>1066</v>
      </c>
      <c r="B16" s="114">
        <v>11890</v>
      </c>
    </row>
    <row r="17" spans="1:2" x14ac:dyDescent="0.25">
      <c r="A17" s="108" t="s">
        <v>1065</v>
      </c>
      <c r="B17" s="114">
        <v>2220</v>
      </c>
    </row>
    <row r="18" spans="1:2" x14ac:dyDescent="0.25">
      <c r="A18" s="108" t="s">
        <v>980</v>
      </c>
      <c r="B18" s="114">
        <v>12080</v>
      </c>
    </row>
    <row r="19" spans="1:2" x14ac:dyDescent="0.25">
      <c r="A19" s="108" t="s">
        <v>492</v>
      </c>
      <c r="B19" s="114">
        <v>300</v>
      </c>
    </row>
    <row r="20" spans="1:2" x14ac:dyDescent="0.25">
      <c r="A20" s="108" t="s">
        <v>1070</v>
      </c>
      <c r="B20" s="114">
        <v>59414.78</v>
      </c>
    </row>
    <row r="21" spans="1:2" x14ac:dyDescent="0.25">
      <c r="A21" s="108" t="s">
        <v>441</v>
      </c>
      <c r="B21" s="114">
        <v>2100</v>
      </c>
    </row>
    <row r="22" spans="1:2" x14ac:dyDescent="0.25">
      <c r="A22" s="108" t="s">
        <v>1084</v>
      </c>
    </row>
    <row r="23" spans="1:2" x14ac:dyDescent="0.25">
      <c r="A23" s="108" t="s">
        <v>1311</v>
      </c>
      <c r="B23" s="114">
        <v>13690</v>
      </c>
    </row>
    <row r="24" spans="1:2" x14ac:dyDescent="0.25">
      <c r="A24" s="108" t="s">
        <v>1326</v>
      </c>
      <c r="B24" s="114">
        <v>370</v>
      </c>
    </row>
    <row r="25" spans="1:2" x14ac:dyDescent="0.25">
      <c r="A25" s="108" t="s">
        <v>1421</v>
      </c>
      <c r="B25" s="114">
        <v>300</v>
      </c>
    </row>
    <row r="26" spans="1:2" x14ac:dyDescent="0.25">
      <c r="A26" s="108" t="s">
        <v>1726</v>
      </c>
      <c r="B26" s="114">
        <v>6190</v>
      </c>
    </row>
    <row r="27" spans="1:2" x14ac:dyDescent="0.25">
      <c r="A27" s="108" t="s">
        <v>1771</v>
      </c>
      <c r="B27" s="114">
        <v>1240</v>
      </c>
    </row>
    <row r="28" spans="1:2" x14ac:dyDescent="0.25">
      <c r="A28" s="108" t="s">
        <v>1786</v>
      </c>
      <c r="B28" s="114">
        <v>2980</v>
      </c>
    </row>
    <row r="29" spans="1:2" x14ac:dyDescent="0.25">
      <c r="A29" s="108" t="s">
        <v>1812</v>
      </c>
      <c r="B29" s="114">
        <v>5850</v>
      </c>
    </row>
    <row r="30" spans="1:2" x14ac:dyDescent="0.25">
      <c r="A30" s="108" t="s">
        <v>2221</v>
      </c>
      <c r="B30" s="114">
        <v>200</v>
      </c>
    </row>
    <row r="31" spans="1:2" x14ac:dyDescent="0.25">
      <c r="A31" s="108" t="s">
        <v>2260</v>
      </c>
      <c r="B31" s="114">
        <v>4620</v>
      </c>
    </row>
    <row r="32" spans="1:2" x14ac:dyDescent="0.25">
      <c r="A32" s="108" t="s">
        <v>3056</v>
      </c>
      <c r="B32" s="114">
        <v>370</v>
      </c>
    </row>
    <row r="33" spans="1:2" x14ac:dyDescent="0.25">
      <c r="A33" s="108" t="s">
        <v>3243</v>
      </c>
      <c r="B33" s="114">
        <v>2000</v>
      </c>
    </row>
    <row r="34" spans="1:2" x14ac:dyDescent="0.25">
      <c r="A34" s="108" t="s">
        <v>3273</v>
      </c>
      <c r="B34" s="114">
        <v>370</v>
      </c>
    </row>
    <row r="35" spans="1:2" x14ac:dyDescent="0.25">
      <c r="A35" s="108" t="s">
        <v>100</v>
      </c>
      <c r="B35" s="114">
        <v>300</v>
      </c>
    </row>
    <row r="36" spans="1:2" x14ac:dyDescent="0.25">
      <c r="A36" s="108" t="s">
        <v>3672</v>
      </c>
      <c r="B36" s="114">
        <v>250</v>
      </c>
    </row>
    <row r="37" spans="1:2" x14ac:dyDescent="0.25">
      <c r="A37" s="108" t="s">
        <v>3838</v>
      </c>
      <c r="B37" s="114">
        <v>3330</v>
      </c>
    </row>
    <row r="38" spans="1:2" x14ac:dyDescent="0.25">
      <c r="A38" s="108" t="s">
        <v>3875</v>
      </c>
      <c r="B38" s="114">
        <v>300</v>
      </c>
    </row>
    <row r="39" spans="1:2" x14ac:dyDescent="0.25">
      <c r="A39" s="108" t="s">
        <v>3902</v>
      </c>
      <c r="B39" s="114">
        <v>1850</v>
      </c>
    </row>
    <row r="40" spans="1:2" x14ac:dyDescent="0.25">
      <c r="A40" s="108" t="s">
        <v>977</v>
      </c>
      <c r="B40" s="114">
        <v>372218.44999999995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3"/>
  <dimension ref="A2:B46"/>
  <sheetViews>
    <sheetView showGridLines="0" topLeftCell="A2" zoomScale="70" zoomScaleNormal="69" workbookViewId="0">
      <selection activeCell="B2" sqref="B2"/>
    </sheetView>
  </sheetViews>
  <sheetFormatPr defaultRowHeight="15" x14ac:dyDescent="0.25"/>
  <cols>
    <col min="1" max="1" width="51.42578125" bestFit="1" customWidth="1"/>
    <col min="2" max="2" width="20.85546875" style="102" customWidth="1"/>
    <col min="3" max="3" width="10.5703125" customWidth="1"/>
  </cols>
  <sheetData>
    <row r="2" spans="1:2" ht="63" x14ac:dyDescent="0.25">
      <c r="A2" s="105" t="s">
        <v>1033</v>
      </c>
      <c r="B2" s="103" t="s">
        <v>978</v>
      </c>
    </row>
    <row r="3" spans="1:2" ht="21" x14ac:dyDescent="0.35">
      <c r="A3" s="106" t="s">
        <v>526</v>
      </c>
      <c r="B3" s="104">
        <v>1740</v>
      </c>
    </row>
    <row r="4" spans="1:2" ht="21" x14ac:dyDescent="0.35">
      <c r="A4" s="106" t="s">
        <v>506</v>
      </c>
      <c r="B4" s="104">
        <v>2220</v>
      </c>
    </row>
    <row r="5" spans="1:2" ht="21" x14ac:dyDescent="0.35">
      <c r="A5" s="106" t="s">
        <v>501</v>
      </c>
      <c r="B5" s="104">
        <v>2270</v>
      </c>
    </row>
    <row r="6" spans="1:2" ht="21" x14ac:dyDescent="0.35">
      <c r="A6" s="106" t="s">
        <v>990</v>
      </c>
      <c r="B6" s="104">
        <v>10094</v>
      </c>
    </row>
    <row r="7" spans="1:2" ht="21" x14ac:dyDescent="0.35">
      <c r="A7" s="106" t="s">
        <v>991</v>
      </c>
      <c r="B7" s="104">
        <v>1850</v>
      </c>
    </row>
    <row r="8" spans="1:2" ht="21" x14ac:dyDescent="0.35">
      <c r="A8" s="106" t="s">
        <v>996</v>
      </c>
      <c r="B8" s="104">
        <v>3304</v>
      </c>
    </row>
    <row r="9" spans="1:2" ht="21" x14ac:dyDescent="0.35">
      <c r="A9" s="106" t="s">
        <v>999</v>
      </c>
      <c r="B9" s="104">
        <v>1710</v>
      </c>
    </row>
    <row r="10" spans="1:2" ht="21" x14ac:dyDescent="0.35">
      <c r="A10" s="106" t="s">
        <v>1002</v>
      </c>
      <c r="B10" s="104">
        <v>1850</v>
      </c>
    </row>
    <row r="11" spans="1:2" ht="21" x14ac:dyDescent="0.35">
      <c r="A11" s="106" t="s">
        <v>1005</v>
      </c>
      <c r="B11" s="104">
        <v>2200</v>
      </c>
    </row>
    <row r="12" spans="1:2" ht="21" x14ac:dyDescent="0.35">
      <c r="A12" s="109" t="s">
        <v>1075</v>
      </c>
      <c r="B12" s="104">
        <v>2100</v>
      </c>
    </row>
    <row r="13" spans="1:2" ht="21" x14ac:dyDescent="0.35">
      <c r="A13" s="106" t="s">
        <v>977</v>
      </c>
      <c r="B13" s="104">
        <v>29338</v>
      </c>
    </row>
    <row r="14" spans="1:2" x14ac:dyDescent="0.25">
      <c r="B14"/>
    </row>
    <row r="15" spans="1:2" x14ac:dyDescent="0.25">
      <c r="B15"/>
    </row>
    <row r="16" spans="1:2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4"/>
  <dimension ref="A2:C51"/>
  <sheetViews>
    <sheetView showGridLines="0" topLeftCell="A6" zoomScale="68" zoomScaleNormal="68" workbookViewId="0">
      <selection activeCell="C2" sqref="C2"/>
    </sheetView>
  </sheetViews>
  <sheetFormatPr defaultRowHeight="15" x14ac:dyDescent="0.25"/>
  <cols>
    <col min="1" max="1" width="50.28515625" bestFit="1" customWidth="1"/>
    <col min="2" max="2" width="16.140625" hidden="1" customWidth="1"/>
    <col min="3" max="3" width="20" customWidth="1"/>
    <col min="4" max="4" width="33.42578125" bestFit="1" customWidth="1"/>
    <col min="5" max="5" width="37.28515625" bestFit="1" customWidth="1"/>
    <col min="6" max="6" width="40.5703125" bestFit="1" customWidth="1"/>
    <col min="7" max="7" width="44.42578125" bestFit="1" customWidth="1"/>
    <col min="8" max="8" width="19.7109375" bestFit="1" customWidth="1"/>
    <col min="9" max="9" width="23.5703125" bestFit="1" customWidth="1"/>
    <col min="10" max="10" width="30.28515625" bestFit="1" customWidth="1"/>
    <col min="11" max="11" width="34.140625" bestFit="1" customWidth="1"/>
    <col min="12" max="12" width="32.28515625" bestFit="1" customWidth="1"/>
    <col min="13" max="13" width="36.140625" bestFit="1" customWidth="1"/>
    <col min="14" max="14" width="34.85546875" bestFit="1" customWidth="1"/>
    <col min="15" max="15" width="38.85546875" bestFit="1" customWidth="1"/>
    <col min="16" max="16" width="23.140625" bestFit="1" customWidth="1"/>
    <col min="17" max="17" width="27" bestFit="1" customWidth="1"/>
    <col min="18" max="18" width="22.42578125" bestFit="1" customWidth="1"/>
    <col min="19" max="19" width="26" bestFit="1" customWidth="1"/>
    <col min="20" max="20" width="29" bestFit="1" customWidth="1"/>
    <col min="21" max="21" width="32.85546875" bestFit="1" customWidth="1"/>
    <col min="22" max="22" width="29.140625" bestFit="1" customWidth="1"/>
    <col min="23" max="23" width="23.5703125" bestFit="1" customWidth="1"/>
    <col min="24" max="24" width="29.140625" bestFit="1" customWidth="1"/>
    <col min="25" max="25" width="31" bestFit="1" customWidth="1"/>
    <col min="26" max="26" width="29.140625" bestFit="1" customWidth="1"/>
    <col min="27" max="28" width="30.42578125" bestFit="1" customWidth="1"/>
    <col min="29" max="29" width="34.42578125" bestFit="1" customWidth="1"/>
    <col min="30" max="31" width="29.140625" bestFit="1" customWidth="1"/>
    <col min="32" max="32" width="30" bestFit="1" customWidth="1"/>
    <col min="33" max="33" width="36.85546875" bestFit="1" customWidth="1"/>
    <col min="34" max="34" width="40.7109375" bestFit="1" customWidth="1"/>
    <col min="35" max="35" width="29.140625" bestFit="1" customWidth="1"/>
    <col min="36" max="36" width="28" bestFit="1" customWidth="1"/>
    <col min="37" max="37" width="30.42578125" bestFit="1" customWidth="1"/>
    <col min="38" max="38" width="34.42578125" bestFit="1" customWidth="1"/>
    <col min="39" max="39" width="28.7109375" bestFit="1" customWidth="1"/>
    <col min="40" max="40" width="32.7109375" bestFit="1" customWidth="1"/>
    <col min="41" max="41" width="31.42578125" bestFit="1" customWidth="1"/>
    <col min="42" max="42" width="35.42578125" bestFit="1" customWidth="1"/>
    <col min="43" max="43" width="29.140625" bestFit="1" customWidth="1"/>
    <col min="44" max="44" width="30.140625" bestFit="1" customWidth="1"/>
    <col min="45" max="45" width="23.140625" bestFit="1" customWidth="1"/>
    <col min="46" max="46" width="27" bestFit="1" customWidth="1"/>
    <col min="47" max="47" width="37.140625" bestFit="1" customWidth="1"/>
    <col min="48" max="48" width="41" bestFit="1" customWidth="1"/>
    <col min="49" max="49" width="37.5703125" bestFit="1" customWidth="1"/>
    <col min="50" max="50" width="41.5703125" bestFit="1" customWidth="1"/>
    <col min="51" max="51" width="32.42578125" bestFit="1" customWidth="1"/>
    <col min="52" max="52" width="36.28515625" bestFit="1" customWidth="1"/>
    <col min="53" max="54" width="29.140625" bestFit="1" customWidth="1"/>
    <col min="55" max="55" width="31.42578125" bestFit="1" customWidth="1"/>
    <col min="56" max="56" width="29.140625" bestFit="1" customWidth="1"/>
    <col min="57" max="57" width="25.7109375" bestFit="1" customWidth="1"/>
    <col min="58" max="58" width="35.42578125" bestFit="1" customWidth="1"/>
    <col min="59" max="59" width="39.28515625" bestFit="1" customWidth="1"/>
    <col min="60" max="60" width="30.7109375" bestFit="1" customWidth="1"/>
    <col min="61" max="61" width="34.5703125" bestFit="1" customWidth="1"/>
    <col min="62" max="62" width="36.140625" bestFit="1" customWidth="1"/>
    <col min="63" max="63" width="40" bestFit="1" customWidth="1"/>
    <col min="64" max="64" width="27.7109375" bestFit="1" customWidth="1"/>
    <col min="65" max="65" width="27.28515625" bestFit="1" customWidth="1"/>
    <col min="66" max="66" width="29.140625" bestFit="1" customWidth="1"/>
    <col min="67" max="67" width="31" bestFit="1" customWidth="1"/>
    <col min="68" max="68" width="26.28515625" bestFit="1" customWidth="1"/>
    <col min="69" max="69" width="30.140625" bestFit="1" customWidth="1"/>
    <col min="70" max="70" width="14.140625" bestFit="1" customWidth="1"/>
  </cols>
  <sheetData>
    <row r="2" spans="1:3" ht="37.5" x14ac:dyDescent="0.25">
      <c r="A2" s="100" t="s">
        <v>974</v>
      </c>
      <c r="B2" s="100" t="s">
        <v>59</v>
      </c>
      <c r="C2" s="101" t="s">
        <v>978</v>
      </c>
    </row>
    <row r="3" spans="1:3" ht="21" x14ac:dyDescent="0.35">
      <c r="A3" s="99" t="s">
        <v>835</v>
      </c>
      <c r="B3" s="99"/>
      <c r="C3" s="98">
        <v>870</v>
      </c>
    </row>
    <row r="4" spans="1:3" ht="21" x14ac:dyDescent="0.35">
      <c r="A4" s="99" t="s">
        <v>718</v>
      </c>
      <c r="B4" s="99"/>
      <c r="C4" s="98">
        <v>622</v>
      </c>
    </row>
    <row r="5" spans="1:3" ht="21" x14ac:dyDescent="0.35">
      <c r="A5" s="99" t="s">
        <v>842</v>
      </c>
      <c r="B5" s="99"/>
      <c r="C5" s="98">
        <v>4050</v>
      </c>
    </row>
    <row r="6" spans="1:3" ht="42" x14ac:dyDescent="0.35">
      <c r="A6" s="99" t="s">
        <v>644</v>
      </c>
      <c r="B6" s="99"/>
      <c r="C6" s="98">
        <v>300</v>
      </c>
    </row>
    <row r="7" spans="1:3" ht="21" x14ac:dyDescent="0.35">
      <c r="A7" s="99" t="s">
        <v>478</v>
      </c>
      <c r="B7" s="99"/>
      <c r="C7" s="98">
        <v>670</v>
      </c>
    </row>
    <row r="8" spans="1:3" ht="21" x14ac:dyDescent="0.35">
      <c r="A8" s="99" t="s">
        <v>970</v>
      </c>
      <c r="B8" s="99"/>
      <c r="C8" s="98">
        <v>240</v>
      </c>
    </row>
    <row r="9" spans="1:3" ht="21" x14ac:dyDescent="0.35">
      <c r="A9" s="99" t="s">
        <v>888</v>
      </c>
      <c r="B9" s="99"/>
      <c r="C9" s="98">
        <v>1480</v>
      </c>
    </row>
    <row r="10" spans="1:3" ht="21" x14ac:dyDescent="0.35">
      <c r="A10" s="99" t="s">
        <v>777</v>
      </c>
      <c r="B10" s="99"/>
      <c r="C10" s="98">
        <v>300</v>
      </c>
    </row>
    <row r="11" spans="1:3" ht="21" x14ac:dyDescent="0.35">
      <c r="A11" s="99" t="s">
        <v>489</v>
      </c>
      <c r="B11" s="99"/>
      <c r="C11" s="98">
        <v>900</v>
      </c>
    </row>
    <row r="12" spans="1:3" ht="63" x14ac:dyDescent="0.35">
      <c r="A12" s="130" t="s">
        <v>429</v>
      </c>
      <c r="B12" s="99"/>
      <c r="C12" s="98">
        <v>370</v>
      </c>
    </row>
    <row r="13" spans="1:3" ht="21" x14ac:dyDescent="0.35">
      <c r="A13" s="99" t="s">
        <v>736</v>
      </c>
      <c r="B13" s="99"/>
      <c r="C13" s="98">
        <v>622</v>
      </c>
    </row>
    <row r="14" spans="1:3" ht="42" x14ac:dyDescent="0.35">
      <c r="A14" s="99" t="s">
        <v>917</v>
      </c>
      <c r="B14" s="99"/>
      <c r="C14" s="98">
        <v>937</v>
      </c>
    </row>
    <row r="15" spans="1:3" ht="21" x14ac:dyDescent="0.35">
      <c r="A15" s="99" t="s">
        <v>771</v>
      </c>
      <c r="B15" s="99"/>
      <c r="C15" s="98">
        <v>740</v>
      </c>
    </row>
    <row r="16" spans="1:3" ht="21" x14ac:dyDescent="0.35">
      <c r="A16" s="99" t="s">
        <v>413</v>
      </c>
      <c r="B16" s="99"/>
      <c r="C16" s="98">
        <v>370</v>
      </c>
    </row>
    <row r="17" spans="1:3" ht="21" x14ac:dyDescent="0.35">
      <c r="A17" s="99" t="s">
        <v>624</v>
      </c>
      <c r="B17" s="99"/>
      <c r="C17" s="98">
        <v>954</v>
      </c>
    </row>
    <row r="18" spans="1:3" ht="21" x14ac:dyDescent="0.35">
      <c r="A18" s="99" t="s">
        <v>746</v>
      </c>
      <c r="B18" s="99"/>
      <c r="C18" s="98">
        <v>740</v>
      </c>
    </row>
    <row r="19" spans="1:3" ht="21" x14ac:dyDescent="0.35">
      <c r="A19" s="99" t="s">
        <v>617</v>
      </c>
      <c r="B19" s="99"/>
      <c r="C19" s="98">
        <v>442.93</v>
      </c>
    </row>
    <row r="20" spans="1:3" ht="21" x14ac:dyDescent="0.35">
      <c r="A20" s="99" t="s">
        <v>545</v>
      </c>
      <c r="B20" s="99"/>
      <c r="C20" s="98">
        <v>3000</v>
      </c>
    </row>
    <row r="21" spans="1:3" ht="21" x14ac:dyDescent="0.35">
      <c r="A21" s="99" t="s">
        <v>509</v>
      </c>
      <c r="B21" s="99"/>
      <c r="C21" s="98">
        <v>2220</v>
      </c>
    </row>
    <row r="22" spans="1:3" ht="21" x14ac:dyDescent="0.35">
      <c r="A22" s="99" t="s">
        <v>320</v>
      </c>
      <c r="B22" s="99"/>
      <c r="C22" s="98">
        <v>5350</v>
      </c>
    </row>
    <row r="23" spans="1:3" ht="42" x14ac:dyDescent="0.35">
      <c r="A23" s="99" t="s">
        <v>605</v>
      </c>
      <c r="B23" s="99"/>
      <c r="C23" s="98">
        <v>300</v>
      </c>
    </row>
    <row r="24" spans="1:3" ht="21" x14ac:dyDescent="0.35">
      <c r="A24" s="99" t="s">
        <v>685</v>
      </c>
      <c r="B24" s="99"/>
      <c r="C24" s="98">
        <v>1164</v>
      </c>
    </row>
    <row r="25" spans="1:3" ht="21" x14ac:dyDescent="0.35">
      <c r="A25" s="99" t="s">
        <v>632</v>
      </c>
      <c r="B25" s="99"/>
      <c r="C25" s="98">
        <v>300</v>
      </c>
    </row>
    <row r="26" spans="1:3" ht="21" x14ac:dyDescent="0.35">
      <c r="A26" s="99" t="s">
        <v>389</v>
      </c>
      <c r="B26" s="99"/>
      <c r="C26" s="98">
        <v>740</v>
      </c>
    </row>
    <row r="27" spans="1:3" ht="21" x14ac:dyDescent="0.35">
      <c r="A27" s="99" t="s">
        <v>592</v>
      </c>
      <c r="B27" s="99"/>
      <c r="C27" s="98">
        <v>700</v>
      </c>
    </row>
    <row r="28" spans="1:3" ht="21" x14ac:dyDescent="0.35">
      <c r="A28" s="99" t="s">
        <v>799</v>
      </c>
      <c r="B28" s="99"/>
      <c r="C28" s="98">
        <v>370</v>
      </c>
    </row>
    <row r="29" spans="1:3" ht="21" x14ac:dyDescent="0.35">
      <c r="A29" s="99" t="s">
        <v>637</v>
      </c>
      <c r="B29" s="99"/>
      <c r="C29" s="98">
        <v>300</v>
      </c>
    </row>
    <row r="30" spans="1:3" ht="21" x14ac:dyDescent="0.35">
      <c r="A30" s="99" t="s">
        <v>983</v>
      </c>
      <c r="B30" s="99"/>
      <c r="C30" s="98">
        <v>2100</v>
      </c>
    </row>
    <row r="31" spans="1:3" ht="21" x14ac:dyDescent="0.35">
      <c r="A31" s="99" t="s">
        <v>599</v>
      </c>
      <c r="B31" s="99"/>
      <c r="C31" s="98">
        <v>300</v>
      </c>
    </row>
    <row r="32" spans="1:3" ht="21" x14ac:dyDescent="0.35">
      <c r="A32" s="99" t="s">
        <v>700</v>
      </c>
      <c r="B32" s="99"/>
      <c r="C32" s="98">
        <v>880</v>
      </c>
    </row>
    <row r="33" spans="1:3" ht="21" x14ac:dyDescent="0.35">
      <c r="A33" s="99" t="s">
        <v>793</v>
      </c>
      <c r="B33" s="99"/>
      <c r="C33" s="98">
        <v>600</v>
      </c>
    </row>
    <row r="34" spans="1:3" ht="21" x14ac:dyDescent="0.35">
      <c r="A34" s="99" t="s">
        <v>742</v>
      </c>
      <c r="B34" s="99"/>
      <c r="C34" s="98">
        <v>370</v>
      </c>
    </row>
    <row r="35" spans="1:3" ht="42" x14ac:dyDescent="0.35">
      <c r="A35" s="99" t="s">
        <v>763</v>
      </c>
      <c r="B35" s="99"/>
      <c r="C35" s="98">
        <v>1110</v>
      </c>
    </row>
    <row r="36" spans="1:3" ht="21" x14ac:dyDescent="0.35">
      <c r="A36" s="99" t="s">
        <v>806</v>
      </c>
      <c r="B36" s="99"/>
      <c r="C36" s="98">
        <v>200</v>
      </c>
    </row>
    <row r="37" spans="1:3" ht="21" x14ac:dyDescent="0.35">
      <c r="A37" s="99" t="s">
        <v>496</v>
      </c>
      <c r="B37" s="99"/>
      <c r="C37" s="98">
        <v>300</v>
      </c>
    </row>
    <row r="38" spans="1:3" ht="21" x14ac:dyDescent="0.35">
      <c r="A38" s="99" t="s">
        <v>667</v>
      </c>
      <c r="B38" s="99"/>
      <c r="C38" s="98">
        <v>7050</v>
      </c>
    </row>
    <row r="39" spans="1:3" ht="21" x14ac:dyDescent="0.35">
      <c r="A39" s="99" t="s">
        <v>724</v>
      </c>
      <c r="B39" s="99"/>
      <c r="C39" s="98">
        <v>1200</v>
      </c>
    </row>
    <row r="40" spans="1:3" ht="21" x14ac:dyDescent="0.35">
      <c r="A40" s="99" t="s">
        <v>845</v>
      </c>
      <c r="B40" s="99"/>
      <c r="C40" s="98">
        <v>1480</v>
      </c>
    </row>
    <row r="41" spans="1:3" ht="42" x14ac:dyDescent="0.35">
      <c r="A41" s="99" t="s">
        <v>572</v>
      </c>
      <c r="B41" s="99"/>
      <c r="C41" s="98">
        <v>200</v>
      </c>
    </row>
    <row r="42" spans="1:3" ht="21" x14ac:dyDescent="0.35">
      <c r="A42" s="99" t="s">
        <v>935</v>
      </c>
      <c r="B42" s="99"/>
      <c r="C42" s="98">
        <v>1500</v>
      </c>
    </row>
    <row r="43" spans="1:3" ht="21" x14ac:dyDescent="0.35">
      <c r="A43" s="99" t="s">
        <v>928</v>
      </c>
      <c r="B43" s="99"/>
      <c r="C43" s="98">
        <v>1500</v>
      </c>
    </row>
    <row r="44" spans="1:3" ht="21" x14ac:dyDescent="0.35">
      <c r="A44" s="99" t="s">
        <v>445</v>
      </c>
      <c r="B44" s="99"/>
      <c r="C44" s="98">
        <v>1200</v>
      </c>
    </row>
    <row r="45" spans="1:3" ht="21" x14ac:dyDescent="0.35">
      <c r="A45" s="99" t="s">
        <v>753</v>
      </c>
      <c r="B45" s="99"/>
      <c r="C45" s="98">
        <v>700</v>
      </c>
    </row>
    <row r="46" spans="1:3" ht="21" x14ac:dyDescent="0.35">
      <c r="A46" s="99" t="s">
        <v>586</v>
      </c>
      <c r="B46" s="99"/>
      <c r="C46" s="98">
        <v>200</v>
      </c>
    </row>
    <row r="47" spans="1:3" ht="42" x14ac:dyDescent="0.35">
      <c r="A47" s="99" t="s">
        <v>579</v>
      </c>
      <c r="B47" s="99"/>
      <c r="C47" s="98">
        <v>300</v>
      </c>
    </row>
    <row r="48" spans="1:3" ht="21" x14ac:dyDescent="0.35">
      <c r="A48" s="99" t="s">
        <v>558</v>
      </c>
      <c r="B48" s="99"/>
      <c r="C48" s="98">
        <v>1850</v>
      </c>
    </row>
    <row r="49" spans="1:3" ht="21" x14ac:dyDescent="0.35">
      <c r="A49" s="99" t="s">
        <v>947</v>
      </c>
      <c r="B49" s="99"/>
      <c r="C49" s="98">
        <v>1110</v>
      </c>
    </row>
    <row r="50" spans="1:3" ht="42" x14ac:dyDescent="0.35">
      <c r="A50" s="99" t="s">
        <v>982</v>
      </c>
      <c r="B50" s="99"/>
      <c r="C50" s="98">
        <v>1740</v>
      </c>
    </row>
    <row r="51" spans="1:3" ht="21" x14ac:dyDescent="0.35">
      <c r="A51" s="98" t="s">
        <v>977</v>
      </c>
      <c r="B51" s="98"/>
      <c r="C51" s="98">
        <v>54941.93</v>
      </c>
    </row>
  </sheetData>
  <pageMargins left="0.511811024" right="0.511811024" top="0.78740157499999996" bottom="0.78740157499999996" header="0.31496062000000002" footer="0.31496062000000002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024322-BEFA-4007-BB0E-37EA32CDED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Dados (Fatores)</vt:lpstr>
      <vt:lpstr>Plan 2 OPÇÃO 2 casa 2</vt:lpstr>
      <vt:lpstr>Planilha1</vt:lpstr>
      <vt:lpstr>Plan 1 OPÇÃO 1 casa 1</vt:lpstr>
      <vt:lpstr>Dados (Tabela)</vt:lpstr>
      <vt:lpstr>Geral</vt:lpstr>
      <vt:lpstr>Comarcas</vt:lpstr>
      <vt:lpstr>Varas</vt:lpstr>
      <vt:lpstr>Peritos</vt:lpstr>
      <vt:lpstr>Especialidades</vt:lpstr>
      <vt:lpstr>Relatório C(Var)-Val - C</vt:lpstr>
      <vt:lpstr>Rel. Val-Com - C</vt:lpstr>
      <vt:lpstr>Rel. Val-UJ - C</vt:lpstr>
      <vt:lpstr>Relatório Val-Per - 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03446276408</dc:creator>
  <dc:description/>
  <cp:lastModifiedBy>Neto</cp:lastModifiedBy>
  <cp:revision>1</cp:revision>
  <cp:lastPrinted>2021-07-01T17:21:25Z</cp:lastPrinted>
  <dcterms:created xsi:type="dcterms:W3CDTF">2013-07-09T20:11:10Z</dcterms:created>
  <dcterms:modified xsi:type="dcterms:W3CDTF">2023-05-18T03:58:47Z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